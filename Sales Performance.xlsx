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Tools\GitHub Projects\Excel New Project\"/>
    </mc:Choice>
  </mc:AlternateContent>
  <xr:revisionPtr revIDLastSave="0" documentId="13_ncr:1_{49AC0DE8-F45A-4BE4-B956-1C89A73F41F3}" xr6:coauthVersionLast="47" xr6:coauthVersionMax="47" xr10:uidLastSave="{00000000-0000-0000-0000-000000000000}"/>
  <bookViews>
    <workbookView xWindow="1044" yWindow="3504" windowWidth="16980" windowHeight="9288" firstSheet="1" activeTab="5" xr2:uid="{F0E34BB2-41C6-41BF-9F55-F2267A2A269E}"/>
  </bookViews>
  <sheets>
    <sheet name="Raw_Data" sheetId="1" r:id="rId1"/>
    <sheet name="Cleaned_Data" sheetId="3" r:id="rId2"/>
    <sheet name="KPI" sheetId="5" r:id="rId3"/>
    <sheet name="Pivot_Analysis" sheetId="7" r:id="rId4"/>
    <sheet name="Dashboard" sheetId="8" r:id="rId5"/>
    <sheet name="Insights" sheetId="9" r:id="rId6"/>
  </sheets>
  <definedNames>
    <definedName name="_xlchart.v5.0" hidden="1">Pivot_Analysis!$D$45</definedName>
    <definedName name="_xlchart.v5.1" hidden="1">Pivot_Analysis!$D$46:$D$52</definedName>
    <definedName name="_xlchart.v5.2" hidden="1">Pivot_Analysis!$E$45</definedName>
    <definedName name="_xlchart.v5.3" hidden="1">Pivot_Analysis!$E$46:$E$52</definedName>
    <definedName name="_xlchart.v5.4" hidden="1">Pivot_Analysis!$D$45</definedName>
    <definedName name="_xlchart.v5.5" hidden="1">Pivot_Analysis!$D$46:$D$52</definedName>
    <definedName name="_xlchart.v5.6" hidden="1">Pivot_Analysis!$E$45</definedName>
    <definedName name="_xlchart.v5.7" hidden="1">Pivot_Analysis!$E$46:$E$52</definedName>
    <definedName name="sal" localSheetId="1">Cleaned_Data!$A$1:$L$1195</definedName>
    <definedName name="sal">Raw_Data!$A$1:$L$1195</definedName>
    <definedName name="sale">Table13[#All]</definedName>
    <definedName name="Slicer_Category">#N/A</definedName>
    <definedName name="Slicer_State">#N/A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97" i="3" l="1"/>
  <c r="D20" i="5"/>
  <c r="D16" i="5"/>
  <c r="D12" i="5"/>
  <c r="D8" i="5"/>
  <c r="D4" i="5"/>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P1002" i="3"/>
  <c r="P1003" i="3"/>
  <c r="P1004" i="3"/>
  <c r="P1005" i="3"/>
  <c r="P1006" i="3"/>
  <c r="P1007" i="3"/>
  <c r="P1008" i="3"/>
  <c r="P1009" i="3"/>
  <c r="P1010" i="3"/>
  <c r="P1011" i="3"/>
  <c r="P1012" i="3"/>
  <c r="P1013" i="3"/>
  <c r="P1014" i="3"/>
  <c r="P1015" i="3"/>
  <c r="P1016" i="3"/>
  <c r="P1017" i="3"/>
  <c r="P1018" i="3"/>
  <c r="P1019" i="3"/>
  <c r="P1020" i="3"/>
  <c r="P1021" i="3"/>
  <c r="P1022" i="3"/>
  <c r="P1023" i="3"/>
  <c r="P1024" i="3"/>
  <c r="P1025" i="3"/>
  <c r="P1026" i="3"/>
  <c r="P1027" i="3"/>
  <c r="P1028" i="3"/>
  <c r="P1029" i="3"/>
  <c r="P1030" i="3"/>
  <c r="P1031" i="3"/>
  <c r="P1032" i="3"/>
  <c r="P1033" i="3"/>
  <c r="P1034" i="3"/>
  <c r="P1035" i="3"/>
  <c r="P1036" i="3"/>
  <c r="P1037" i="3"/>
  <c r="P1038" i="3"/>
  <c r="P1039" i="3"/>
  <c r="P1040" i="3"/>
  <c r="P1041" i="3"/>
  <c r="P1042" i="3"/>
  <c r="P1043" i="3"/>
  <c r="P1044" i="3"/>
  <c r="P1045" i="3"/>
  <c r="P1046" i="3"/>
  <c r="P1047" i="3"/>
  <c r="P1048" i="3"/>
  <c r="P1049" i="3"/>
  <c r="P1050" i="3"/>
  <c r="P1051" i="3"/>
  <c r="P1052" i="3"/>
  <c r="P1053" i="3"/>
  <c r="P1054" i="3"/>
  <c r="P1055" i="3"/>
  <c r="P1056" i="3"/>
  <c r="P1057" i="3"/>
  <c r="P1058" i="3"/>
  <c r="P1059" i="3"/>
  <c r="P1060" i="3"/>
  <c r="P1061" i="3"/>
  <c r="P1062" i="3"/>
  <c r="P1063" i="3"/>
  <c r="P1064" i="3"/>
  <c r="P1065" i="3"/>
  <c r="P1066" i="3"/>
  <c r="P1067" i="3"/>
  <c r="P1068" i="3"/>
  <c r="P1069" i="3"/>
  <c r="P1070" i="3"/>
  <c r="P1071" i="3"/>
  <c r="P1072" i="3"/>
  <c r="P1073" i="3"/>
  <c r="P1074" i="3"/>
  <c r="P1075" i="3"/>
  <c r="P1076" i="3"/>
  <c r="P1077" i="3"/>
  <c r="P1078" i="3"/>
  <c r="P1079" i="3"/>
  <c r="P1080" i="3"/>
  <c r="P1081" i="3"/>
  <c r="P1082" i="3"/>
  <c r="P1083" i="3"/>
  <c r="P1084" i="3"/>
  <c r="P1085" i="3"/>
  <c r="P1086" i="3"/>
  <c r="P1087" i="3"/>
  <c r="P1088" i="3"/>
  <c r="P1089" i="3"/>
  <c r="P1090" i="3"/>
  <c r="P1091" i="3"/>
  <c r="P1092" i="3"/>
  <c r="P1093" i="3"/>
  <c r="P1094" i="3"/>
  <c r="P1095" i="3"/>
  <c r="P1096" i="3"/>
  <c r="P1097" i="3"/>
  <c r="P1098" i="3"/>
  <c r="P1099" i="3"/>
  <c r="P1100" i="3"/>
  <c r="P1101" i="3"/>
  <c r="P1102" i="3"/>
  <c r="P1103" i="3"/>
  <c r="P1104" i="3"/>
  <c r="P1105" i="3"/>
  <c r="P1106" i="3"/>
  <c r="P1107" i="3"/>
  <c r="P1108" i="3"/>
  <c r="P1109" i="3"/>
  <c r="P1110" i="3"/>
  <c r="P1111" i="3"/>
  <c r="P1112" i="3"/>
  <c r="P1113" i="3"/>
  <c r="P1114" i="3"/>
  <c r="P1115" i="3"/>
  <c r="P1116" i="3"/>
  <c r="P1117" i="3"/>
  <c r="P1118" i="3"/>
  <c r="P1119" i="3"/>
  <c r="P1120" i="3"/>
  <c r="P1121" i="3"/>
  <c r="P1122" i="3"/>
  <c r="P1123" i="3"/>
  <c r="P1124" i="3"/>
  <c r="P1125" i="3"/>
  <c r="P1126" i="3"/>
  <c r="P1127" i="3"/>
  <c r="P1128" i="3"/>
  <c r="P1129" i="3"/>
  <c r="P1130" i="3"/>
  <c r="P1131" i="3"/>
  <c r="P1132" i="3"/>
  <c r="P1133" i="3"/>
  <c r="P1134" i="3"/>
  <c r="P1135" i="3"/>
  <c r="P1136" i="3"/>
  <c r="P1137" i="3"/>
  <c r="P1138" i="3"/>
  <c r="P1139" i="3"/>
  <c r="P1140" i="3"/>
  <c r="P1141" i="3"/>
  <c r="P1142" i="3"/>
  <c r="P1143" i="3"/>
  <c r="P1144" i="3"/>
  <c r="P1145" i="3"/>
  <c r="P1146" i="3"/>
  <c r="P1147" i="3"/>
  <c r="P1148" i="3"/>
  <c r="P1149" i="3"/>
  <c r="P1150" i="3"/>
  <c r="P1151" i="3"/>
  <c r="P1152" i="3"/>
  <c r="P1153" i="3"/>
  <c r="P1154" i="3"/>
  <c r="P1155" i="3"/>
  <c r="P1156" i="3"/>
  <c r="P1157" i="3"/>
  <c r="P1158" i="3"/>
  <c r="P1159" i="3"/>
  <c r="P1160" i="3"/>
  <c r="P1161" i="3"/>
  <c r="P1162" i="3"/>
  <c r="P1163" i="3"/>
  <c r="P1164" i="3"/>
  <c r="P1165" i="3"/>
  <c r="P1166" i="3"/>
  <c r="P1167" i="3"/>
  <c r="P1168" i="3"/>
  <c r="P1169" i="3"/>
  <c r="P1170" i="3"/>
  <c r="P1171" i="3"/>
  <c r="P1172" i="3"/>
  <c r="P1173" i="3"/>
  <c r="P1174" i="3"/>
  <c r="P1175" i="3"/>
  <c r="P1176" i="3"/>
  <c r="P1177" i="3"/>
  <c r="P1178" i="3"/>
  <c r="P1179" i="3"/>
  <c r="P1180" i="3"/>
  <c r="P1181" i="3"/>
  <c r="P1182" i="3"/>
  <c r="P1183" i="3"/>
  <c r="P1184" i="3"/>
  <c r="P1185" i="3"/>
  <c r="P1186" i="3"/>
  <c r="P1187" i="3"/>
  <c r="P1188" i="3"/>
  <c r="P1189" i="3"/>
  <c r="P1190" i="3"/>
  <c r="P1191" i="3"/>
  <c r="P1192" i="3"/>
  <c r="P1193" i="3"/>
  <c r="P1194" i="3"/>
  <c r="P1195"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 r="O1028" i="3"/>
  <c r="O1029" i="3"/>
  <c r="O1030" i="3"/>
  <c r="O1031" i="3"/>
  <c r="O1032" i="3"/>
  <c r="O1033" i="3"/>
  <c r="O1034" i="3"/>
  <c r="O1035" i="3"/>
  <c r="O1036" i="3"/>
  <c r="O1037" i="3"/>
  <c r="O1038" i="3"/>
  <c r="O1039" i="3"/>
  <c r="O1040" i="3"/>
  <c r="O1041" i="3"/>
  <c r="O1042" i="3"/>
  <c r="O1043" i="3"/>
  <c r="O1044" i="3"/>
  <c r="O1045" i="3"/>
  <c r="O1046" i="3"/>
  <c r="O1047" i="3"/>
  <c r="O1048" i="3"/>
  <c r="O1049" i="3"/>
  <c r="O1050" i="3"/>
  <c r="O1051" i="3"/>
  <c r="O1052" i="3"/>
  <c r="O1053" i="3"/>
  <c r="O1054" i="3"/>
  <c r="O1055" i="3"/>
  <c r="O1056" i="3"/>
  <c r="O1057" i="3"/>
  <c r="O1058" i="3"/>
  <c r="O1059" i="3"/>
  <c r="O1060" i="3"/>
  <c r="O1061" i="3"/>
  <c r="O1062" i="3"/>
  <c r="O1063" i="3"/>
  <c r="O1064" i="3"/>
  <c r="O1065" i="3"/>
  <c r="O1066" i="3"/>
  <c r="O1067" i="3"/>
  <c r="O1068" i="3"/>
  <c r="O1069" i="3"/>
  <c r="O1070" i="3"/>
  <c r="O1071" i="3"/>
  <c r="O1072" i="3"/>
  <c r="O1073" i="3"/>
  <c r="O1074" i="3"/>
  <c r="O1075" i="3"/>
  <c r="O1076" i="3"/>
  <c r="O1077" i="3"/>
  <c r="O1078" i="3"/>
  <c r="O1079" i="3"/>
  <c r="O1080" i="3"/>
  <c r="O1081" i="3"/>
  <c r="O1082" i="3"/>
  <c r="O1083" i="3"/>
  <c r="O1084" i="3"/>
  <c r="O1085" i="3"/>
  <c r="O1086" i="3"/>
  <c r="O1087" i="3"/>
  <c r="O1088" i="3"/>
  <c r="O1089" i="3"/>
  <c r="O1090" i="3"/>
  <c r="O1091" i="3"/>
  <c r="O1092" i="3"/>
  <c r="O1093" i="3"/>
  <c r="O1094" i="3"/>
  <c r="O1095" i="3"/>
  <c r="O1096" i="3"/>
  <c r="O1097" i="3"/>
  <c r="O1098" i="3"/>
  <c r="O1099" i="3"/>
  <c r="O1100" i="3"/>
  <c r="O1101" i="3"/>
  <c r="O1102" i="3"/>
  <c r="O1103" i="3"/>
  <c r="O1104" i="3"/>
  <c r="O1105" i="3"/>
  <c r="O1106" i="3"/>
  <c r="O1107" i="3"/>
  <c r="O1108" i="3"/>
  <c r="O1109" i="3"/>
  <c r="O1110" i="3"/>
  <c r="O1111" i="3"/>
  <c r="O1112" i="3"/>
  <c r="O1113" i="3"/>
  <c r="O1114" i="3"/>
  <c r="O1115" i="3"/>
  <c r="O1116" i="3"/>
  <c r="O1117" i="3"/>
  <c r="O1118" i="3"/>
  <c r="O1119" i="3"/>
  <c r="O1120" i="3"/>
  <c r="O1121" i="3"/>
  <c r="O1122" i="3"/>
  <c r="O1123" i="3"/>
  <c r="O1124" i="3"/>
  <c r="O1125" i="3"/>
  <c r="O1126" i="3"/>
  <c r="O1127" i="3"/>
  <c r="O1128" i="3"/>
  <c r="O1129" i="3"/>
  <c r="O1130" i="3"/>
  <c r="O1131" i="3"/>
  <c r="O1132" i="3"/>
  <c r="O1133" i="3"/>
  <c r="O1134" i="3"/>
  <c r="O1135" i="3"/>
  <c r="O1136" i="3"/>
  <c r="O1137" i="3"/>
  <c r="O1138" i="3"/>
  <c r="O1139" i="3"/>
  <c r="O1140" i="3"/>
  <c r="O1141" i="3"/>
  <c r="O1142" i="3"/>
  <c r="O1143" i="3"/>
  <c r="O1144" i="3"/>
  <c r="O1145" i="3"/>
  <c r="O1146" i="3"/>
  <c r="O1147" i="3"/>
  <c r="O1148" i="3"/>
  <c r="O1149" i="3"/>
  <c r="O1150" i="3"/>
  <c r="O1151" i="3"/>
  <c r="O1152" i="3"/>
  <c r="O1153" i="3"/>
  <c r="O1154" i="3"/>
  <c r="O1155" i="3"/>
  <c r="O1156" i="3"/>
  <c r="O1157" i="3"/>
  <c r="O1158" i="3"/>
  <c r="O1159" i="3"/>
  <c r="O1160" i="3"/>
  <c r="O1161" i="3"/>
  <c r="O1162" i="3"/>
  <c r="O1163" i="3"/>
  <c r="O1164" i="3"/>
  <c r="O1165" i="3"/>
  <c r="O1166" i="3"/>
  <c r="O1167" i="3"/>
  <c r="O1168" i="3"/>
  <c r="O1169" i="3"/>
  <c r="O1170" i="3"/>
  <c r="O1171" i="3"/>
  <c r="O1172" i="3"/>
  <c r="O1173" i="3"/>
  <c r="O1174" i="3"/>
  <c r="O1175" i="3"/>
  <c r="O1176" i="3"/>
  <c r="O1177" i="3"/>
  <c r="O1178" i="3"/>
  <c r="O1179" i="3"/>
  <c r="O1180" i="3"/>
  <c r="O1181" i="3"/>
  <c r="O1182" i="3"/>
  <c r="O1183" i="3"/>
  <c r="O1184" i="3"/>
  <c r="O1185" i="3"/>
  <c r="O1186" i="3"/>
  <c r="O1187" i="3"/>
  <c r="O1188" i="3"/>
  <c r="O1189" i="3"/>
  <c r="O1190" i="3"/>
  <c r="O1191" i="3"/>
  <c r="O1192" i="3"/>
  <c r="O1193" i="3"/>
  <c r="O1194" i="3"/>
  <c r="O1195" i="3"/>
  <c r="N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07" i="3"/>
  <c r="N208" i="3"/>
  <c r="N209" i="3"/>
  <c r="N210" i="3"/>
  <c r="N211" i="3"/>
  <c r="N212" i="3"/>
  <c r="N213" i="3"/>
  <c r="N214" i="3"/>
  <c r="N215" i="3"/>
  <c r="N216" i="3"/>
  <c r="N217" i="3"/>
  <c r="N218" i="3"/>
  <c r="N219" i="3"/>
  <c r="N220" i="3"/>
  <c r="N221" i="3"/>
  <c r="N222" i="3"/>
  <c r="N223" i="3"/>
  <c r="N224" i="3"/>
  <c r="N225" i="3"/>
  <c r="N226" i="3"/>
  <c r="N227" i="3"/>
  <c r="N228" i="3"/>
  <c r="N229" i="3"/>
  <c r="N230" i="3"/>
  <c r="N231" i="3"/>
  <c r="N232" i="3"/>
  <c r="N233" i="3"/>
  <c r="N234" i="3"/>
  <c r="N235" i="3"/>
  <c r="N236" i="3"/>
  <c r="N237" i="3"/>
  <c r="N238" i="3"/>
  <c r="N239" i="3"/>
  <c r="N240" i="3"/>
  <c r="N241" i="3"/>
  <c r="N242" i="3"/>
  <c r="N243" i="3"/>
  <c r="N244" i="3"/>
  <c r="N245" i="3"/>
  <c r="N246" i="3"/>
  <c r="N247" i="3"/>
  <c r="N248" i="3"/>
  <c r="N249" i="3"/>
  <c r="N250" i="3"/>
  <c r="N251" i="3"/>
  <c r="N252" i="3"/>
  <c r="N253" i="3"/>
  <c r="N254" i="3"/>
  <c r="N255" i="3"/>
  <c r="N256" i="3"/>
  <c r="N257" i="3"/>
  <c r="N258" i="3"/>
  <c r="N259" i="3"/>
  <c r="N260" i="3"/>
  <c r="N261" i="3"/>
  <c r="N262" i="3"/>
  <c r="N263" i="3"/>
  <c r="N264" i="3"/>
  <c r="N265" i="3"/>
  <c r="N266" i="3"/>
  <c r="N267" i="3"/>
  <c r="N268" i="3"/>
  <c r="N269" i="3"/>
  <c r="N270" i="3"/>
  <c r="N271" i="3"/>
  <c r="N272" i="3"/>
  <c r="N273" i="3"/>
  <c r="N274" i="3"/>
  <c r="N275" i="3"/>
  <c r="N276" i="3"/>
  <c r="N277" i="3"/>
  <c r="N278" i="3"/>
  <c r="N279" i="3"/>
  <c r="N280" i="3"/>
  <c r="N281" i="3"/>
  <c r="N282" i="3"/>
  <c r="N283" i="3"/>
  <c r="N284" i="3"/>
  <c r="N285" i="3"/>
  <c r="N286" i="3"/>
  <c r="N287" i="3"/>
  <c r="N288" i="3"/>
  <c r="N289" i="3"/>
  <c r="N290" i="3"/>
  <c r="N291" i="3"/>
  <c r="N292" i="3"/>
  <c r="N293" i="3"/>
  <c r="N294" i="3"/>
  <c r="N295" i="3"/>
  <c r="N296" i="3"/>
  <c r="N297" i="3"/>
  <c r="N298" i="3"/>
  <c r="N299" i="3"/>
  <c r="N300" i="3"/>
  <c r="N301" i="3"/>
  <c r="N302" i="3"/>
  <c r="N303" i="3"/>
  <c r="N304" i="3"/>
  <c r="N305" i="3"/>
  <c r="N306" i="3"/>
  <c r="N307" i="3"/>
  <c r="N308" i="3"/>
  <c r="N309" i="3"/>
  <c r="N310" i="3"/>
  <c r="N311" i="3"/>
  <c r="N312" i="3"/>
  <c r="N313" i="3"/>
  <c r="N314" i="3"/>
  <c r="N315" i="3"/>
  <c r="N316" i="3"/>
  <c r="N317" i="3"/>
  <c r="N318" i="3"/>
  <c r="N319"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N399" i="3"/>
  <c r="N400" i="3"/>
  <c r="N401" i="3"/>
  <c r="N402" i="3"/>
  <c r="N403" i="3"/>
  <c r="N404" i="3"/>
  <c r="N405" i="3"/>
  <c r="N406" i="3"/>
  <c r="N407" i="3"/>
  <c r="N408" i="3"/>
  <c r="N409" i="3"/>
  <c r="N410" i="3"/>
  <c r="N411" i="3"/>
  <c r="N412" i="3"/>
  <c r="N413" i="3"/>
  <c r="N414" i="3"/>
  <c r="N415" i="3"/>
  <c r="N416" i="3"/>
  <c r="N417" i="3"/>
  <c r="N418" i="3"/>
  <c r="N419" i="3"/>
  <c r="N420" i="3"/>
  <c r="N421" i="3"/>
  <c r="N422" i="3"/>
  <c r="N423" i="3"/>
  <c r="N424" i="3"/>
  <c r="N425" i="3"/>
  <c r="N426" i="3"/>
  <c r="N427" i="3"/>
  <c r="N428" i="3"/>
  <c r="N429" i="3"/>
  <c r="N430" i="3"/>
  <c r="N431" i="3"/>
  <c r="N432" i="3"/>
  <c r="N433" i="3"/>
  <c r="N434" i="3"/>
  <c r="N435" i="3"/>
  <c r="N436" i="3"/>
  <c r="N437" i="3"/>
  <c r="N438" i="3"/>
  <c r="N439" i="3"/>
  <c r="N440" i="3"/>
  <c r="N441" i="3"/>
  <c r="N442" i="3"/>
  <c r="N443" i="3"/>
  <c r="N444" i="3"/>
  <c r="N445" i="3"/>
  <c r="N446" i="3"/>
  <c r="N447" i="3"/>
  <c r="N448" i="3"/>
  <c r="N449" i="3"/>
  <c r="N450" i="3"/>
  <c r="N451" i="3"/>
  <c r="N452" i="3"/>
  <c r="N453" i="3"/>
  <c r="N454" i="3"/>
  <c r="N455" i="3"/>
  <c r="N456" i="3"/>
  <c r="N457" i="3"/>
  <c r="N458" i="3"/>
  <c r="N459" i="3"/>
  <c r="N460" i="3"/>
  <c r="N461" i="3"/>
  <c r="N462" i="3"/>
  <c r="N463" i="3"/>
  <c r="N464" i="3"/>
  <c r="N465" i="3"/>
  <c r="N466" i="3"/>
  <c r="N467" i="3"/>
  <c r="N468" i="3"/>
  <c r="N469" i="3"/>
  <c r="N470" i="3"/>
  <c r="N471" i="3"/>
  <c r="N472" i="3"/>
  <c r="N473" i="3"/>
  <c r="N474" i="3"/>
  <c r="N475" i="3"/>
  <c r="N476" i="3"/>
  <c r="N477" i="3"/>
  <c r="N478" i="3"/>
  <c r="N479" i="3"/>
  <c r="N480" i="3"/>
  <c r="N481" i="3"/>
  <c r="N482" i="3"/>
  <c r="N483" i="3"/>
  <c r="N484" i="3"/>
  <c r="N485" i="3"/>
  <c r="N486" i="3"/>
  <c r="N487" i="3"/>
  <c r="N488" i="3"/>
  <c r="N489" i="3"/>
  <c r="N490" i="3"/>
  <c r="N491" i="3"/>
  <c r="N492" i="3"/>
  <c r="N493" i="3"/>
  <c r="N494" i="3"/>
  <c r="N495" i="3"/>
  <c r="N496" i="3"/>
  <c r="N497" i="3"/>
  <c r="N498" i="3"/>
  <c r="N499" i="3"/>
  <c r="N500" i="3"/>
  <c r="N501" i="3"/>
  <c r="N502" i="3"/>
  <c r="N503" i="3"/>
  <c r="N504" i="3"/>
  <c r="N505" i="3"/>
  <c r="N506" i="3"/>
  <c r="N507" i="3"/>
  <c r="N508" i="3"/>
  <c r="N509" i="3"/>
  <c r="N510" i="3"/>
  <c r="N511" i="3"/>
  <c r="N512" i="3"/>
  <c r="N513" i="3"/>
  <c r="N514" i="3"/>
  <c r="N515" i="3"/>
  <c r="N516" i="3"/>
  <c r="N517" i="3"/>
  <c r="N518" i="3"/>
  <c r="N519" i="3"/>
  <c r="N520" i="3"/>
  <c r="N521" i="3"/>
  <c r="N522" i="3"/>
  <c r="N523" i="3"/>
  <c r="N524" i="3"/>
  <c r="N525" i="3"/>
  <c r="N526" i="3"/>
  <c r="N527" i="3"/>
  <c r="N528" i="3"/>
  <c r="N529" i="3"/>
  <c r="N530" i="3"/>
  <c r="N531" i="3"/>
  <c r="N532" i="3"/>
  <c r="N533" i="3"/>
  <c r="N534" i="3"/>
  <c r="N535" i="3"/>
  <c r="N536" i="3"/>
  <c r="N537" i="3"/>
  <c r="N538" i="3"/>
  <c r="N539" i="3"/>
  <c r="N540" i="3"/>
  <c r="N541" i="3"/>
  <c r="N542" i="3"/>
  <c r="N543" i="3"/>
  <c r="N544" i="3"/>
  <c r="N545" i="3"/>
  <c r="N546" i="3"/>
  <c r="N547" i="3"/>
  <c r="N548" i="3"/>
  <c r="N549" i="3"/>
  <c r="N550" i="3"/>
  <c r="N551" i="3"/>
  <c r="N552" i="3"/>
  <c r="N553" i="3"/>
  <c r="N554" i="3"/>
  <c r="N555" i="3"/>
  <c r="N556" i="3"/>
  <c r="N557" i="3"/>
  <c r="N558" i="3"/>
  <c r="N559" i="3"/>
  <c r="N560" i="3"/>
  <c r="N561" i="3"/>
  <c r="N562" i="3"/>
  <c r="N563" i="3"/>
  <c r="N564" i="3"/>
  <c r="N565" i="3"/>
  <c r="N566" i="3"/>
  <c r="N567" i="3"/>
  <c r="N568" i="3"/>
  <c r="N569" i="3"/>
  <c r="N570" i="3"/>
  <c r="N571" i="3"/>
  <c r="N572" i="3"/>
  <c r="N573" i="3"/>
  <c r="N574" i="3"/>
  <c r="N575" i="3"/>
  <c r="N576" i="3"/>
  <c r="N577" i="3"/>
  <c r="N578" i="3"/>
  <c r="N579" i="3"/>
  <c r="N580" i="3"/>
  <c r="N581" i="3"/>
  <c r="N582" i="3"/>
  <c r="N583" i="3"/>
  <c r="N584" i="3"/>
  <c r="N585" i="3"/>
  <c r="N586" i="3"/>
  <c r="N587" i="3"/>
  <c r="N588" i="3"/>
  <c r="N589" i="3"/>
  <c r="N590" i="3"/>
  <c r="N591" i="3"/>
  <c r="N592" i="3"/>
  <c r="N593" i="3"/>
  <c r="N594" i="3"/>
  <c r="N595" i="3"/>
  <c r="N596" i="3"/>
  <c r="N597" i="3"/>
  <c r="N598" i="3"/>
  <c r="N599" i="3"/>
  <c r="N600" i="3"/>
  <c r="N601" i="3"/>
  <c r="N602" i="3"/>
  <c r="N603" i="3"/>
  <c r="N604" i="3"/>
  <c r="N605" i="3"/>
  <c r="N606" i="3"/>
  <c r="N607" i="3"/>
  <c r="N608" i="3"/>
  <c r="N609" i="3"/>
  <c r="N610" i="3"/>
  <c r="N611" i="3"/>
  <c r="N612" i="3"/>
  <c r="N613" i="3"/>
  <c r="N614" i="3"/>
  <c r="N615" i="3"/>
  <c r="N616" i="3"/>
  <c r="N617" i="3"/>
  <c r="N618" i="3"/>
  <c r="N619" i="3"/>
  <c r="N620" i="3"/>
  <c r="N621" i="3"/>
  <c r="N622" i="3"/>
  <c r="N623" i="3"/>
  <c r="N624" i="3"/>
  <c r="N625" i="3"/>
  <c r="N626" i="3"/>
  <c r="N627" i="3"/>
  <c r="N628" i="3"/>
  <c r="N629" i="3"/>
  <c r="N630" i="3"/>
  <c r="N631" i="3"/>
  <c r="N632" i="3"/>
  <c r="N633" i="3"/>
  <c r="N634" i="3"/>
  <c r="N635" i="3"/>
  <c r="N636" i="3"/>
  <c r="N637" i="3"/>
  <c r="N638" i="3"/>
  <c r="N639" i="3"/>
  <c r="N640" i="3"/>
  <c r="N641" i="3"/>
  <c r="N642" i="3"/>
  <c r="N643" i="3"/>
  <c r="N644" i="3"/>
  <c r="N645" i="3"/>
  <c r="N646" i="3"/>
  <c r="N647" i="3"/>
  <c r="N648" i="3"/>
  <c r="N649" i="3"/>
  <c r="N650" i="3"/>
  <c r="N651" i="3"/>
  <c r="N652" i="3"/>
  <c r="N653" i="3"/>
  <c r="N654" i="3"/>
  <c r="N655" i="3"/>
  <c r="N656" i="3"/>
  <c r="N657" i="3"/>
  <c r="N658" i="3"/>
  <c r="N659" i="3"/>
  <c r="N660" i="3"/>
  <c r="N661" i="3"/>
  <c r="N662" i="3"/>
  <c r="N663" i="3"/>
  <c r="N664" i="3"/>
  <c r="N665" i="3"/>
  <c r="N666" i="3"/>
  <c r="N667" i="3"/>
  <c r="N668" i="3"/>
  <c r="N669" i="3"/>
  <c r="N670" i="3"/>
  <c r="N671" i="3"/>
  <c r="N672" i="3"/>
  <c r="N673" i="3"/>
  <c r="N674" i="3"/>
  <c r="N675" i="3"/>
  <c r="N676" i="3"/>
  <c r="N677" i="3"/>
  <c r="N678" i="3"/>
  <c r="N679" i="3"/>
  <c r="N680" i="3"/>
  <c r="N681" i="3"/>
  <c r="N682" i="3"/>
  <c r="N683" i="3"/>
  <c r="N684" i="3"/>
  <c r="N685" i="3"/>
  <c r="N686" i="3"/>
  <c r="N687" i="3"/>
  <c r="N688" i="3"/>
  <c r="N689" i="3"/>
  <c r="N690" i="3"/>
  <c r="N691" i="3"/>
  <c r="N692" i="3"/>
  <c r="N693" i="3"/>
  <c r="N694" i="3"/>
  <c r="N695" i="3"/>
  <c r="N696" i="3"/>
  <c r="N697" i="3"/>
  <c r="N698" i="3"/>
  <c r="N699" i="3"/>
  <c r="N700" i="3"/>
  <c r="N701" i="3"/>
  <c r="N702" i="3"/>
  <c r="N703" i="3"/>
  <c r="N704" i="3"/>
  <c r="N705" i="3"/>
  <c r="N706" i="3"/>
  <c r="N707" i="3"/>
  <c r="N708" i="3"/>
  <c r="N709" i="3"/>
  <c r="N710" i="3"/>
  <c r="N711" i="3"/>
  <c r="N712" i="3"/>
  <c r="N713" i="3"/>
  <c r="N714" i="3"/>
  <c r="N715" i="3"/>
  <c r="N716" i="3"/>
  <c r="N717" i="3"/>
  <c r="N718" i="3"/>
  <c r="N719" i="3"/>
  <c r="N720" i="3"/>
  <c r="N721" i="3"/>
  <c r="N722" i="3"/>
  <c r="N723" i="3"/>
  <c r="N724" i="3"/>
  <c r="N725" i="3"/>
  <c r="N726" i="3"/>
  <c r="N727" i="3"/>
  <c r="N728" i="3"/>
  <c r="N729" i="3"/>
  <c r="N730" i="3"/>
  <c r="N731" i="3"/>
  <c r="N732" i="3"/>
  <c r="N733" i="3"/>
  <c r="N734" i="3"/>
  <c r="N735" i="3"/>
  <c r="N736" i="3"/>
  <c r="N737" i="3"/>
  <c r="N738" i="3"/>
  <c r="N739" i="3"/>
  <c r="N740" i="3"/>
  <c r="N741" i="3"/>
  <c r="N742" i="3"/>
  <c r="N743" i="3"/>
  <c r="N744" i="3"/>
  <c r="N745" i="3"/>
  <c r="N746" i="3"/>
  <c r="N747" i="3"/>
  <c r="N748" i="3"/>
  <c r="N749" i="3"/>
  <c r="N750" i="3"/>
  <c r="N751" i="3"/>
  <c r="N752" i="3"/>
  <c r="N753" i="3"/>
  <c r="N754" i="3"/>
  <c r="N755" i="3"/>
  <c r="N756" i="3"/>
  <c r="N757" i="3"/>
  <c r="N758" i="3"/>
  <c r="N759" i="3"/>
  <c r="N760" i="3"/>
  <c r="N761" i="3"/>
  <c r="N762" i="3"/>
  <c r="N763" i="3"/>
  <c r="N764" i="3"/>
  <c r="N765" i="3"/>
  <c r="N766" i="3"/>
  <c r="N767" i="3"/>
  <c r="N768" i="3"/>
  <c r="N769" i="3"/>
  <c r="N770" i="3"/>
  <c r="N771" i="3"/>
  <c r="N772" i="3"/>
  <c r="N773" i="3"/>
  <c r="N774" i="3"/>
  <c r="N775" i="3"/>
  <c r="N776" i="3"/>
  <c r="N777" i="3"/>
  <c r="N778" i="3"/>
  <c r="N779" i="3"/>
  <c r="N780" i="3"/>
  <c r="N781" i="3"/>
  <c r="N782" i="3"/>
  <c r="N783" i="3"/>
  <c r="N784" i="3"/>
  <c r="N785" i="3"/>
  <c r="N786" i="3"/>
  <c r="N787" i="3"/>
  <c r="N788" i="3"/>
  <c r="N789" i="3"/>
  <c r="N790" i="3"/>
  <c r="N791" i="3"/>
  <c r="N792" i="3"/>
  <c r="N793" i="3"/>
  <c r="N794" i="3"/>
  <c r="N795" i="3"/>
  <c r="N796" i="3"/>
  <c r="N797" i="3"/>
  <c r="N798" i="3"/>
  <c r="N799" i="3"/>
  <c r="N800" i="3"/>
  <c r="N801" i="3"/>
  <c r="N802" i="3"/>
  <c r="N803" i="3"/>
  <c r="N804" i="3"/>
  <c r="N805" i="3"/>
  <c r="N806" i="3"/>
  <c r="N807" i="3"/>
  <c r="N808" i="3"/>
  <c r="N809" i="3"/>
  <c r="N810" i="3"/>
  <c r="N811" i="3"/>
  <c r="N812" i="3"/>
  <c r="N813" i="3"/>
  <c r="N814" i="3"/>
  <c r="N815" i="3"/>
  <c r="N816" i="3"/>
  <c r="N817" i="3"/>
  <c r="N818" i="3"/>
  <c r="N819" i="3"/>
  <c r="N820" i="3"/>
  <c r="N821" i="3"/>
  <c r="N822" i="3"/>
  <c r="N823" i="3"/>
  <c r="N824" i="3"/>
  <c r="N825" i="3"/>
  <c r="N826" i="3"/>
  <c r="N827" i="3"/>
  <c r="N828" i="3"/>
  <c r="N829" i="3"/>
  <c r="N830" i="3"/>
  <c r="N831" i="3"/>
  <c r="N832" i="3"/>
  <c r="N833" i="3"/>
  <c r="N834" i="3"/>
  <c r="N835" i="3"/>
  <c r="N836" i="3"/>
  <c r="N837" i="3"/>
  <c r="N838" i="3"/>
  <c r="N839" i="3"/>
  <c r="N840" i="3"/>
  <c r="N841" i="3"/>
  <c r="N842" i="3"/>
  <c r="N843" i="3"/>
  <c r="N844" i="3"/>
  <c r="N845" i="3"/>
  <c r="N846" i="3"/>
  <c r="N847" i="3"/>
  <c r="N848" i="3"/>
  <c r="N849" i="3"/>
  <c r="N850" i="3"/>
  <c r="N851" i="3"/>
  <c r="N852" i="3"/>
  <c r="N853" i="3"/>
  <c r="N854" i="3"/>
  <c r="N855" i="3"/>
  <c r="N856" i="3"/>
  <c r="N857" i="3"/>
  <c r="N858" i="3"/>
  <c r="N859" i="3"/>
  <c r="N860" i="3"/>
  <c r="N861" i="3"/>
  <c r="N862" i="3"/>
  <c r="N863" i="3"/>
  <c r="N864" i="3"/>
  <c r="N865" i="3"/>
  <c r="N866" i="3"/>
  <c r="N867" i="3"/>
  <c r="N868" i="3"/>
  <c r="N869" i="3"/>
  <c r="N870" i="3"/>
  <c r="N871" i="3"/>
  <c r="N872" i="3"/>
  <c r="N873" i="3"/>
  <c r="N874" i="3"/>
  <c r="N875" i="3"/>
  <c r="N876" i="3"/>
  <c r="N877" i="3"/>
  <c r="N878" i="3"/>
  <c r="N879" i="3"/>
  <c r="N880" i="3"/>
  <c r="N881" i="3"/>
  <c r="N882" i="3"/>
  <c r="N883" i="3"/>
  <c r="N884" i="3"/>
  <c r="N885" i="3"/>
  <c r="N886" i="3"/>
  <c r="N887" i="3"/>
  <c r="N888" i="3"/>
  <c r="N889" i="3"/>
  <c r="N890" i="3"/>
  <c r="N891" i="3"/>
  <c r="N892" i="3"/>
  <c r="N893" i="3"/>
  <c r="N894" i="3"/>
  <c r="N895" i="3"/>
  <c r="N896" i="3"/>
  <c r="N897" i="3"/>
  <c r="N898" i="3"/>
  <c r="N899" i="3"/>
  <c r="N900" i="3"/>
  <c r="N901" i="3"/>
  <c r="N902" i="3"/>
  <c r="N903" i="3"/>
  <c r="N904" i="3"/>
  <c r="N905" i="3"/>
  <c r="N906" i="3"/>
  <c r="N907" i="3"/>
  <c r="N908" i="3"/>
  <c r="N909" i="3"/>
  <c r="N910" i="3"/>
  <c r="N911" i="3"/>
  <c r="N912" i="3"/>
  <c r="N913" i="3"/>
  <c r="N914" i="3"/>
  <c r="N915" i="3"/>
  <c r="N916" i="3"/>
  <c r="N917" i="3"/>
  <c r="N918" i="3"/>
  <c r="N919" i="3"/>
  <c r="N920" i="3"/>
  <c r="N921" i="3"/>
  <c r="N922" i="3"/>
  <c r="N923" i="3"/>
  <c r="N924" i="3"/>
  <c r="N925" i="3"/>
  <c r="N926" i="3"/>
  <c r="N927" i="3"/>
  <c r="N928" i="3"/>
  <c r="N929" i="3"/>
  <c r="N930" i="3"/>
  <c r="N931" i="3"/>
  <c r="N932" i="3"/>
  <c r="N933" i="3"/>
  <c r="N934" i="3"/>
  <c r="N935" i="3"/>
  <c r="N936" i="3"/>
  <c r="N937" i="3"/>
  <c r="N938" i="3"/>
  <c r="N939" i="3"/>
  <c r="N940" i="3"/>
  <c r="N941" i="3"/>
  <c r="N942" i="3"/>
  <c r="N943" i="3"/>
  <c r="N944" i="3"/>
  <c r="N945" i="3"/>
  <c r="N946" i="3"/>
  <c r="N947" i="3"/>
  <c r="N948" i="3"/>
  <c r="N949" i="3"/>
  <c r="N950" i="3"/>
  <c r="N951" i="3"/>
  <c r="N952" i="3"/>
  <c r="N953" i="3"/>
  <c r="N954" i="3"/>
  <c r="N955" i="3"/>
  <c r="N956" i="3"/>
  <c r="N957" i="3"/>
  <c r="N958" i="3"/>
  <c r="N959" i="3"/>
  <c r="N960" i="3"/>
  <c r="N961" i="3"/>
  <c r="N962" i="3"/>
  <c r="N963" i="3"/>
  <c r="N964" i="3"/>
  <c r="N965" i="3"/>
  <c r="N966" i="3"/>
  <c r="N967" i="3"/>
  <c r="N968" i="3"/>
  <c r="N969" i="3"/>
  <c r="N970" i="3"/>
  <c r="N971" i="3"/>
  <c r="N972" i="3"/>
  <c r="N973" i="3"/>
  <c r="N974" i="3"/>
  <c r="N975" i="3"/>
  <c r="N976" i="3"/>
  <c r="N977" i="3"/>
  <c r="N978" i="3"/>
  <c r="N979" i="3"/>
  <c r="N980" i="3"/>
  <c r="N981" i="3"/>
  <c r="N982" i="3"/>
  <c r="N983" i="3"/>
  <c r="N984" i="3"/>
  <c r="N985" i="3"/>
  <c r="N986" i="3"/>
  <c r="N987" i="3"/>
  <c r="N988" i="3"/>
  <c r="N989" i="3"/>
  <c r="N990" i="3"/>
  <c r="N991" i="3"/>
  <c r="N992" i="3"/>
  <c r="N993" i="3"/>
  <c r="N994" i="3"/>
  <c r="N995" i="3"/>
  <c r="N996" i="3"/>
  <c r="N997" i="3"/>
  <c r="N998" i="3"/>
  <c r="N999" i="3"/>
  <c r="N1000" i="3"/>
  <c r="N1001" i="3"/>
  <c r="N1002" i="3"/>
  <c r="N1003" i="3"/>
  <c r="N1004" i="3"/>
  <c r="N1005" i="3"/>
  <c r="N1006" i="3"/>
  <c r="N1007" i="3"/>
  <c r="N1008" i="3"/>
  <c r="N1009" i="3"/>
  <c r="N1010" i="3"/>
  <c r="N1011" i="3"/>
  <c r="N1012" i="3"/>
  <c r="N1013" i="3"/>
  <c r="N1014" i="3"/>
  <c r="N1015" i="3"/>
  <c r="N1016" i="3"/>
  <c r="N1017" i="3"/>
  <c r="N1018" i="3"/>
  <c r="N1019" i="3"/>
  <c r="N1020" i="3"/>
  <c r="N1021" i="3"/>
  <c r="N1022" i="3"/>
  <c r="N1023" i="3"/>
  <c r="N1024" i="3"/>
  <c r="N1025" i="3"/>
  <c r="N1026" i="3"/>
  <c r="N1027" i="3"/>
  <c r="N1028" i="3"/>
  <c r="N1029" i="3"/>
  <c r="N1030" i="3"/>
  <c r="N1031" i="3"/>
  <c r="N1032" i="3"/>
  <c r="N1033" i="3"/>
  <c r="N1034" i="3"/>
  <c r="N1035" i="3"/>
  <c r="N1036" i="3"/>
  <c r="N1037" i="3"/>
  <c r="N1038" i="3"/>
  <c r="N1039" i="3"/>
  <c r="N1040" i="3"/>
  <c r="N1041" i="3"/>
  <c r="N1042" i="3"/>
  <c r="N1043" i="3"/>
  <c r="N1044" i="3"/>
  <c r="N1045" i="3"/>
  <c r="N1046" i="3"/>
  <c r="N1047" i="3"/>
  <c r="N1048" i="3"/>
  <c r="N1049" i="3"/>
  <c r="N1050" i="3"/>
  <c r="N1051" i="3"/>
  <c r="N1052" i="3"/>
  <c r="N1053" i="3"/>
  <c r="N1054" i="3"/>
  <c r="N1055" i="3"/>
  <c r="N1056" i="3"/>
  <c r="N1057" i="3"/>
  <c r="N1058" i="3"/>
  <c r="N1059" i="3"/>
  <c r="N1060" i="3"/>
  <c r="N1061" i="3"/>
  <c r="N1062" i="3"/>
  <c r="N1063" i="3"/>
  <c r="N1064" i="3"/>
  <c r="N1065" i="3"/>
  <c r="N1066" i="3"/>
  <c r="N1067" i="3"/>
  <c r="N1068" i="3"/>
  <c r="N1069" i="3"/>
  <c r="N1070" i="3"/>
  <c r="N1071" i="3"/>
  <c r="N1072" i="3"/>
  <c r="N1073" i="3"/>
  <c r="N1074" i="3"/>
  <c r="N1075" i="3"/>
  <c r="N1076" i="3"/>
  <c r="N1077" i="3"/>
  <c r="N1078" i="3"/>
  <c r="N1079" i="3"/>
  <c r="N1080" i="3"/>
  <c r="N1081" i="3"/>
  <c r="N1082" i="3"/>
  <c r="N1083" i="3"/>
  <c r="N1084" i="3"/>
  <c r="N1085" i="3"/>
  <c r="N1086" i="3"/>
  <c r="N1087" i="3"/>
  <c r="N1088" i="3"/>
  <c r="N1089" i="3"/>
  <c r="N1090" i="3"/>
  <c r="N1091" i="3"/>
  <c r="N1092" i="3"/>
  <c r="N1093" i="3"/>
  <c r="N1094" i="3"/>
  <c r="N1095" i="3"/>
  <c r="N1096" i="3"/>
  <c r="N1097" i="3"/>
  <c r="N1098" i="3"/>
  <c r="N1099" i="3"/>
  <c r="N1100" i="3"/>
  <c r="N1101" i="3"/>
  <c r="N1102" i="3"/>
  <c r="N1103" i="3"/>
  <c r="N1104" i="3"/>
  <c r="N1105" i="3"/>
  <c r="N1106" i="3"/>
  <c r="N1107" i="3"/>
  <c r="N1108" i="3"/>
  <c r="N1109" i="3"/>
  <c r="N1110" i="3"/>
  <c r="N1111" i="3"/>
  <c r="N1112" i="3"/>
  <c r="N1113" i="3"/>
  <c r="N1114" i="3"/>
  <c r="N1115" i="3"/>
  <c r="N1116" i="3"/>
  <c r="N1117" i="3"/>
  <c r="N1118" i="3"/>
  <c r="N1119" i="3"/>
  <c r="N1120" i="3"/>
  <c r="N1121" i="3"/>
  <c r="N1122" i="3"/>
  <c r="N1123" i="3"/>
  <c r="N1124" i="3"/>
  <c r="N1125" i="3"/>
  <c r="N1126" i="3"/>
  <c r="N1127" i="3"/>
  <c r="N1128" i="3"/>
  <c r="N1129" i="3"/>
  <c r="N1130" i="3"/>
  <c r="N1131" i="3"/>
  <c r="N1132" i="3"/>
  <c r="N1133" i="3"/>
  <c r="N1134" i="3"/>
  <c r="N1135" i="3"/>
  <c r="N1136" i="3"/>
  <c r="N1137" i="3"/>
  <c r="N1138" i="3"/>
  <c r="N1139" i="3"/>
  <c r="N1140" i="3"/>
  <c r="N1141" i="3"/>
  <c r="N1142" i="3"/>
  <c r="N1143" i="3"/>
  <c r="N1144" i="3"/>
  <c r="N1145" i="3"/>
  <c r="N1146" i="3"/>
  <c r="N1147" i="3"/>
  <c r="N1148" i="3"/>
  <c r="N1149" i="3"/>
  <c r="N1150" i="3"/>
  <c r="N1151" i="3"/>
  <c r="N1152" i="3"/>
  <c r="N1153" i="3"/>
  <c r="N1154" i="3"/>
  <c r="N1155" i="3"/>
  <c r="N1156" i="3"/>
  <c r="N1157" i="3"/>
  <c r="N1158" i="3"/>
  <c r="N1159" i="3"/>
  <c r="N1160" i="3"/>
  <c r="N1161" i="3"/>
  <c r="N1162" i="3"/>
  <c r="N1163" i="3"/>
  <c r="N1164" i="3"/>
  <c r="N1165" i="3"/>
  <c r="N1166" i="3"/>
  <c r="N1167" i="3"/>
  <c r="N1168" i="3"/>
  <c r="N1169" i="3"/>
  <c r="N1170" i="3"/>
  <c r="N1171" i="3"/>
  <c r="N1172" i="3"/>
  <c r="N1173" i="3"/>
  <c r="N1174" i="3"/>
  <c r="N1175" i="3"/>
  <c r="N1176" i="3"/>
  <c r="N1177" i="3"/>
  <c r="N1178" i="3"/>
  <c r="N1179" i="3"/>
  <c r="N1180" i="3"/>
  <c r="N1181" i="3"/>
  <c r="N1182" i="3"/>
  <c r="N1183" i="3"/>
  <c r="N1184" i="3"/>
  <c r="N1185" i="3"/>
  <c r="N1186" i="3"/>
  <c r="N1187" i="3"/>
  <c r="N1188" i="3"/>
  <c r="N1189" i="3"/>
  <c r="N1190" i="3"/>
  <c r="N1191" i="3"/>
  <c r="N1192" i="3"/>
  <c r="N1193" i="3"/>
  <c r="N1194" i="3"/>
  <c r="N1195"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J20" i="5"/>
  <c r="H8" i="5"/>
  <c r="H4" i="5"/>
  <c r="H12" i="5"/>
  <c r="H16" i="5"/>
  <c r="E20" i="5"/>
  <c r="E4" i="5"/>
  <c r="E12" i="5"/>
  <c r="E16" i="5"/>
  <c r="E8" i="5"/>
</calcChain>
</file>

<file path=xl/sharedStrings.xml><?xml version="1.0" encoding="utf-8"?>
<sst xmlns="http://schemas.openxmlformats.org/spreadsheetml/2006/main" count="19260" uniqueCount="1515">
  <si>
    <t>Order ID</t>
  </si>
  <si>
    <t>Amount</t>
  </si>
  <si>
    <t>Profit</t>
  </si>
  <si>
    <t>Quantity</t>
  </si>
  <si>
    <t>Category</t>
  </si>
  <si>
    <t>Sub-Category</t>
  </si>
  <si>
    <t>PaymentMode</t>
  </si>
  <si>
    <t>Order Date</t>
  </si>
  <si>
    <t>CustomerName</t>
  </si>
  <si>
    <t>State</t>
  </si>
  <si>
    <t>City</t>
  </si>
  <si>
    <t>Year-Month</t>
  </si>
  <si>
    <t>B-26776</t>
  </si>
  <si>
    <t>Electronics</t>
  </si>
  <si>
    <t>Electronic Games</t>
  </si>
  <si>
    <t>UPI</t>
  </si>
  <si>
    <t>David Padilla</t>
  </si>
  <si>
    <t>Florida</t>
  </si>
  <si>
    <t>Miami</t>
  </si>
  <si>
    <t>2023-06</t>
  </si>
  <si>
    <t>Connor Morgan</t>
  </si>
  <si>
    <t>Illinois</t>
  </si>
  <si>
    <t>Chicago</t>
  </si>
  <si>
    <t>2024-12</t>
  </si>
  <si>
    <t>Robert Stone</t>
  </si>
  <si>
    <t>New York</t>
  </si>
  <si>
    <t>Buffalo</t>
  </si>
  <si>
    <t>2021-07</t>
  </si>
  <si>
    <t>Printers</t>
  </si>
  <si>
    <t>B-26942</t>
  </si>
  <si>
    <t>Office Supplies</t>
  </si>
  <si>
    <t>Pens</t>
  </si>
  <si>
    <t>Debit Card</t>
  </si>
  <si>
    <t>John Fields</t>
  </si>
  <si>
    <t>Orlando</t>
  </si>
  <si>
    <t>2024-05</t>
  </si>
  <si>
    <t>Clayton Smith</t>
  </si>
  <si>
    <t>2021-10</t>
  </si>
  <si>
    <t>B-26640</t>
  </si>
  <si>
    <t>Laptops</t>
  </si>
  <si>
    <t>EMI</t>
  </si>
  <si>
    <t>Richard Kelley</t>
  </si>
  <si>
    <t>California</t>
  </si>
  <si>
    <t>Los Angeles</t>
  </si>
  <si>
    <t>2022-11</t>
  </si>
  <si>
    <t>Furniture</t>
  </si>
  <si>
    <t>Tables</t>
  </si>
  <si>
    <t>Credit Card</t>
  </si>
  <si>
    <t>B-25890</t>
  </si>
  <si>
    <t>Chairs</t>
  </si>
  <si>
    <t>Jacqueline Hubbard</t>
  </si>
  <si>
    <t>New York City</t>
  </si>
  <si>
    <t>2023-11</t>
  </si>
  <si>
    <t>B-25102</t>
  </si>
  <si>
    <t>Jessica Anderson</t>
  </si>
  <si>
    <t>2020-03</t>
  </si>
  <si>
    <t>B-25426</t>
  </si>
  <si>
    <t>Markers</t>
  </si>
  <si>
    <t>Mary Taylor</t>
  </si>
  <si>
    <t>2020-05</t>
  </si>
  <si>
    <t>Sofas</t>
  </si>
  <si>
    <t>B-25238</t>
  </si>
  <si>
    <t>Walter Crawford</t>
  </si>
  <si>
    <t>Springfield</t>
  </si>
  <si>
    <t>Paper</t>
  </si>
  <si>
    <t>COD</t>
  </si>
  <si>
    <t>B-25051</t>
  </si>
  <si>
    <t>Lawrence Robinson</t>
  </si>
  <si>
    <t>Rochester</t>
  </si>
  <si>
    <t>B-26510</t>
  </si>
  <si>
    <t>Douglas Pennington</t>
  </si>
  <si>
    <t>Texas</t>
  </si>
  <si>
    <t>Dallas</t>
  </si>
  <si>
    <t>2025-02</t>
  </si>
  <si>
    <t>Ricardo Andrews</t>
  </si>
  <si>
    <t>San Diego</t>
  </si>
  <si>
    <t>2024-01</t>
  </si>
  <si>
    <t>B-25104</t>
  </si>
  <si>
    <t>Binders</t>
  </si>
  <si>
    <t>Paul Raymond</t>
  </si>
  <si>
    <t>2020-11</t>
  </si>
  <si>
    <t>B-25553</t>
  </si>
  <si>
    <t>Phones</t>
  </si>
  <si>
    <t>Karen Johnson</t>
  </si>
  <si>
    <t>B-26703</t>
  </si>
  <si>
    <t>Juan Erickson</t>
  </si>
  <si>
    <t>Austin</t>
  </si>
  <si>
    <t>2022-01</t>
  </si>
  <si>
    <t>B-26232</t>
  </si>
  <si>
    <t>Alexander Reed</t>
  </si>
  <si>
    <t>2021-12</t>
  </si>
  <si>
    <t>Jacqueline Harris</t>
  </si>
  <si>
    <t>San Francisco</t>
  </si>
  <si>
    <t>2023-02</t>
  </si>
  <si>
    <t>B-25394</t>
  </si>
  <si>
    <t>Tyler Park</t>
  </si>
  <si>
    <t>2022-10</t>
  </si>
  <si>
    <t>Richard Wolfe</t>
  </si>
  <si>
    <t>Ohio</t>
  </si>
  <si>
    <t>Columbus</t>
  </si>
  <si>
    <t>B-26157</t>
  </si>
  <si>
    <t>Sierra Rios</t>
  </si>
  <si>
    <t>2023-12</t>
  </si>
  <si>
    <t>B-25555</t>
  </si>
  <si>
    <t>Jessica Richardson</t>
  </si>
  <si>
    <t>2023-07</t>
  </si>
  <si>
    <t>Kimberly Warren</t>
  </si>
  <si>
    <t>Cincinnati</t>
  </si>
  <si>
    <t>2021-05</t>
  </si>
  <si>
    <t>Bookcases</t>
  </si>
  <si>
    <t>B-26139</t>
  </si>
  <si>
    <t>Casey Garcia</t>
  </si>
  <si>
    <t>B-25032</t>
  </si>
  <si>
    <t>Denise Hampton</t>
  </si>
  <si>
    <t>2024-08</t>
  </si>
  <si>
    <t>B-25730</t>
  </si>
  <si>
    <t>Justin Rodriguez</t>
  </si>
  <si>
    <t>Cleveland</t>
  </si>
  <si>
    <t>Ms. Emily Baxter</t>
  </si>
  <si>
    <t>2020-10</t>
  </si>
  <si>
    <t>Austin White</t>
  </si>
  <si>
    <t>2023-08</t>
  </si>
  <si>
    <t>B-26470</t>
  </si>
  <si>
    <t>Morgan Montes</t>
  </si>
  <si>
    <t>Christine Mosley</t>
  </si>
  <si>
    <t>2021-06</t>
  </si>
  <si>
    <t>Ashley Rodriguez</t>
  </si>
  <si>
    <t>2023-05</t>
  </si>
  <si>
    <t>Elizabeth King</t>
  </si>
  <si>
    <t>B-25988</t>
  </si>
  <si>
    <t>Connie Holmes</t>
  </si>
  <si>
    <t>2022-09</t>
  </si>
  <si>
    <t>B-25568</t>
  </si>
  <si>
    <t>Melissa Peck</t>
  </si>
  <si>
    <t>2022-03</t>
  </si>
  <si>
    <t>B-26730</t>
  </si>
  <si>
    <t>David Smith</t>
  </si>
  <si>
    <t>2022-02</t>
  </si>
  <si>
    <t>Houston</t>
  </si>
  <si>
    <t>2021-04</t>
  </si>
  <si>
    <t>B-25372</t>
  </si>
  <si>
    <t>Heather Jenkins</t>
  </si>
  <si>
    <t>B-26026</t>
  </si>
  <si>
    <t>Kelsey Castaneda</t>
  </si>
  <si>
    <t>Katherine Harris</t>
  </si>
  <si>
    <t>2023-04</t>
  </si>
  <si>
    <t>B-25295</t>
  </si>
  <si>
    <t>Paul Rogers</t>
  </si>
  <si>
    <t>B-26121</t>
  </si>
  <si>
    <t>Jon Banks</t>
  </si>
  <si>
    <t>Tampa</t>
  </si>
  <si>
    <t>Michelle Williams</t>
  </si>
  <si>
    <t>2022-12</t>
  </si>
  <si>
    <t>B-25560</t>
  </si>
  <si>
    <t>Andrew Allen</t>
  </si>
  <si>
    <t>B-26076</t>
  </si>
  <si>
    <t>Vanessa Bauer</t>
  </si>
  <si>
    <t>2025-03</t>
  </si>
  <si>
    <t>Sean Smith</t>
  </si>
  <si>
    <t>2024-09</t>
  </si>
  <si>
    <t>B-25872</t>
  </si>
  <si>
    <t>Shelly Sweeney</t>
  </si>
  <si>
    <t>2020-04</t>
  </si>
  <si>
    <t>B-26185</t>
  </si>
  <si>
    <t>Emily Gill</t>
  </si>
  <si>
    <t>2022-06</t>
  </si>
  <si>
    <t>Brian Patrick</t>
  </si>
  <si>
    <t>2021-03</t>
  </si>
  <si>
    <t>Dr. Sarah Booth</t>
  </si>
  <si>
    <t>B-26259</t>
  </si>
  <si>
    <t>Douglas Mcfarland</t>
  </si>
  <si>
    <t>Kayla Ross</t>
  </si>
  <si>
    <t>Peoria</t>
  </si>
  <si>
    <t>B-25142</t>
  </si>
  <si>
    <t>Marc Strickland</t>
  </si>
  <si>
    <t>2021-11</t>
  </si>
  <si>
    <t>B-25326</t>
  </si>
  <si>
    <t>Charlene Brown</t>
  </si>
  <si>
    <t>2021-08</t>
  </si>
  <si>
    <t>Charles Smith</t>
  </si>
  <si>
    <t>2022-05</t>
  </si>
  <si>
    <t>B-26795</t>
  </si>
  <si>
    <t>Karen Townsend</t>
  </si>
  <si>
    <t>B-25660</t>
  </si>
  <si>
    <t>Steven Cox</t>
  </si>
  <si>
    <t>2020-08</t>
  </si>
  <si>
    <t>Cynthia Rodriguez</t>
  </si>
  <si>
    <t>2022-04</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</si>
  <si>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</si>
  <si>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</si>
  <si>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</si>
  <si>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</si>
  <si>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</si>
  <si>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</si>
  <si>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</si>
  <si>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</si>
  <si>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</si>
  <si>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</si>
  <si>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</si>
  <si>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</si>
  <si>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</si>
  <si>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</si>
  <si>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</si>
  <si>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</si>
  <si>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</si>
  <si>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</si>
  <si>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</si>
  <si>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</si>
  <si>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</si>
  <si>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2022-08</t>
  </si>
  <si>
    <t>B-25884</t>
  </si>
  <si>
    <t>Sean Elliott</t>
  </si>
  <si>
    <t>Wanda West</t>
  </si>
  <si>
    <t>B-26287</t>
  </si>
  <si>
    <t>Renee Solomon</t>
  </si>
  <si>
    <t>2024-07</t>
  </si>
  <si>
    <t>B-26564</t>
  </si>
  <si>
    <t>Daryl Miles</t>
  </si>
  <si>
    <t>2024-02</t>
  </si>
  <si>
    <t>B-26293</t>
  </si>
  <si>
    <t>Michael Hunt</t>
  </si>
  <si>
    <t>B-25915</t>
  </si>
  <si>
    <t>Adam Clark</t>
  </si>
  <si>
    <t>Amy Olsen</t>
  </si>
  <si>
    <t>2021-09</t>
  </si>
  <si>
    <t>Stacey Miller</t>
  </si>
  <si>
    <t>B-26496</t>
  </si>
  <si>
    <t>Daniel Mosley</t>
  </si>
  <si>
    <t>B-25856</t>
  </si>
  <si>
    <t>Monica Gibson</t>
  </si>
  <si>
    <t>B-26899</t>
  </si>
  <si>
    <t>Christopher Jordan</t>
  </si>
  <si>
    <t>B-25916</t>
  </si>
  <si>
    <t>Christina Davis</t>
  </si>
  <si>
    <t>Claudia Curry</t>
  </si>
  <si>
    <t>2024-04</t>
  </si>
  <si>
    <t>B-26428</t>
  </si>
  <si>
    <t>Brandon Anderson</t>
  </si>
  <si>
    <t>B-26332</t>
  </si>
  <si>
    <t>George Foster</t>
  </si>
  <si>
    <t>Nicholas Anderson</t>
  </si>
  <si>
    <t>Emily Ellison</t>
  </si>
  <si>
    <t>B-25303</t>
  </si>
  <si>
    <t>Darren Perez</t>
  </si>
  <si>
    <t>Michelle Hunter</t>
  </si>
  <si>
    <t>2023-03</t>
  </si>
  <si>
    <t>B-26507</t>
  </si>
  <si>
    <t>Janet Guerrero</t>
  </si>
  <si>
    <t>B-25983</t>
  </si>
  <si>
    <t>Jeffrey Kline</t>
  </si>
  <si>
    <t>Ryan Bullock</t>
  </si>
  <si>
    <t>B-25156</t>
  </si>
  <si>
    <t>Tom Lawson</t>
  </si>
  <si>
    <t>B-26759</t>
  </si>
  <si>
    <t>Rebecca Smith</t>
  </si>
  <si>
    <t>2024-11</t>
  </si>
  <si>
    <t>B-26244</t>
  </si>
  <si>
    <t>William Welch</t>
  </si>
  <si>
    <t>B-26365</t>
  </si>
  <si>
    <t>Mr. Curtis Bailey</t>
  </si>
  <si>
    <t>B-26212</t>
  </si>
  <si>
    <t>Janet Carlson</t>
  </si>
  <si>
    <t>2024-06</t>
  </si>
  <si>
    <t>B-25042</t>
  </si>
  <si>
    <t>Spencer Spears</t>
  </si>
  <si>
    <t>B-25901</t>
  </si>
  <si>
    <t>Jeffrey Middleton</t>
  </si>
  <si>
    <t>Veronica Kelley</t>
  </si>
  <si>
    <t>Leslie Bean</t>
  </si>
  <si>
    <t>B-26747</t>
  </si>
  <si>
    <t>Amy Wilson</t>
  </si>
  <si>
    <t>B-26698</t>
  </si>
  <si>
    <t>Susan Ramirez</t>
  </si>
  <si>
    <t>2023-09</t>
  </si>
  <si>
    <t>B-25841</t>
  </si>
  <si>
    <t>Jacob Meyer</t>
  </si>
  <si>
    <t>2021-01</t>
  </si>
  <si>
    <t>B-26032</t>
  </si>
  <si>
    <t>Scott Lewis</t>
  </si>
  <si>
    <t>Eric Griffith</t>
  </si>
  <si>
    <t>Anna Ferguson</t>
  </si>
  <si>
    <t>B-25171</t>
  </si>
  <si>
    <t>David Figueroa</t>
  </si>
  <si>
    <t>B-26939</t>
  </si>
  <si>
    <t>Theresa Medina</t>
  </si>
  <si>
    <t>B-26347</t>
  </si>
  <si>
    <t>Mary Smith</t>
  </si>
  <si>
    <t>2020-12</t>
  </si>
  <si>
    <t>Lance Cain</t>
  </si>
  <si>
    <t>B-25388</t>
  </si>
  <si>
    <t>Alexandra Moran</t>
  </si>
  <si>
    <t>Sara Castro</t>
  </si>
  <si>
    <t>2021-02</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</si>
  <si>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</si>
  <si>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</si>
  <si>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</si>
  <si>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</si>
  <si>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</si>
  <si>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</si>
  <si>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</si>
  <si>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</si>
  <si>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</si>
  <si>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</si>
  <si>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</si>
  <si>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</si>
  <si>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</si>
  <si>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</si>
  <si>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</si>
  <si>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2025-01</t>
  </si>
  <si>
    <t>B-25885</t>
  </si>
  <si>
    <t>Dawn Howard</t>
  </si>
  <si>
    <t>B-25004</t>
  </si>
  <si>
    <t>Jennifer Marshall</t>
  </si>
  <si>
    <t>2020-06</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</si>
  <si>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</si>
  <si>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</si>
  <si>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</si>
  <si>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</si>
  <si>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</si>
  <si>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</si>
  <si>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</si>
  <si>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</si>
  <si>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</si>
  <si>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</si>
  <si>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</si>
  <si>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</si>
  <si>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</si>
  <si>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</si>
  <si>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</si>
  <si>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</si>
  <si>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</si>
  <si>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</si>
  <si>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</si>
  <si>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2023-01</t>
  </si>
  <si>
    <t>B-25223</t>
  </si>
  <si>
    <t>Heidi Davis</t>
  </si>
  <si>
    <t>B-25714</t>
  </si>
  <si>
    <t>Charles Lane</t>
  </si>
  <si>
    <t>2024-03</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</si>
  <si>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</si>
  <si>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</si>
  <si>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</si>
  <si>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</si>
  <si>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</si>
  <si>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</si>
  <si>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</si>
  <si>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</si>
  <si>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</si>
  <si>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</si>
  <si>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</si>
  <si>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</si>
  <si>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</si>
  <si>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</si>
  <si>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</si>
  <si>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</si>
  <si>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</si>
  <si>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</si>
  <si>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</si>
  <si>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</si>
  <si>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</si>
  <si>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2024-10</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</si>
  <si>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</si>
  <si>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</si>
  <si>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</si>
  <si>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</si>
  <si>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</si>
  <si>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</si>
  <si>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</si>
  <si>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</si>
  <si>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</si>
  <si>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</si>
  <si>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</si>
  <si>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</si>
  <si>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</si>
  <si>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</si>
  <si>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</si>
  <si>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</si>
  <si>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</si>
  <si>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</si>
  <si>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</si>
  <si>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</si>
  <si>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</si>
  <si>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</si>
  <si>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</si>
  <si>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</si>
  <si>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</si>
  <si>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</si>
  <si>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</si>
  <si>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</si>
  <si>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2020-09</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</si>
  <si>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</si>
  <si>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</si>
  <si>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</si>
  <si>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</si>
  <si>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</si>
  <si>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</si>
  <si>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</si>
  <si>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</si>
  <si>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</si>
  <si>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</si>
  <si>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</si>
  <si>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</si>
  <si>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</si>
  <si>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</si>
  <si>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</si>
  <si>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</si>
  <si>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</si>
  <si>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</si>
  <si>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</si>
  <si>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</si>
  <si>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</si>
  <si>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</si>
  <si>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</si>
  <si>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</si>
  <si>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</si>
  <si>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</si>
  <si>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</si>
  <si>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</si>
  <si>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2022-07</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</si>
  <si>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</si>
  <si>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</si>
  <si>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</si>
  <si>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</si>
  <si>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</si>
  <si>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</si>
  <si>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</si>
  <si>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</si>
  <si>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</si>
  <si>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</si>
  <si>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</si>
  <si>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</si>
  <si>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</si>
  <si>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</si>
  <si>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</si>
  <si>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</si>
  <si>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</si>
  <si>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</si>
  <si>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</si>
  <si>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</si>
  <si>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</si>
  <si>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</si>
  <si>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</si>
  <si>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2023-10</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</si>
  <si>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</si>
  <si>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</si>
  <si>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</si>
  <si>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</si>
  <si>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</si>
  <si>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</si>
  <si>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</si>
  <si>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</si>
  <si>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</si>
  <si>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</si>
  <si>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</si>
  <si>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</si>
  <si>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</si>
  <si>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</si>
  <si>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</si>
  <si>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</si>
  <si>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</si>
  <si>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</si>
  <si>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</si>
  <si>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2020-07</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</si>
  <si>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</si>
  <si>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</si>
  <si>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</si>
  <si>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</si>
  <si>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</si>
  <si>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</si>
  <si>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</si>
  <si>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</si>
  <si>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</si>
  <si>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</si>
  <si>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</si>
  <si>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</si>
  <si>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</si>
  <si>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</si>
  <si>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</si>
  <si>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</si>
  <si>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</si>
  <si>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</si>
  <si>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</si>
  <si>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</si>
  <si>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</si>
  <si>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</si>
  <si>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</si>
  <si>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</si>
  <si>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</si>
  <si>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</si>
  <si>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</si>
  <si>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</si>
  <si>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</si>
  <si>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</si>
  <si>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</si>
  <si>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</si>
  <si>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</si>
  <si>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</si>
  <si>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</si>
  <si>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</si>
  <si>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</si>
  <si>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</si>
  <si>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</si>
  <si>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</si>
  <si>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</si>
  <si>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</si>
  <si>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</si>
  <si>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</si>
  <si>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</si>
  <si>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</si>
  <si>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</si>
  <si>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</si>
  <si>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</si>
  <si>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</si>
  <si>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</si>
  <si>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</si>
  <si>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</si>
  <si>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</si>
  <si>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</si>
  <si>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</si>
  <si>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</si>
  <si>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</si>
  <si>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</si>
  <si>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</si>
  <si>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</si>
  <si>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</si>
  <si>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</si>
  <si>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</si>
  <si>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</si>
  <si>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</si>
  <si>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</si>
  <si>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</si>
  <si>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</si>
  <si>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</si>
  <si>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</si>
  <si>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</si>
  <si>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</si>
  <si>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</si>
  <si>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</si>
  <si>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</si>
  <si>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</si>
  <si>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</si>
  <si>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</si>
  <si>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</si>
  <si>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</si>
  <si>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</si>
  <si>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</si>
  <si>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</si>
  <si>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</si>
  <si>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</si>
  <si>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</si>
  <si>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</si>
  <si>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</si>
  <si>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</si>
  <si>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</si>
  <si>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</si>
  <si>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</si>
  <si>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</si>
  <si>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</si>
  <si>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</si>
  <si>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</si>
  <si>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</si>
  <si>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</si>
  <si>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</si>
  <si>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</si>
  <si>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</si>
  <si>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</si>
  <si>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</si>
  <si>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</si>
  <si>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</si>
  <si>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</si>
  <si>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</si>
  <si>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</si>
  <si>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</si>
  <si>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</si>
  <si>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</si>
  <si>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</si>
  <si>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</si>
  <si>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</si>
  <si>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</si>
  <si>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</si>
  <si>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</si>
  <si>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</si>
  <si>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</si>
  <si>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</si>
  <si>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</si>
  <si>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</si>
  <si>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</si>
  <si>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</si>
  <si>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</si>
  <si>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</si>
  <si>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</si>
  <si>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</si>
  <si>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</si>
  <si>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</si>
  <si>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</si>
  <si>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</si>
  <si>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</si>
  <si>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</si>
  <si>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</si>
  <si>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</si>
  <si>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</si>
  <si>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</si>
  <si>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</si>
  <si>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</si>
  <si>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</si>
  <si>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</si>
  <si>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</si>
  <si>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</si>
  <si>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</si>
  <si>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</si>
  <si>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</si>
  <si>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</si>
  <si>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</si>
  <si>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</si>
  <si>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</si>
  <si>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</si>
  <si>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</si>
  <si>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</si>
  <si>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</si>
  <si>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</si>
  <si>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</si>
  <si>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</si>
  <si>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</si>
  <si>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</si>
  <si>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</si>
  <si>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</si>
  <si>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</si>
  <si>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</si>
  <si>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</si>
  <si>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</si>
  <si>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</si>
  <si>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</si>
  <si>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</si>
  <si>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</si>
  <si>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</si>
  <si>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</si>
  <si>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</si>
  <si>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</si>
  <si>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</si>
  <si>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</si>
  <si>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</si>
  <si>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</si>
  <si>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</si>
  <si>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</si>
  <si>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</si>
  <si>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</si>
  <si>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</si>
  <si>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</si>
  <si>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</si>
  <si>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</si>
  <si>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</si>
  <si>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</si>
  <si>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</si>
  <si>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</si>
  <si>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</si>
  <si>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</si>
  <si>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</si>
  <si>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</si>
  <si>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</si>
  <si>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</si>
  <si>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</si>
  <si>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</si>
  <si>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</si>
  <si>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</si>
  <si>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</si>
  <si>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</si>
  <si>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</si>
  <si>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</si>
  <si>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</si>
  <si>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</si>
  <si>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</si>
  <si>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</si>
  <si>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</si>
  <si>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</si>
  <si>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</si>
  <si>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</si>
  <si>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</si>
  <si>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</si>
  <si>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</si>
  <si>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</si>
  <si>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</si>
  <si>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</si>
  <si>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</si>
  <si>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</si>
  <si>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</si>
  <si>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</si>
  <si>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</si>
  <si>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</si>
  <si>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</si>
  <si>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</si>
  <si>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</si>
  <si>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</si>
  <si>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</si>
  <si>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</si>
  <si>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</si>
  <si>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</si>
  <si>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</si>
  <si>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</si>
  <si>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</si>
  <si>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</si>
  <si>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</si>
  <si>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</si>
  <si>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</si>
  <si>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</si>
  <si>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</si>
  <si>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</si>
  <si>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</si>
  <si>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</si>
  <si>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</si>
  <si>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</si>
  <si>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</si>
  <si>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</si>
  <si>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</si>
  <si>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</si>
  <si>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</si>
  <si>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</si>
  <si>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</si>
  <si>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</si>
  <si>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</si>
  <si>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</si>
  <si>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</si>
  <si>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</si>
  <si>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</si>
  <si>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</si>
  <si>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</si>
  <si>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</si>
  <si>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</si>
  <si>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</si>
  <si>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</si>
  <si>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</si>
  <si>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</si>
  <si>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</si>
  <si>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</si>
  <si>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</si>
  <si>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</si>
  <si>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</si>
  <si>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</si>
  <si>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</si>
  <si>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</si>
  <si>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</si>
  <si>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</si>
  <si>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</si>
  <si>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</si>
  <si>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</si>
  <si>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</si>
  <si>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</si>
  <si>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</si>
  <si>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</si>
  <si>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</si>
  <si>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</si>
  <si>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</si>
  <si>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</si>
  <si>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</si>
  <si>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</si>
  <si>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</si>
  <si>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</si>
  <si>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</si>
  <si>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</si>
  <si>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</si>
  <si>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</si>
  <si>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</si>
  <si>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</si>
  <si>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</si>
  <si>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</si>
  <si>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</si>
  <si>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</si>
  <si>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</si>
  <si>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</si>
  <si>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</si>
  <si>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</si>
  <si>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</si>
  <si>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</si>
  <si>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</si>
  <si>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</si>
  <si>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</si>
  <si>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</si>
  <si>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</si>
  <si>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</si>
  <si>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</si>
  <si>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</si>
  <si>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</si>
  <si>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</si>
  <si>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</si>
  <si>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</si>
  <si>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</si>
  <si>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</si>
  <si>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</si>
  <si>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</si>
  <si>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</si>
  <si>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</si>
  <si>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</si>
  <si>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</si>
  <si>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</si>
  <si>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</si>
  <si>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</si>
  <si>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</si>
  <si>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</si>
  <si>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</si>
  <si>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</si>
  <si>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</si>
  <si>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</si>
  <si>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</si>
  <si>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</si>
  <si>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</si>
  <si>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</si>
  <si>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</si>
  <si>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</si>
  <si>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</si>
  <si>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</si>
  <si>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</si>
  <si>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</si>
  <si>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</si>
  <si>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</si>
  <si>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</si>
  <si>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</si>
  <si>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</si>
  <si>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</si>
  <si>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</si>
  <si>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</si>
  <si>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</si>
  <si>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</si>
  <si>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</si>
  <si>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</si>
  <si>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</si>
  <si>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</si>
  <si>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</si>
  <si>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</si>
  <si>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</si>
  <si>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</si>
  <si>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</si>
  <si>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</si>
  <si>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</si>
  <si>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</si>
  <si>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</si>
  <si>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</si>
  <si>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</si>
  <si>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</si>
  <si>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</si>
  <si>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</si>
  <si>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</si>
  <si>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</si>
  <si>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</si>
  <si>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</si>
  <si>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</si>
  <si>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</si>
  <si>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</si>
  <si>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</si>
  <si>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</si>
  <si>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</si>
  <si>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</si>
  <si>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</si>
  <si>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</si>
  <si>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</si>
  <si>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</si>
  <si>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</si>
  <si>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</si>
  <si>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</si>
  <si>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</si>
  <si>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</si>
  <si>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</si>
  <si>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</si>
  <si>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</si>
  <si>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</si>
  <si>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</si>
  <si>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</si>
  <si>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</si>
  <si>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</si>
  <si>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</si>
  <si>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</si>
  <si>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</si>
  <si>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</si>
  <si>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</si>
  <si>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</si>
  <si>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</si>
  <si>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</si>
  <si>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</si>
  <si>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</si>
  <si>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</si>
  <si>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</si>
  <si>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</si>
  <si>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</si>
  <si>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</si>
  <si>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</si>
  <si>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</si>
  <si>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</si>
  <si>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</si>
  <si>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</si>
  <si>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</si>
  <si>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</si>
  <si>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</si>
  <si>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</si>
  <si>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</si>
  <si>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</si>
  <si>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</si>
  <si>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</si>
  <si>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</si>
  <si>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</si>
  <si>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</si>
  <si>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</si>
  <si>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</si>
  <si>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</si>
  <si>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</si>
  <si>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</si>
  <si>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</si>
  <si>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</si>
  <si>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</si>
  <si>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</si>
  <si>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</si>
  <si>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</si>
  <si>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</si>
  <si>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</si>
  <si>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</si>
  <si>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</si>
  <si>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</si>
  <si>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</si>
  <si>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</si>
  <si>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</si>
  <si>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</si>
  <si>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</si>
  <si>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</si>
  <si>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</si>
  <si>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</si>
  <si>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</si>
  <si>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</si>
  <si>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</si>
  <si>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</si>
  <si>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</si>
  <si>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</si>
  <si>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</si>
  <si>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</si>
  <si>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</si>
  <si>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</si>
  <si>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</si>
  <si>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</si>
  <si>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</si>
  <si>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</si>
  <si>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</si>
  <si>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</si>
  <si>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</si>
  <si>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</si>
  <si>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</si>
  <si>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</si>
  <si>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</si>
  <si>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</si>
  <si>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</si>
  <si>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</si>
  <si>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</si>
  <si>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</si>
  <si>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</si>
  <si>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</si>
  <si>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</si>
  <si>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</si>
  <si>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</si>
  <si>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</si>
  <si>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</si>
  <si>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</si>
  <si>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</si>
  <si>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</si>
  <si>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</si>
  <si>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</si>
  <si>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</si>
  <si>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</si>
  <si>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</si>
  <si>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</si>
  <si>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</si>
  <si>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</si>
  <si>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</si>
  <si>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</si>
  <si>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</si>
  <si>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</si>
  <si>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</si>
  <si>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</si>
  <si>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</si>
  <si>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</si>
  <si>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</si>
  <si>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</si>
  <si>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</si>
  <si>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</si>
  <si>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</si>
  <si>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</si>
  <si>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</si>
  <si>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</si>
  <si>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</si>
  <si>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</si>
  <si>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</si>
  <si>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</si>
  <si>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</si>
  <si>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</si>
  <si>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</si>
  <si>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</si>
  <si>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</si>
  <si>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</si>
  <si>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</si>
  <si>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</si>
  <si>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</si>
  <si>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</si>
  <si>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</si>
  <si>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</si>
  <si>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</si>
  <si>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</si>
  <si>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</si>
  <si>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</si>
  <si>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</si>
  <si>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</si>
  <si>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</si>
  <si>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</si>
  <si>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</si>
  <si>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</si>
  <si>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</si>
  <si>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</si>
  <si>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</si>
  <si>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</si>
  <si>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</si>
  <si>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</si>
  <si>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</si>
  <si>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</si>
  <si>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</si>
  <si>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</si>
  <si>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</si>
  <si>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</si>
  <si>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</si>
  <si>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</si>
  <si>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</si>
  <si>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</si>
  <si>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</si>
  <si>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</si>
  <si>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</si>
  <si>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</si>
  <si>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</si>
  <si>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</si>
  <si>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</si>
  <si>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</si>
  <si>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</si>
  <si>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</si>
  <si>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</si>
  <si>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</si>
  <si>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</si>
  <si>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</si>
  <si>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</si>
  <si>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</si>
  <si>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</si>
  <si>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</si>
  <si>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</si>
  <si>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</si>
  <si>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</si>
  <si>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</si>
  <si>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</si>
  <si>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</si>
  <si>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</si>
  <si>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</si>
  <si>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</si>
  <si>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</si>
  <si>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</si>
  <si>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</si>
  <si>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</si>
  <si>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</si>
  <si>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</si>
  <si>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</si>
  <si>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</si>
  <si>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</si>
  <si>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</si>
  <si>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</si>
  <si>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</si>
  <si>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</si>
  <si>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</si>
  <si>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</si>
  <si>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</si>
  <si>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</si>
  <si>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</si>
  <si>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</si>
  <si>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</si>
  <si>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</si>
  <si>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</si>
  <si>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</si>
  <si>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</si>
  <si>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</si>
  <si>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</si>
  <si>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</si>
  <si>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</si>
  <si>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</si>
  <si>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</si>
  <si>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</si>
  <si>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</si>
  <si>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</si>
  <si>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</si>
  <si>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</si>
  <si>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</si>
  <si>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</si>
  <si>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</si>
  <si>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</si>
  <si>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</si>
  <si>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</si>
  <si>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</si>
  <si>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</si>
  <si>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</si>
  <si>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</si>
  <si>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</si>
  <si>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</si>
  <si>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</si>
  <si>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</si>
  <si>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</si>
  <si>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</si>
  <si>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</si>
  <si>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</si>
  <si>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</si>
  <si>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</si>
  <si>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</si>
  <si>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</si>
  <si>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</si>
  <si>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</si>
  <si>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</si>
  <si>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</si>
  <si>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</si>
  <si>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</si>
  <si>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</si>
  <si>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</si>
  <si>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</si>
  <si>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</si>
  <si>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</si>
  <si>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</si>
  <si>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</si>
  <si>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</si>
  <si>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</si>
  <si>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</si>
  <si>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</si>
  <si>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</si>
  <si>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</si>
  <si>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</si>
  <si>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</si>
  <si>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</si>
  <si>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</si>
  <si>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</si>
  <si>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</si>
  <si>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</si>
  <si>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</si>
  <si>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</si>
  <si>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</si>
  <si>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</si>
  <si>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</si>
  <si>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</si>
  <si>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</si>
  <si>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</si>
  <si>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</si>
  <si>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</si>
  <si>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</si>
  <si>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</si>
  <si>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</si>
  <si>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</si>
  <si>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</si>
  <si>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</si>
  <si>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</si>
  <si>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</si>
  <si>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</si>
  <si>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</si>
  <si>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</si>
  <si>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</si>
  <si>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</si>
  <si>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</si>
  <si>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</si>
  <si>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</si>
  <si>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</si>
  <si>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</si>
  <si>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</si>
  <si>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</si>
  <si>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</si>
  <si>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</si>
  <si>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</si>
  <si>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</si>
  <si>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</si>
  <si>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</si>
  <si>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</si>
  <si>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</si>
  <si>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</si>
  <si>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</si>
  <si>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</si>
  <si>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</si>
  <si>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</si>
  <si>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</si>
  <si>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</si>
  <si>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</si>
  <si>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</si>
  <si>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</si>
  <si>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</si>
  <si>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</si>
  <si>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</si>
  <si>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</si>
  <si>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</si>
  <si>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</si>
  <si>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</si>
  <si>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</si>
  <si>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</si>
  <si>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</si>
  <si>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</si>
  <si>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</si>
  <si>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</si>
  <si>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</si>
  <si>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</si>
  <si>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</si>
  <si>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</si>
  <si>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</si>
  <si>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</si>
  <si>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</si>
  <si>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</si>
  <si>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</si>
  <si>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</si>
  <si>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</si>
  <si>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</si>
  <si>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</si>
  <si>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</si>
  <si>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</si>
  <si>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</si>
  <si>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</si>
  <si>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</si>
  <si>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</si>
  <si>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</si>
  <si>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</si>
  <si>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</si>
  <si>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</si>
  <si>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</si>
  <si>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</si>
  <si>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</si>
  <si>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</si>
  <si>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</si>
  <si>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</si>
  <si>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</si>
  <si>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</si>
  <si>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</si>
  <si>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</si>
  <si>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</si>
  <si>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</si>
  <si>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</si>
  <si>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</si>
  <si>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</si>
  <si>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</si>
  <si>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</si>
  <si>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</si>
  <si>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</si>
  <si>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</si>
  <si>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</si>
  <si>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</si>
  <si>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</si>
  <si>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</si>
  <si>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</si>
  <si>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</si>
  <si>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</si>
  <si>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</si>
  <si>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</si>
  <si>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</si>
  <si>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</si>
  <si>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</si>
  <si>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</si>
  <si>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</si>
  <si>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</si>
  <si>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</si>
  <si>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</si>
  <si>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</si>
  <si>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</si>
  <si>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</si>
  <si>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</si>
  <si>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</si>
  <si>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</si>
  <si>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</si>
  <si>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</si>
  <si>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</si>
  <si>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</si>
  <si>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</si>
  <si>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</si>
  <si>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</si>
  <si>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</si>
  <si>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</si>
  <si>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</si>
  <si>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</si>
  <si>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</si>
  <si>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</si>
  <si>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</si>
  <si>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</si>
  <si>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</si>
  <si>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</si>
  <si>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</si>
  <si>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</si>
  <si>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</si>
  <si>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</si>
  <si>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</si>
  <si>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</si>
  <si>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</si>
  <si>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</si>
  <si>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</si>
  <si>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</si>
  <si>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</si>
  <si>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</si>
  <si>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</si>
  <si>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</si>
  <si>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</si>
  <si>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</si>
  <si>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</si>
  <si>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</si>
  <si>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</si>
  <si>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</si>
  <si>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</si>
  <si>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</si>
  <si>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</si>
  <si>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</si>
  <si>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</si>
  <si>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</si>
  <si>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</si>
  <si>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</si>
  <si>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</si>
  <si>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</si>
  <si>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</si>
  <si>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</si>
  <si>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</si>
  <si>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</si>
  <si>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</si>
  <si>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</si>
  <si>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</si>
  <si>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</si>
  <si>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</si>
  <si>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</si>
  <si>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</si>
  <si>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</si>
  <si>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</si>
  <si>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</si>
  <si>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</si>
  <si>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</si>
  <si>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</si>
  <si>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</si>
  <si>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</si>
  <si>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</si>
  <si>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</si>
  <si>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</si>
  <si>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</si>
  <si>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</si>
  <si>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</si>
  <si>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</si>
  <si>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</si>
  <si>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</si>
  <si>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</si>
  <si>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</si>
  <si>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</si>
  <si>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</si>
  <si>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</si>
  <si>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</si>
  <si>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</si>
  <si>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</si>
  <si>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</si>
  <si>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</si>
  <si>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</si>
  <si>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</si>
  <si>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</si>
  <si>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</si>
  <si>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</si>
  <si>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</si>
  <si>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</si>
  <si>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</si>
  <si>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</si>
  <si>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</si>
  <si>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</si>
  <si>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</si>
  <si>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</si>
  <si>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</si>
  <si>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</si>
  <si>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</si>
  <si>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</si>
  <si>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</si>
  <si>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</si>
  <si>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</si>
  <si>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</si>
  <si>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</si>
  <si>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</si>
  <si>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</si>
  <si>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</si>
  <si>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</si>
  <si>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</si>
  <si>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</si>
  <si>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</si>
  <si>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</si>
  <si>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</si>
  <si>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</si>
  <si>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</si>
  <si>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</si>
  <si>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</si>
  <si>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</si>
  <si>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</si>
  <si>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</si>
  <si>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</si>
  <si>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</si>
  <si>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</si>
  <si>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</si>
  <si>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</si>
  <si>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</si>
  <si>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</si>
  <si>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</si>
  <si>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</si>
  <si>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</si>
  <si>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</si>
  <si>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</si>
  <si>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</si>
  <si>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</si>
  <si>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</si>
  <si>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</si>
  <si>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</si>
  <si>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</si>
  <si>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</si>
  <si>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</si>
  <si>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</si>
  <si>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</si>
  <si>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</si>
  <si>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</si>
  <si>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</si>
  <si>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</si>
  <si>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</si>
  <si>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</si>
  <si>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</si>
  <si>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</si>
  <si>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</si>
  <si>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</si>
  <si>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</si>
  <si>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</si>
  <si>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</si>
  <si>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</si>
  <si>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</si>
  <si>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</si>
  <si>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</si>
  <si>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</si>
  <si>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</si>
  <si>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</si>
  <si>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</si>
  <si>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</si>
  <si>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</si>
  <si>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</si>
  <si>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</si>
  <si>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</si>
  <si>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</si>
  <si>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</si>
  <si>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</si>
  <si>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</si>
  <si>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</si>
  <si>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</si>
  <si>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</si>
  <si>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</si>
  <si>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</si>
  <si>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</si>
  <si>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</si>
  <si>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</si>
  <si>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</si>
  <si>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</si>
  <si>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</si>
  <si>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</si>
  <si>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</si>
  <si>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</si>
  <si>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</si>
  <si>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</si>
  <si>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</si>
  <si>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</si>
  <si>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</si>
  <si>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</si>
  <si>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</si>
  <si>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</si>
  <si>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</si>
  <si>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</si>
  <si>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</si>
  <si>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</si>
  <si>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</si>
  <si>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</si>
  <si>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</si>
  <si>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</si>
  <si>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Row Labels</t>
  </si>
  <si>
    <t>Grand Total</t>
  </si>
  <si>
    <t>Year</t>
  </si>
  <si>
    <t>Month</t>
  </si>
  <si>
    <t>Quarter</t>
  </si>
  <si>
    <t>Profit Margin(%)</t>
  </si>
  <si>
    <t>Average Selling Price</t>
  </si>
  <si>
    <t xml:space="preserve">New York </t>
  </si>
  <si>
    <t>Sum of Amount</t>
  </si>
  <si>
    <t>Sum of Profit</t>
  </si>
  <si>
    <t>Count of Order ID</t>
  </si>
  <si>
    <t>Sum of Quantity</t>
  </si>
  <si>
    <t>Total Amount</t>
  </si>
  <si>
    <t>Total Profit</t>
  </si>
  <si>
    <t>Total Order</t>
  </si>
  <si>
    <t>Total Quantity Sold</t>
  </si>
  <si>
    <t>Profit Margin</t>
  </si>
  <si>
    <t>Jun</t>
  </si>
  <si>
    <t>Dec</t>
  </si>
  <si>
    <t>Jul</t>
  </si>
  <si>
    <t>May</t>
  </si>
  <si>
    <t>Oct</t>
  </si>
  <si>
    <t>Nov</t>
  </si>
  <si>
    <t>Mar</t>
  </si>
  <si>
    <t>Feb</t>
  </si>
  <si>
    <t>Jan</t>
  </si>
  <si>
    <t>Aug</t>
  </si>
  <si>
    <t>Sep</t>
  </si>
  <si>
    <t>Apr</t>
  </si>
  <si>
    <t>Average of Profit Margin(%)</t>
  </si>
  <si>
    <t>Insight No</t>
  </si>
  <si>
    <t>Observation</t>
  </si>
  <si>
    <t>Business Impact</t>
  </si>
  <si>
    <t>Recommendation</t>
  </si>
  <si>
    <t>December recorded highest sales</t>
  </si>
  <si>
    <t>Strong festive demand</t>
  </si>
  <si>
    <t>Increase year-end promotions</t>
  </si>
  <si>
    <t>Office Supplies generated highest revenue</t>
  </si>
  <si>
    <t>High-performing category</t>
  </si>
  <si>
    <t>Increase inventory allocation</t>
  </si>
  <si>
    <t>Texas contributed maximum sales</t>
  </si>
  <si>
    <t>Strong regional market</t>
  </si>
  <si>
    <t>Expand regional marketing</t>
  </si>
  <si>
    <t>Debit/Credit cards are most used</t>
  </si>
  <si>
    <t>Customers prefer digital payments</t>
  </si>
  <si>
    <t>Promote online payment offers</t>
  </si>
  <si>
    <t>September had lowest profit</t>
  </si>
  <si>
    <t>Possible operational inefficiency</t>
  </si>
  <si>
    <t>Review pricing and discounts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</si>
</sst>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_-[$$-409]* #,##0_ ;_-[$$-409]* \-#,##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6113A"/>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right style="thin">
        <color indexed="64"/>
      </right>
      <top style="thick">
        <color indexed="64"/>
      </top>
      <bottom style="thick">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thick">
        <color indexed="64"/>
      </bottom>
      <diagonal/>
    </border>
    <border>
      <left style="thick">
        <color indexed="64"/>
      </left>
      <right style="thick">
        <color indexed="64"/>
      </right>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0" fillId="33" borderId="0" xfId="0" applyFill="1"/>
    <xf numFmtId="0" fontId="16" fillId="33" borderId="0" xfId="0" applyFont="1" applyFill="1"/>
    <xf numFmtId="9" fontId="0" fillId="0" borderId="0" xfId="42" applyFont="1"/>
    <xf numFmtId="165" fontId="0" fillId="0" borderId="0" xfId="0" applyNumberFormat="1"/>
    <xf numFmtId="0" fontId="16" fillId="0" borderId="17" xfId="0" applyFont="1" applyBorder="1" applyAlignment="1">
      <alignment horizontal="center" vertical="center" wrapText="1"/>
    </xf>
    <xf numFmtId="0" fontId="16" fillId="0" borderId="18" xfId="0" applyFont="1" applyBorder="1" applyAlignment="1">
      <alignment horizontal="center" vertical="center" wrapText="1"/>
    </xf>
    <xf numFmtId="0" fontId="16" fillId="0" borderId="19" xfId="0" applyFont="1" applyBorder="1" applyAlignment="1">
      <alignment horizontal="center" vertical="center" wrapText="1"/>
    </xf>
    <xf numFmtId="0" fontId="16" fillId="0" borderId="11" xfId="0" applyFont="1" applyBorder="1" applyAlignment="1">
      <alignment horizontal="center" vertical="center" wrapText="1"/>
    </xf>
    <xf numFmtId="0" fontId="0" fillId="0" borderId="23" xfId="0" applyBorder="1" applyAlignment="1">
      <alignment vertical="center" wrapText="1"/>
    </xf>
    <xf numFmtId="0" fontId="0" fillId="0" borderId="20" xfId="0" applyBorder="1" applyAlignment="1">
      <alignment vertical="center" wrapText="1"/>
    </xf>
    <xf numFmtId="0" fontId="0" fillId="0" borderId="15" xfId="0" applyBorder="1" applyAlignment="1">
      <alignment vertical="center" wrapText="1"/>
    </xf>
    <xf numFmtId="0" fontId="0" fillId="0" borderId="16" xfId="0" applyBorder="1" applyAlignment="1">
      <alignment vertical="center" wrapText="1"/>
    </xf>
    <xf numFmtId="0" fontId="0" fillId="0" borderId="24" xfId="0" applyBorder="1" applyAlignment="1">
      <alignment vertical="center" wrapText="1"/>
    </xf>
    <xf numFmtId="0" fontId="0" fillId="0" borderId="21" xfId="0" applyBorder="1" applyAlignment="1">
      <alignment vertical="center" wrapText="1"/>
    </xf>
    <xf numFmtId="0" fontId="0" fillId="0" borderId="10" xfId="0" applyBorder="1" applyAlignment="1">
      <alignment vertical="center" wrapText="1"/>
    </xf>
    <xf numFmtId="0" fontId="0" fillId="0" borderId="12" xfId="0" applyBorder="1" applyAlignment="1">
      <alignment vertical="center" wrapText="1"/>
    </xf>
    <xf numFmtId="0" fontId="0" fillId="0" borderId="25" xfId="0" applyBorder="1" applyAlignment="1">
      <alignment vertical="center" wrapText="1"/>
    </xf>
    <xf numFmtId="0" fontId="0" fillId="0" borderId="22" xfId="0" applyBorder="1" applyAlignment="1">
      <alignment vertical="center" wrapText="1"/>
    </xf>
    <xf numFmtId="0" fontId="0" fillId="0" borderId="13" xfId="0" applyBorder="1" applyAlignment="1">
      <alignment vertical="center" wrapText="1"/>
    </xf>
    <xf numFmtId="0" fontId="0" fillId="0" borderId="14" xfId="0" applyBorder="1" applyAlignment="1">
      <alignmen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2">
    <dxf>
      <numFmt numFmtId="14" formatCode="0.00%"/>
    </dxf>
    <dxf>
      <numFmt numFmtId="2" formatCode="0.00"/>
    </dxf>
    <dxf>
      <numFmt numFmtId="14" formatCode="0.00%"/>
    </dxf>
    <dxf>
      <numFmt numFmtId="0" formatCode="General"/>
    </dxf>
    <dxf>
      <numFmt numFmtId="0" formatCode="General"/>
    </dxf>
    <dxf>
      <numFmt numFmtId="0" formatCode="General"/>
    </dxf>
    <dxf>
      <numFmt numFmtId="164" formatCode="[$-F800]dddd\,\ mmmm\ dd\,\ yyyy"/>
    </dxf>
    <dxf>
      <numFmt numFmtId="19" formatCode="dd/mm/yyyy"/>
    </dxf>
    <dxf>
      <numFmt numFmtId="164" formatCode="[$-F800]dddd\,\ mmmm\ dd\,\ yyyy"/>
    </dxf>
    <dxf>
      <numFmt numFmtId="19" formatCode="dd/mm/yyyy"/>
    </dxf>
    <dxf>
      <font>
        <b/>
        <i val="0"/>
        <sz val="12"/>
        <color theme="0"/>
        <name val="Segoe UI"/>
        <family val="2"/>
        <scheme val="none"/>
      </font>
      <border diagonalUp="0" diagonalDown="0">
        <left/>
        <right/>
        <top/>
        <bottom/>
        <vertical/>
        <horizontal/>
      </border>
    </dxf>
    <dxf>
      <fill>
        <patternFill>
          <bgColor rgb="FF262953"/>
        </patternFill>
      </fill>
      <border diagonalUp="0" diagonalDown="0">
        <left/>
        <right/>
        <top/>
        <bottom/>
        <vertical/>
        <horizontal/>
      </border>
    </dxf>
  </dxfs>
  <tableStyles count="1" defaultTableStyle="TableStyleMedium2" defaultPivotStyle="PivotStyleLight16">
    <tableStyle name="sales" pivot="0" table="0" count="7" xr9:uid="{4506C039-FAA3-4C0F-968F-78715D7A7699}">
      <tableStyleElement type="wholeTable" dxfId="11"/>
      <tableStyleElement type="headerRow" dxfId="10"/>
    </tableStyle>
  </tableStyles>
  <colors>
    <mruColors>
      <color rgb="FF0AC1EF"/>
      <color rgb="FFDCCD0C"/>
      <color rgb="FF46476E"/>
      <color rgb="FF4472C4"/>
      <color rgb="FF1668E0"/>
      <color rgb="FFE5C852"/>
      <color rgb="FFE7E200"/>
      <color rgb="FF16113A"/>
      <color rgb="FF003366"/>
      <color rgb="FF262953"/>
    </mruColors>
  </colors>
  <extLst>
    <ext xmlns:x14="http://schemas.microsoft.com/office/spreadsheetml/2009/9/main" uri="{46F421CA-312F-682f-3DD2-61675219B42D}">
      <x14:dxfs count="5">
        <dxf>
          <font>
            <b/>
            <i val="0"/>
            <u val="none"/>
            <sz val="10"/>
            <color rgb="FF16113A"/>
            <name val="Segoe UI"/>
            <family val="2"/>
            <scheme val="none"/>
          </font>
          <fill>
            <patternFill>
              <fgColor rgb="FFE5C852"/>
              <bgColor rgb="FFE5C852"/>
            </patternFill>
          </fill>
          <border diagonalUp="0" diagonalDown="0">
            <left/>
            <right/>
            <top/>
            <bottom/>
            <vertical/>
            <horizontal/>
          </border>
        </dxf>
        <dxf>
          <font>
            <b/>
            <i val="0"/>
            <u val="none"/>
            <sz val="10"/>
            <color rgb="FF16113A"/>
            <name val="Segoe UI"/>
            <family val="2"/>
            <scheme val="none"/>
          </font>
          <fill>
            <patternFill>
              <bgColor rgb="FFE5C852"/>
            </patternFill>
          </fill>
          <border diagonalUp="0" diagonalDown="0">
            <left/>
            <right/>
            <top/>
            <bottom/>
            <vertical/>
            <horizontal/>
          </border>
        </dxf>
        <dxf>
          <font>
            <b/>
            <i val="0"/>
            <u val="none"/>
            <sz val="10"/>
            <color rgb="FF16113A"/>
            <name val="Segoe UI"/>
            <family val="2"/>
            <scheme val="none"/>
          </font>
          <fill>
            <patternFill>
              <fgColor rgb="FFDCCD0C"/>
              <bgColor rgb="FFE5C852"/>
            </patternFill>
          </fill>
          <border diagonalUp="0" diagonalDown="0">
            <left/>
            <right/>
            <top/>
            <bottom/>
            <vertical/>
            <horizontal/>
          </border>
        </dxf>
        <dxf>
          <font>
            <b/>
            <i val="0"/>
            <u val="none"/>
            <sz val="10"/>
            <color theme="0"/>
            <name val="Segoe UI"/>
            <family val="2"/>
            <scheme val="none"/>
          </font>
          <fill>
            <patternFill>
              <bgColor rgb="FF4472C4"/>
            </patternFill>
          </fill>
          <border diagonalUp="0" diagonalDown="0">
            <left/>
            <right/>
            <top/>
            <bottom/>
            <vertical/>
            <horizontal/>
          </border>
        </dxf>
        <dxf>
          <font>
            <b val="0"/>
            <i val="0"/>
            <u val="none"/>
            <sz val="10"/>
            <color theme="0"/>
            <name val="Segoe UI"/>
            <family val="2"/>
            <scheme val="none"/>
          </font>
          <fill>
            <patternFill>
              <bgColor rgb="FF46476E"/>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ales">
          <x14:slicerStyleElements>
            <x14:slicerStyleElement type="unselectedItemWithData" dxfId="4"/>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(MIS).xlsx]Pivot_Analysis!PivotTable8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Pivot_Analysis!$A$4:$A$16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Pivot_Analysis!$B$4:$B$16</c:f>
              <c:numCache>
                <c:formatCode>General</c:formatCode>
                <c:ptCount val="12"/>
                <c:pt idx="0">
                  <c:v>392678</c:v>
                </c:pt>
                <c:pt idx="1">
                  <c:v>450672</c:v>
                </c:pt>
                <c:pt idx="2">
                  <c:v>497247</c:v>
                </c:pt>
                <c:pt idx="3">
                  <c:v>567882</c:v>
                </c:pt>
                <c:pt idx="4">
                  <c:v>581943</c:v>
                </c:pt>
                <c:pt idx="5">
                  <c:v>529028</c:v>
                </c:pt>
                <c:pt idx="6">
                  <c:v>497410</c:v>
                </c:pt>
                <c:pt idx="7">
                  <c:v>517830</c:v>
                </c:pt>
                <c:pt idx="8">
                  <c:v>408236</c:v>
                </c:pt>
                <c:pt idx="9">
                  <c:v>632521</c:v>
                </c:pt>
                <c:pt idx="10">
                  <c:v>451814</c:v>
                </c:pt>
                <c:pt idx="11">
                  <c:v>655378</c:v>
                </c:pt>
              </c:numCache>
            </c:numRef>
          </c:val>
          <c:smooth val="0"/>
          <c:extLst>
            <c:ext xmlns:c16="http://schemas.microsoft.com/office/drawing/2014/chart" uri="{C3380CC4-5D6E-409C-BE32-E72D297353CC}">
              <c16:uniqueId val="{00000000-6CB4-4D53-9C4F-7D4017CF4CEC}"/>
            </c:ext>
          </c:extLst>
        </c:ser>
        <c:dLbls>
          <c:showLegendKey val="0"/>
          <c:showVal val="0"/>
          <c:showCatName val="0"/>
          <c:showSerName val="0"/>
          <c:showPercent val="0"/>
          <c:showBubbleSize val="0"/>
        </c:dLbls>
        <c:marker val="1"/>
        <c:smooth val="0"/>
        <c:axId val="669484208"/>
        <c:axId val="669495728"/>
      </c:lineChart>
      <c:catAx>
        <c:axId val="66948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495728"/>
        <c:crosses val="autoZero"/>
        <c:auto val="1"/>
        <c:lblAlgn val="ctr"/>
        <c:lblOffset val="100"/>
        <c:noMultiLvlLbl val="0"/>
      </c:catAx>
      <c:valAx>
        <c:axId val="66949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48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(MIS).xlsx]Pivot_Analysis!PivotTable9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Category-wise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Pivot_Analysis!$A$21:$A$24</c:f>
              <c:strCache>
                <c:ptCount val="3"/>
                <c:pt idx="0">
                  <c:v>Electronics</c:v>
                </c:pt>
                <c:pt idx="1">
                  <c:v>Furniture</c:v>
                </c:pt>
                <c:pt idx="2">
                  <c:v>Office Supplies</c:v>
                </c:pt>
              </c:strCache>
            </c:strRef>
          </c:cat>
          <c:val>
            <c:numRef>
              <c:f>Pivot_Analysis!$B$21:$B$24</c:f>
              <c:numCache>
                <c:formatCode>General</c:formatCode>
                <c:ptCount val="3"/>
                <c:pt idx="0">
                  <c:v>2054456</c:v>
                </c:pt>
                <c:pt idx="1">
                  <c:v>2038673</c:v>
                </c:pt>
                <c:pt idx="2">
                  <c:v>2089510</c:v>
                </c:pt>
              </c:numCache>
            </c:numRef>
          </c:val>
          <c:extLst>
            <c:ext xmlns:c16="http://schemas.microsoft.com/office/drawing/2014/chart" uri="{C3380CC4-5D6E-409C-BE32-E72D297353CC}">
              <c16:uniqueId val="{00000000-5481-4339-995E-3E1966ABCB76}"/>
            </c:ext>
          </c:extLst>
        </c:ser>
        <c:dLbls>
          <c:dLblPos val="outEnd"/>
          <c:showLegendKey val="0"/>
          <c:showVal val="1"/>
          <c:showCatName val="0"/>
          <c:showSerName val="0"/>
          <c:showPercent val="0"/>
          <c:showBubbleSize val="0"/>
        </c:dLbls>
        <c:gapWidth val="219"/>
        <c:overlap val="-27"/>
        <c:axId val="669518768"/>
        <c:axId val="669517808"/>
      </c:barChart>
      <c:catAx>
        <c:axId val="66951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517808"/>
        <c:crosses val="autoZero"/>
        <c:auto val="1"/>
        <c:lblAlgn val="ctr"/>
        <c:lblOffset val="100"/>
        <c:noMultiLvlLbl val="0"/>
      </c:catAx>
      <c:valAx>
        <c:axId val="66951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51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(MIS).xlsx]Pivot_Analysis!PivotTable10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Pivot_Analysis!$A$34:$A$37</c:f>
              <c:strCache>
                <c:ptCount val="3"/>
                <c:pt idx="0">
                  <c:v>Electronics</c:v>
                </c:pt>
                <c:pt idx="1">
                  <c:v>Furniture</c:v>
                </c:pt>
                <c:pt idx="2">
                  <c:v>Office Supplies</c:v>
                </c:pt>
              </c:strCache>
            </c:strRef>
          </c:cat>
          <c:val>
            <c:numRef>
              <c:f>Pivot_Analysis!$B$34:$B$37</c:f>
              <c:numCache>
                <c:formatCode>General</c:formatCode>
                <c:ptCount val="3"/>
                <c:pt idx="0">
                  <c:v>518580</c:v>
                </c:pt>
                <c:pt idx="1">
                  <c:v>540542</c:v>
                </c:pt>
                <c:pt idx="2">
                  <c:v>551575</c:v>
                </c:pt>
              </c:numCache>
            </c:numRef>
          </c:val>
          <c:extLst>
            <c:ext xmlns:c16="http://schemas.microsoft.com/office/drawing/2014/chart" uri="{C3380CC4-5D6E-409C-BE32-E72D297353CC}">
              <c16:uniqueId val="{00000000-F5A6-48FC-AF14-54462A9CB094}"/>
            </c:ext>
          </c:extLst>
        </c:ser>
        <c:dLbls>
          <c:showLegendKey val="0"/>
          <c:showVal val="0"/>
          <c:showCatName val="0"/>
          <c:showSerName val="0"/>
          <c:showPercent val="0"/>
          <c:showBubbleSize val="0"/>
        </c:dLbls>
        <c:gapWidth val="182"/>
        <c:axId val="634536112"/>
        <c:axId val="634541872"/>
      </c:barChart>
      <c:catAx>
        <c:axId val="63453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541872"/>
        <c:crosses val="autoZero"/>
        <c:auto val="1"/>
        <c:lblAlgn val="ctr"/>
        <c:lblOffset val="100"/>
        <c:noMultiLvlLbl val="0"/>
      </c:catAx>
      <c:valAx>
        <c:axId val="634541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53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(MIS).xlsx]Pivot_Analysis!PivotTable15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Mode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Pivot_Analysis!$B$59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70-4235-80A1-254126A6D6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70-4235-80A1-254126A6D6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70-4235-80A1-254126A6D6F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70-4235-80A1-254126A6D6F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970-4235-80A1-254126A6D6F6}"/>
              </c:ext>
            </c:extLst>
          </c:dPt>
          <c:cat>
            <c:strRef>
              <c:f>Pivot_Analysis!$A$60:$A$65</c:f>
              <c:strCache>
                <c:ptCount val="5"/>
                <c:pt idx="0">
                  <c:v>COD</c:v>
                </c:pt>
                <c:pt idx="1">
                  <c:v>Credit Card</c:v>
                </c:pt>
                <c:pt idx="2">
                  <c:v>Debit Card</c:v>
                </c:pt>
                <c:pt idx="3">
                  <c:v>EMI</c:v>
                </c:pt>
                <c:pt idx="4">
                  <c:v>UPI</c:v>
                </c:pt>
              </c:strCache>
            </c:strRef>
          </c:cat>
          <c:val>
            <c:numRef>
              <c:f>Pivot_Analysis!$B$60:$B$65</c:f>
              <c:numCache>
                <c:formatCode>General</c:formatCode>
                <c:ptCount val="5"/>
                <c:pt idx="0">
                  <c:v>206</c:v>
                </c:pt>
                <c:pt idx="1">
                  <c:v>258</c:v>
                </c:pt>
                <c:pt idx="2">
                  <c:v>260</c:v>
                </c:pt>
                <c:pt idx="3">
                  <c:v>218</c:v>
                </c:pt>
                <c:pt idx="4">
                  <c:v>252</c:v>
                </c:pt>
              </c:numCache>
            </c:numRef>
          </c:val>
          <c:extLst>
            <c:ext xmlns:c16="http://schemas.microsoft.com/office/drawing/2014/chart" uri="{C3380CC4-5D6E-409C-BE32-E72D297353CC}">
              <c16:uniqueId val="{00000000-1AF6-45B4-BB63-96F56A1CEE4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(MIS).xlsx]Pivot_Analysis!PivotTable1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Pivot_Analysis!$B$72</c:f>
              <c:strCache>
                <c:ptCount val="1"/>
                <c:pt idx="0">
                  <c:v>Total</c:v>
                </c:pt>
              </c:strCache>
            </c:strRef>
          </c:tx>
          <c:spPr>
            <a:solidFill>
              <a:schemeClr val="accent1"/>
            </a:solidFill>
            <a:ln>
              <a:noFill/>
            </a:ln>
            <a:effectLst/>
          </c:spPr>
          <c:invertIfNegative val="0"/>
          <c:cat>
            <c:strRef>
              <c:f>Pivot_Analysis!$A$73:$A$83</c:f>
              <c:strCache>
                <c:ptCount val="10"/>
                <c:pt idx="0">
                  <c:v>Brian Green</c:v>
                </c:pt>
                <c:pt idx="1">
                  <c:v>Zachary Perez</c:v>
                </c:pt>
                <c:pt idx="2">
                  <c:v>Tammy Bell</c:v>
                </c:pt>
                <c:pt idx="3">
                  <c:v>Randy Johnson</c:v>
                </c:pt>
                <c:pt idx="4">
                  <c:v>Jacqueline Harris</c:v>
                </c:pt>
                <c:pt idx="5">
                  <c:v>Katherine Williams</c:v>
                </c:pt>
                <c:pt idx="6">
                  <c:v>Emily Ellison</c:v>
                </c:pt>
                <c:pt idx="7">
                  <c:v>George Foster</c:v>
                </c:pt>
                <c:pt idx="8">
                  <c:v>Nicholas Anderson</c:v>
                </c:pt>
                <c:pt idx="9">
                  <c:v>Cory Evans</c:v>
                </c:pt>
              </c:strCache>
            </c:strRef>
          </c:cat>
          <c:val>
            <c:numRef>
              <c:f>Pivot_Analysis!$B$73:$B$83</c:f>
              <c:numCache>
                <c:formatCode>General</c:formatCode>
                <c:ptCount val="10"/>
                <c:pt idx="0">
                  <c:v>23737</c:v>
                </c:pt>
                <c:pt idx="1">
                  <c:v>23737</c:v>
                </c:pt>
                <c:pt idx="2">
                  <c:v>23895</c:v>
                </c:pt>
                <c:pt idx="3">
                  <c:v>24295</c:v>
                </c:pt>
                <c:pt idx="4">
                  <c:v>24433</c:v>
                </c:pt>
                <c:pt idx="5">
                  <c:v>25121</c:v>
                </c:pt>
                <c:pt idx="6">
                  <c:v>27352</c:v>
                </c:pt>
                <c:pt idx="7">
                  <c:v>27352</c:v>
                </c:pt>
                <c:pt idx="8">
                  <c:v>27352</c:v>
                </c:pt>
                <c:pt idx="9">
                  <c:v>28557</c:v>
                </c:pt>
              </c:numCache>
            </c:numRef>
          </c:val>
          <c:extLst>
            <c:ext xmlns:c16="http://schemas.microsoft.com/office/drawing/2014/chart" uri="{C3380CC4-5D6E-409C-BE32-E72D297353CC}">
              <c16:uniqueId val="{00000000-C17C-42F5-9CF9-8E7575AE07AA}"/>
            </c:ext>
          </c:extLst>
        </c:ser>
        <c:dLbls>
          <c:showLegendKey val="0"/>
          <c:showVal val="0"/>
          <c:showCatName val="0"/>
          <c:showSerName val="0"/>
          <c:showPercent val="0"/>
          <c:showBubbleSize val="0"/>
        </c:dLbls>
        <c:gapWidth val="182"/>
        <c:axId val="505847776"/>
        <c:axId val="505848256"/>
      </c:barChart>
      <c:catAx>
        <c:axId val="505847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848256"/>
        <c:crosses val="autoZero"/>
        <c:auto val="1"/>
        <c:lblAlgn val="ctr"/>
        <c:lblOffset val="100"/>
        <c:noMultiLvlLbl val="0"/>
      </c:catAx>
      <c:valAx>
        <c:axId val="505848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84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(MIS).xlsx]Pivot_Analysis!PivotTable2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Quantity Sold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Pivot_Analysis!$B$88</c:f>
              <c:strCache>
                <c:ptCount val="1"/>
                <c:pt idx="0">
                  <c:v>Total</c:v>
                </c:pt>
              </c:strCache>
            </c:strRef>
          </c:tx>
          <c:spPr>
            <a:solidFill>
              <a:schemeClr val="accent1"/>
            </a:solidFill>
            <a:ln>
              <a:noFill/>
            </a:ln>
            <a:effectLst/>
          </c:spPr>
          <c:invertIfNegative val="0"/>
          <c:cat>
            <c:strRef>
              <c:f>Pivot_Analysis!$A$89:$A$101</c:f>
              <c:strCache>
                <c:ptCount val="12"/>
                <c:pt idx="0">
                  <c:v>Binders</c:v>
                </c:pt>
                <c:pt idx="1">
                  <c:v>Bookcases</c:v>
                </c:pt>
                <c:pt idx="2">
                  <c:v>Chairs</c:v>
                </c:pt>
                <c:pt idx="3">
                  <c:v>Electronic Games</c:v>
                </c:pt>
                <c:pt idx="4">
                  <c:v>Laptops</c:v>
                </c:pt>
                <c:pt idx="5">
                  <c:v>Markers</c:v>
                </c:pt>
                <c:pt idx="6">
                  <c:v>Paper</c:v>
                </c:pt>
                <c:pt idx="7">
                  <c:v>Pens</c:v>
                </c:pt>
                <c:pt idx="8">
                  <c:v>Phones</c:v>
                </c:pt>
                <c:pt idx="9">
                  <c:v>Printers</c:v>
                </c:pt>
                <c:pt idx="10">
                  <c:v>Sofas</c:v>
                </c:pt>
                <c:pt idx="11">
                  <c:v>Tables</c:v>
                </c:pt>
              </c:strCache>
            </c:strRef>
          </c:cat>
          <c:val>
            <c:numRef>
              <c:f>Pivot_Analysis!$B$89:$B$101</c:f>
              <c:numCache>
                <c:formatCode>General</c:formatCode>
                <c:ptCount val="12"/>
                <c:pt idx="0">
                  <c:v>688</c:v>
                </c:pt>
                <c:pt idx="1">
                  <c:v>1030</c:v>
                </c:pt>
                <c:pt idx="2">
                  <c:v>875</c:v>
                </c:pt>
                <c:pt idx="3">
                  <c:v>1220</c:v>
                </c:pt>
                <c:pt idx="4">
                  <c:v>934</c:v>
                </c:pt>
                <c:pt idx="5">
                  <c:v>1173</c:v>
                </c:pt>
                <c:pt idx="6">
                  <c:v>981</c:v>
                </c:pt>
                <c:pt idx="7">
                  <c:v>1204</c:v>
                </c:pt>
                <c:pt idx="8">
                  <c:v>980</c:v>
                </c:pt>
                <c:pt idx="9">
                  <c:v>1124</c:v>
                </c:pt>
                <c:pt idx="10">
                  <c:v>1233</c:v>
                </c:pt>
                <c:pt idx="11">
                  <c:v>1303</c:v>
                </c:pt>
              </c:numCache>
            </c:numRef>
          </c:val>
          <c:extLst>
            <c:ext xmlns:c16="http://schemas.microsoft.com/office/drawing/2014/chart" uri="{C3380CC4-5D6E-409C-BE32-E72D297353CC}">
              <c16:uniqueId val="{00000000-F848-4065-8790-39C0C05C1A87}"/>
            </c:ext>
          </c:extLst>
        </c:ser>
        <c:dLbls>
          <c:showLegendKey val="0"/>
          <c:showVal val="0"/>
          <c:showCatName val="0"/>
          <c:showSerName val="0"/>
          <c:showPercent val="0"/>
          <c:showBubbleSize val="0"/>
        </c:dLbls>
        <c:gapWidth val="150"/>
        <c:overlap val="100"/>
        <c:axId val="473376464"/>
        <c:axId val="473368304"/>
      </c:barChart>
      <c:catAx>
        <c:axId val="47337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368304"/>
        <c:crosses val="autoZero"/>
        <c:auto val="1"/>
        <c:lblAlgn val="ctr"/>
        <c:lblOffset val="100"/>
        <c:noMultiLvlLbl val="0"/>
      </c:catAx>
      <c:valAx>
        <c:axId val="47336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37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(MIS).xlsx]Pivot_Analysis!PivotTable3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Profit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Pivot_Analysis!$P$3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Pivot_Analysis!$O$4:$O$16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Pivot_Analysis!$P$4:$P$16</c:f>
              <c:numCache>
                <c:formatCode>General</c:formatCode>
                <c:ptCount val="12"/>
                <c:pt idx="0">
                  <c:v>110381</c:v>
                </c:pt>
                <c:pt idx="1">
                  <c:v>118941</c:v>
                </c:pt>
                <c:pt idx="2">
                  <c:v>152739</c:v>
                </c:pt>
                <c:pt idx="3">
                  <c:v>139373</c:v>
                </c:pt>
                <c:pt idx="4">
                  <c:v>129629</c:v>
                </c:pt>
                <c:pt idx="5">
                  <c:v>141845</c:v>
                </c:pt>
                <c:pt idx="6">
                  <c:v>132117</c:v>
                </c:pt>
                <c:pt idx="7">
                  <c:v>143289</c:v>
                </c:pt>
                <c:pt idx="8">
                  <c:v>111244</c:v>
                </c:pt>
                <c:pt idx="9">
                  <c:v>155154</c:v>
                </c:pt>
                <c:pt idx="10">
                  <c:v>116169</c:v>
                </c:pt>
                <c:pt idx="11">
                  <c:v>159816</c:v>
                </c:pt>
              </c:numCache>
            </c:numRef>
          </c:val>
          <c:smooth val="0"/>
          <c:extLst>
            <c:ext xmlns:c16="http://schemas.microsoft.com/office/drawing/2014/chart" uri="{C3380CC4-5D6E-409C-BE32-E72D297353CC}">
              <c16:uniqueId val="{00000000-FB94-405B-9C69-9238D0C92C2A}"/>
            </c:ext>
          </c:extLst>
        </c:ser>
        <c:dLbls>
          <c:showLegendKey val="0"/>
          <c:showVal val="0"/>
          <c:showCatName val="0"/>
          <c:showSerName val="0"/>
          <c:showPercent val="0"/>
          <c:showBubbleSize val="0"/>
        </c:dLbls>
        <c:marker val="1"/>
        <c:smooth val="0"/>
        <c:axId val="760524880"/>
        <c:axId val="760519120"/>
      </c:lineChart>
      <c:catAx>
        <c:axId val="76052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519120"/>
        <c:crosses val="autoZero"/>
        <c:auto val="1"/>
        <c:lblAlgn val="ctr"/>
        <c:lblOffset val="100"/>
        <c:noMultiLvlLbl val="0"/>
      </c:catAx>
      <c:valAx>
        <c:axId val="76051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52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(MIS).xlsx]Pivot_Analysis!PivotTable8</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latin typeface="Segoe UI" panose="020B0502040204020203" pitchFamily="34" charset="0"/>
                <a:cs typeface="Segoe UI" panose="020B0502040204020203" pitchFamily="34" charset="0"/>
              </a:rPr>
              <a:t>Monthly Sales Trend</a:t>
            </a:r>
            <a:endParaRPr lang="en-US" b="1">
              <a:latin typeface="Segoe UI" panose="020B0502040204020203" pitchFamily="34" charset="0"/>
              <a:cs typeface="Segoe UI" panose="020B0502040204020203" pitchFamily="34" charset="0"/>
            </a:endParaRPr>
          </a:p>
        </c:rich>
      </c:tx>
      <c:layout>
        <c:manualLayout>
          <c:xMode val="edge"/>
          <c:yMode val="edge"/>
          <c:x val="1.0369995627456595E-2"/>
          <c:y val="1.17244225260314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5D1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c:f>
              <c:strCache>
                <c:ptCount val="1"/>
                <c:pt idx="0">
                  <c:v>Total</c:v>
                </c:pt>
              </c:strCache>
            </c:strRef>
          </c:tx>
          <c:spPr>
            <a:ln w="28575" cap="rnd">
              <a:solidFill>
                <a:srgbClr val="05D1FF"/>
              </a:solidFill>
              <a:round/>
            </a:ln>
            <a:effectLst/>
          </c:spPr>
          <c:marker>
            <c:symbol val="none"/>
          </c:marker>
          <c:trendline>
            <c:spPr>
              <a:ln w="19050" cap="rnd">
                <a:solidFill>
                  <a:schemeClr val="bg1"/>
                </a:solidFill>
                <a:prstDash val="sysDot"/>
              </a:ln>
              <a:effectLst/>
            </c:spPr>
            <c:trendlineType val="linear"/>
            <c:dispRSqr val="0"/>
            <c:dispEq val="0"/>
          </c:trendline>
          <c:cat>
            <c:strRef>
              <c:f>Pivot_Analysis!$A$4:$A$16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Pivot_Analysis!$B$4:$B$16</c:f>
              <c:numCache>
                <c:formatCode>General</c:formatCode>
                <c:ptCount val="12"/>
                <c:pt idx="0">
                  <c:v>392678</c:v>
                </c:pt>
                <c:pt idx="1">
                  <c:v>450672</c:v>
                </c:pt>
                <c:pt idx="2">
                  <c:v>497247</c:v>
                </c:pt>
                <c:pt idx="3">
                  <c:v>567882</c:v>
                </c:pt>
                <c:pt idx="4">
                  <c:v>581943</c:v>
                </c:pt>
                <c:pt idx="5">
                  <c:v>529028</c:v>
                </c:pt>
                <c:pt idx="6">
                  <c:v>497410</c:v>
                </c:pt>
                <c:pt idx="7">
                  <c:v>517830</c:v>
                </c:pt>
                <c:pt idx="8">
                  <c:v>408236</c:v>
                </c:pt>
                <c:pt idx="9">
                  <c:v>632521</c:v>
                </c:pt>
                <c:pt idx="10">
                  <c:v>451814</c:v>
                </c:pt>
                <c:pt idx="11">
                  <c:v>655378</c:v>
                </c:pt>
              </c:numCache>
            </c:numRef>
          </c:val>
          <c:smooth val="0"/>
          <c:extLst>
            <c:ext xmlns:c16="http://schemas.microsoft.com/office/drawing/2014/chart" uri="{C3380CC4-5D6E-409C-BE32-E72D297353CC}">
              <c16:uniqueId val="{00000001-A86C-4886-A91D-A6DAC8E265D5}"/>
            </c:ext>
          </c:extLst>
        </c:ser>
        <c:dLbls>
          <c:showLegendKey val="0"/>
          <c:showVal val="0"/>
          <c:showCatName val="0"/>
          <c:showSerName val="0"/>
          <c:showPercent val="0"/>
          <c:showBubbleSize val="0"/>
        </c:dLbls>
        <c:smooth val="0"/>
        <c:axId val="669484208"/>
        <c:axId val="669495728"/>
      </c:lineChart>
      <c:catAx>
        <c:axId val="66948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9495728"/>
        <c:crosses val="autoZero"/>
        <c:auto val="1"/>
        <c:lblAlgn val="ctr"/>
        <c:lblOffset val="100"/>
        <c:noMultiLvlLbl val="0"/>
      </c:catAx>
      <c:valAx>
        <c:axId val="66949572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948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(MIS).xlsx]Pivot_Analysis!PivotTable3</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latin typeface="Segoe UI" panose="020B0502040204020203" pitchFamily="34" charset="0"/>
                <a:cs typeface="Segoe UI" panose="020B0502040204020203" pitchFamily="34" charset="0"/>
              </a:rPr>
              <a:t>Monthly Profit Trend</a:t>
            </a:r>
          </a:p>
        </c:rich>
      </c:tx>
      <c:layout>
        <c:manualLayout>
          <c:xMode val="edge"/>
          <c:yMode val="edge"/>
          <c:x val="1.0674399381927029E-2"/>
          <c:y val="1.7476030088127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5D1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Pivot_Analysis!$P$3</c:f>
              <c:strCache>
                <c:ptCount val="1"/>
                <c:pt idx="0">
                  <c:v>Total</c:v>
                </c:pt>
              </c:strCache>
            </c:strRef>
          </c:tx>
          <c:spPr>
            <a:ln w="28575" cap="rnd">
              <a:solidFill>
                <a:srgbClr val="05D1FF"/>
              </a:solidFill>
              <a:round/>
            </a:ln>
            <a:effectLst/>
          </c:spPr>
          <c:marker>
            <c:symbol val="none"/>
          </c:marker>
          <c:trendline>
            <c:spPr>
              <a:ln w="19050" cap="rnd">
                <a:solidFill>
                  <a:schemeClr val="bg1"/>
                </a:solidFill>
                <a:prstDash val="sysDot"/>
              </a:ln>
              <a:effectLst/>
            </c:spPr>
            <c:trendlineType val="linear"/>
            <c:dispRSqr val="0"/>
            <c:dispEq val="0"/>
          </c:trendline>
          <c:cat>
            <c:strRef>
              <c:f>Pivot_Analysis!$O$4:$O$16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Pivot_Analysis!$P$4:$P$16</c:f>
              <c:numCache>
                <c:formatCode>General</c:formatCode>
                <c:ptCount val="12"/>
                <c:pt idx="0">
                  <c:v>110381</c:v>
                </c:pt>
                <c:pt idx="1">
                  <c:v>118941</c:v>
                </c:pt>
                <c:pt idx="2">
                  <c:v>152739</c:v>
                </c:pt>
                <c:pt idx="3">
                  <c:v>139373</c:v>
                </c:pt>
                <c:pt idx="4">
                  <c:v>129629</c:v>
                </c:pt>
                <c:pt idx="5">
                  <c:v>141845</c:v>
                </c:pt>
                <c:pt idx="6">
                  <c:v>132117</c:v>
                </c:pt>
                <c:pt idx="7">
                  <c:v>143289</c:v>
                </c:pt>
                <c:pt idx="8">
                  <c:v>111244</c:v>
                </c:pt>
                <c:pt idx="9">
                  <c:v>155154</c:v>
                </c:pt>
                <c:pt idx="10">
                  <c:v>116169</c:v>
                </c:pt>
                <c:pt idx="11">
                  <c:v>159816</c:v>
                </c:pt>
              </c:numCache>
            </c:numRef>
          </c:val>
          <c:smooth val="0"/>
          <c:extLst>
            <c:ext xmlns:c16="http://schemas.microsoft.com/office/drawing/2014/chart" uri="{C3380CC4-5D6E-409C-BE32-E72D297353CC}">
              <c16:uniqueId val="{00000001-571A-4421-8F51-FF690FB24EC8}"/>
            </c:ext>
          </c:extLst>
        </c:ser>
        <c:dLbls>
          <c:showLegendKey val="0"/>
          <c:showVal val="0"/>
          <c:showCatName val="0"/>
          <c:showSerName val="0"/>
          <c:showPercent val="0"/>
          <c:showBubbleSize val="0"/>
        </c:dLbls>
        <c:smooth val="0"/>
        <c:axId val="760524880"/>
        <c:axId val="760519120"/>
      </c:lineChart>
      <c:catAx>
        <c:axId val="76052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0519120"/>
        <c:crosses val="autoZero"/>
        <c:auto val="1"/>
        <c:lblAlgn val="ctr"/>
        <c:lblOffset val="100"/>
        <c:noMultiLvlLbl val="0"/>
      </c:catAx>
      <c:valAx>
        <c:axId val="76051912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052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(MIS).xlsx]Pivot_Analysis!PivotTable9</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latin typeface="Segoe UI" panose="020B0502040204020203" pitchFamily="34" charset="0"/>
                <a:cs typeface="Segoe UI" panose="020B0502040204020203" pitchFamily="34" charset="0"/>
              </a:rPr>
              <a:t>Category-wise Sales</a:t>
            </a:r>
            <a:endParaRPr lang="en-US" b="1">
              <a:latin typeface="Segoe UI" panose="020B0502040204020203" pitchFamily="34" charset="0"/>
              <a:cs typeface="Segoe UI" panose="020B0502040204020203" pitchFamily="34" charset="0"/>
            </a:endParaRPr>
          </a:p>
        </c:rich>
      </c:tx>
      <c:layout>
        <c:manualLayout>
          <c:xMode val="edge"/>
          <c:yMode val="edge"/>
          <c:x val="1.800097009876393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AC1E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Pivot_Analysis!$B$20</c:f>
              <c:strCache>
                <c:ptCount val="1"/>
                <c:pt idx="0">
                  <c:v>Total</c:v>
                </c:pt>
              </c:strCache>
            </c:strRef>
          </c:tx>
          <c:spPr>
            <a:solidFill>
              <a:srgbClr val="0AC1EF"/>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Pivot_Analysis!$A$21:$A$24</c:f>
              <c:strCache>
                <c:ptCount val="3"/>
                <c:pt idx="0">
                  <c:v>Electronics</c:v>
                </c:pt>
                <c:pt idx="1">
                  <c:v>Furniture</c:v>
                </c:pt>
                <c:pt idx="2">
                  <c:v>Office Supplies</c:v>
                </c:pt>
              </c:strCache>
            </c:strRef>
          </c:cat>
          <c:val>
            <c:numRef>
              <c:f>Pivot_Analysis!$B$21:$B$24</c:f>
              <c:numCache>
                <c:formatCode>General</c:formatCode>
                <c:ptCount val="3"/>
                <c:pt idx="0">
                  <c:v>2054456</c:v>
                </c:pt>
                <c:pt idx="1">
                  <c:v>2038673</c:v>
                </c:pt>
                <c:pt idx="2">
                  <c:v>2089510</c:v>
                </c:pt>
              </c:numCache>
            </c:numRef>
          </c:val>
          <c:extLst>
            <c:ext xmlns:c16="http://schemas.microsoft.com/office/drawing/2014/chart" uri="{C3380CC4-5D6E-409C-BE32-E72D297353CC}">
              <c16:uniqueId val="{00000000-E195-467E-9466-8DCFC75F510C}"/>
            </c:ext>
          </c:extLst>
        </c:ser>
        <c:dLbls>
          <c:dLblPos val="outEnd"/>
          <c:showLegendKey val="0"/>
          <c:showVal val="1"/>
          <c:showCatName val="0"/>
          <c:showSerName val="0"/>
          <c:showPercent val="0"/>
          <c:showBubbleSize val="0"/>
        </c:dLbls>
        <c:gapWidth val="219"/>
        <c:overlap val="-27"/>
        <c:axId val="669518768"/>
        <c:axId val="669517808"/>
      </c:barChart>
      <c:catAx>
        <c:axId val="66951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9517808"/>
        <c:crosses val="autoZero"/>
        <c:auto val="1"/>
        <c:lblAlgn val="ctr"/>
        <c:lblOffset val="100"/>
        <c:noMultiLvlLbl val="0"/>
      </c:catAx>
      <c:valAx>
        <c:axId val="66951780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951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(MIS).xlsx]Pivot_Analysis!PivotTable15</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1">
                <a:latin typeface="Segoe UI" panose="020B0502040204020203" pitchFamily="34" charset="0"/>
                <a:cs typeface="Segoe UI" panose="020B0502040204020203" pitchFamily="34" charset="0"/>
              </a:rPr>
              <a:t>Payment Mode Analysis</a:t>
            </a:r>
            <a:endParaRPr lang="en-US" b="1">
              <a:latin typeface="Segoe UI" panose="020B0502040204020203" pitchFamily="34" charset="0"/>
              <a:cs typeface="Segoe UI" panose="020B0502040204020203" pitchFamily="34" charset="0"/>
            </a:endParaRPr>
          </a:p>
        </c:rich>
      </c:tx>
      <c:layout>
        <c:manualLayout>
          <c:xMode val="edge"/>
          <c:yMode val="edge"/>
          <c:x val="1.436816612602387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s>
    <c:plotArea>
      <c:layout>
        <c:manualLayout>
          <c:layoutTarget val="inner"/>
          <c:xMode val="edge"/>
          <c:yMode val="edge"/>
          <c:x val="0.1298095439941474"/>
          <c:y val="0.15894115821955576"/>
          <c:w val="0.744263400888452"/>
          <c:h val="0.64942377786072059"/>
        </c:manualLayout>
      </c:layout>
      <c:doughnutChart>
        <c:varyColors val="1"/>
        <c:ser>
          <c:idx val="0"/>
          <c:order val="0"/>
          <c:tx>
            <c:strRef>
              <c:f>Pivot_Analysis!$B$59</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1847-4B58-8D92-10C6C82875EC}"/>
              </c:ext>
            </c:extLst>
          </c:dPt>
          <c:dPt>
            <c:idx val="1"/>
            <c:bubble3D val="0"/>
            <c:spPr>
              <a:solidFill>
                <a:schemeClr val="accent2"/>
              </a:solidFill>
              <a:ln w="19050">
                <a:noFill/>
              </a:ln>
              <a:effectLst/>
            </c:spPr>
            <c:extLst>
              <c:ext xmlns:c16="http://schemas.microsoft.com/office/drawing/2014/chart" uri="{C3380CC4-5D6E-409C-BE32-E72D297353CC}">
                <c16:uniqueId val="{00000003-1847-4B58-8D92-10C6C82875EC}"/>
              </c:ext>
            </c:extLst>
          </c:dPt>
          <c:dPt>
            <c:idx val="2"/>
            <c:bubble3D val="0"/>
            <c:spPr>
              <a:solidFill>
                <a:schemeClr val="accent3"/>
              </a:solidFill>
              <a:ln w="19050">
                <a:noFill/>
              </a:ln>
              <a:effectLst/>
            </c:spPr>
            <c:extLst>
              <c:ext xmlns:c16="http://schemas.microsoft.com/office/drawing/2014/chart" uri="{C3380CC4-5D6E-409C-BE32-E72D297353CC}">
                <c16:uniqueId val="{00000005-1847-4B58-8D92-10C6C82875EC}"/>
              </c:ext>
            </c:extLst>
          </c:dPt>
          <c:dPt>
            <c:idx val="3"/>
            <c:bubble3D val="0"/>
            <c:spPr>
              <a:solidFill>
                <a:schemeClr val="accent4"/>
              </a:solidFill>
              <a:ln w="19050">
                <a:noFill/>
              </a:ln>
              <a:effectLst/>
            </c:spPr>
            <c:extLst>
              <c:ext xmlns:c16="http://schemas.microsoft.com/office/drawing/2014/chart" uri="{C3380CC4-5D6E-409C-BE32-E72D297353CC}">
                <c16:uniqueId val="{00000007-1847-4B58-8D92-10C6C82875EC}"/>
              </c:ext>
            </c:extLst>
          </c:dPt>
          <c:dPt>
            <c:idx val="4"/>
            <c:bubble3D val="0"/>
            <c:spPr>
              <a:solidFill>
                <a:schemeClr val="accent5"/>
              </a:solidFill>
              <a:ln w="19050">
                <a:noFill/>
              </a:ln>
              <a:effectLst/>
            </c:spPr>
            <c:extLst>
              <c:ext xmlns:c16="http://schemas.microsoft.com/office/drawing/2014/chart" uri="{C3380CC4-5D6E-409C-BE32-E72D297353CC}">
                <c16:uniqueId val="{00000009-1847-4B58-8D92-10C6C82875EC}"/>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Pivot_Analysis!$A$60:$A$65</c:f>
              <c:strCache>
                <c:ptCount val="5"/>
                <c:pt idx="0">
                  <c:v>COD</c:v>
                </c:pt>
                <c:pt idx="1">
                  <c:v>Credit Card</c:v>
                </c:pt>
                <c:pt idx="2">
                  <c:v>Debit Card</c:v>
                </c:pt>
                <c:pt idx="3">
                  <c:v>EMI</c:v>
                </c:pt>
                <c:pt idx="4">
                  <c:v>UPI</c:v>
                </c:pt>
              </c:strCache>
            </c:strRef>
          </c:cat>
          <c:val>
            <c:numRef>
              <c:f>Pivot_Analysis!$B$60:$B$65</c:f>
              <c:numCache>
                <c:formatCode>General</c:formatCode>
                <c:ptCount val="5"/>
                <c:pt idx="0">
                  <c:v>206</c:v>
                </c:pt>
                <c:pt idx="1">
                  <c:v>258</c:v>
                </c:pt>
                <c:pt idx="2">
                  <c:v>260</c:v>
                </c:pt>
                <c:pt idx="3">
                  <c:v>218</c:v>
                </c:pt>
                <c:pt idx="4">
                  <c:v>252</c:v>
                </c:pt>
              </c:numCache>
            </c:numRef>
          </c:val>
          <c:extLst>
            <c:ext xmlns:c16="http://schemas.microsoft.com/office/drawing/2014/chart" uri="{C3380CC4-5D6E-409C-BE32-E72D297353CC}">
              <c16:uniqueId val="{0000000A-1847-4B58-8D92-10C6C82875E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6998457284525037"/>
          <c:y val="0.7950311112339894"/>
          <c:w val="0.29568314271772816"/>
          <c:h val="0.200435910550786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 (MIS).xlsx]Pivot_Analysis!PivotTable1</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400" b="1" i="0" u="none" strike="noStrike" baseline="0">
                <a:solidFill>
                  <a:schemeClr val="bg1"/>
                </a:solidFill>
                <a:latin typeface="Segoe UI" panose="020B0502040204020203" pitchFamily="34" charset="0"/>
                <a:cs typeface="Segoe UI" panose="020B0502040204020203" pitchFamily="34" charset="0"/>
              </a:rPr>
              <a:t>Top 10 Customers</a:t>
            </a:r>
            <a:endParaRPr lang="en-US" b="1">
              <a:solidFill>
                <a:schemeClr val="bg1"/>
              </a:solidFill>
              <a:latin typeface="Segoe UI" panose="020B0502040204020203" pitchFamily="34" charset="0"/>
              <a:cs typeface="Segoe UI" panose="020B0502040204020203" pitchFamily="34" charset="0"/>
            </a:endParaRPr>
          </a:p>
        </c:rich>
      </c:tx>
      <c:layout>
        <c:manualLayout>
          <c:xMode val="edge"/>
          <c:yMode val="edge"/>
          <c:x val="2.2261931986823604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5D1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4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5D1FF"/>
          </a:solidFill>
          <a:ln>
            <a:noFill/>
          </a:ln>
          <a:effectLst/>
        </c:spPr>
      </c:pivotFmt>
    </c:pivotFmts>
    <c:plotArea>
      <c:layout/>
      <c:barChart>
        <c:barDir val="bar"/>
        <c:grouping val="clustered"/>
        <c:varyColors val="0"/>
        <c:ser>
          <c:idx val="0"/>
          <c:order val="0"/>
          <c:tx>
            <c:strRef>
              <c:f>Pivot_Analysis!$B$72</c:f>
              <c:strCache>
                <c:ptCount val="1"/>
                <c:pt idx="0">
                  <c:v>Total</c:v>
                </c:pt>
              </c:strCache>
            </c:strRef>
          </c:tx>
          <c:spPr>
            <a:solidFill>
              <a:srgbClr val="05D1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4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Pivot_Analysis!$A$73:$A$83</c:f>
              <c:strCache>
                <c:ptCount val="10"/>
                <c:pt idx="0">
                  <c:v>Brian Green</c:v>
                </c:pt>
                <c:pt idx="1">
                  <c:v>Zachary Perez</c:v>
                </c:pt>
                <c:pt idx="2">
                  <c:v>Tammy Bell</c:v>
                </c:pt>
                <c:pt idx="3">
                  <c:v>Randy Johnson</c:v>
                </c:pt>
                <c:pt idx="4">
                  <c:v>Jacqueline Harris</c:v>
                </c:pt>
                <c:pt idx="5">
                  <c:v>Katherine Williams</c:v>
                </c:pt>
                <c:pt idx="6">
                  <c:v>Emily Ellison</c:v>
                </c:pt>
                <c:pt idx="7">
                  <c:v>George Foster</c:v>
                </c:pt>
                <c:pt idx="8">
                  <c:v>Nicholas Anderson</c:v>
                </c:pt>
                <c:pt idx="9">
                  <c:v>Cory Evans</c:v>
                </c:pt>
              </c:strCache>
            </c:strRef>
          </c:cat>
          <c:val>
            <c:numRef>
              <c:f>Pivot_Analysis!$B$73:$B$83</c:f>
              <c:numCache>
                <c:formatCode>General</c:formatCode>
                <c:ptCount val="10"/>
                <c:pt idx="0">
                  <c:v>23737</c:v>
                </c:pt>
                <c:pt idx="1">
                  <c:v>23737</c:v>
                </c:pt>
                <c:pt idx="2">
                  <c:v>23895</c:v>
                </c:pt>
                <c:pt idx="3">
                  <c:v>24295</c:v>
                </c:pt>
                <c:pt idx="4">
                  <c:v>24433</c:v>
                </c:pt>
                <c:pt idx="5">
                  <c:v>25121</c:v>
                </c:pt>
                <c:pt idx="6">
                  <c:v>27352</c:v>
                </c:pt>
                <c:pt idx="7">
                  <c:v>27352</c:v>
                </c:pt>
                <c:pt idx="8">
                  <c:v>27352</c:v>
                </c:pt>
                <c:pt idx="9">
                  <c:v>28557</c:v>
                </c:pt>
              </c:numCache>
            </c:numRef>
          </c:val>
          <c:extLst>
            <c:ext xmlns:c16="http://schemas.microsoft.com/office/drawing/2014/chart" uri="{C3380CC4-5D6E-409C-BE32-E72D297353CC}">
              <c16:uniqueId val="{00000000-8669-4583-89F3-A0ED54BB7172}"/>
            </c:ext>
          </c:extLst>
        </c:ser>
        <c:dLbls>
          <c:dLblPos val="outEnd"/>
          <c:showLegendKey val="0"/>
          <c:showVal val="1"/>
          <c:showCatName val="0"/>
          <c:showSerName val="0"/>
          <c:showPercent val="0"/>
          <c:showBubbleSize val="0"/>
        </c:dLbls>
        <c:gapWidth val="182"/>
        <c:axId val="505847776"/>
        <c:axId val="505848256"/>
      </c:barChart>
      <c:catAx>
        <c:axId val="505847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5848256"/>
        <c:crosses val="autoZero"/>
        <c:auto val="1"/>
        <c:lblAlgn val="ctr"/>
        <c:lblOffset val="100"/>
        <c:noMultiLvlLbl val="0"/>
      </c:catAx>
      <c:valAx>
        <c:axId val="505848256"/>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5847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State-Wise Sales</a:t>
          </a:r>
        </a:p>
      </cx:txPr>
    </cx:title>
    <cx:plotArea>
      <cx:plotAreaRegion>
        <cx:series layoutId="regionMap" uniqueId="{4F0E47A9-0A18-42E7-9BF0-904EEA701F3A}">
          <cx:dataId val="0"/>
          <cx:layoutPr>
            <cx:geography cultureLanguage="en-US" cultureRegion="IN" attribution="Powered by Bing">
              <cx:geoCache provider="{E9337A44-BEBE-4D9F-B70C-5C5E7DAFC167}">
                <cx:binary>7HvZjty4tuWvGH5uuThTvLh1gZYiIkenh3S6y34R0naWZlGiqPHre8mRruOMctv3oA8aOED7wQFr
IrmHtddepP/z8/wfn6uHe/dsrqum/4/P8+/PM+/b//jtt/5z9lDf9y/q/LOzvf3Tv/hs69/sn3/m
nx9+++Lup7xJf2OEit8+Z/fOP8zP/+s/8bX0wV7bz/c+t82b4cEtbx/6ofL9T+798Naz+y913uzy
3rv8s6e/Pz9U1uVf7p8/e2h87pd3S/vw+/MnDz1/9tvpp/427LMKM/PDF7zLwhfSSEkVNY9/nj+r
bJM+3g5C9kKEmgsWcvL1D/829s19jff/GxP6Op37L1/cQ99jQV9/v3vxyexx/fr5s892aPxmtBT2
+/35XZP7hy/Pbv29f+ifP8t7Gx8fiO22hLvbr2v+7anZ/+s/Ty7ACidXvvPMqcl+detvjonvq/xP
65r8X+gbrl8wKZQy1BxtT5/6hlLzQlHNNBWP3nvqm//enH7snu/fPfFQ/D//LT108zA9+2Bd+eyb
kf7vk0ewF4YbJjhnfyXH98mj5QuFO1JRcUwu9W3sY/J8m9K3qz+a0Y/d8483T5xz8+Hf0jkXVZU3
Nkd2/6uATZAXlAkacvVoe/M0eULzgopQcRnKv4DvOPbRN/+dGf3YN/9488Q3F/+e0PbuYb7/FzqG
0xdC8VCElP4Q1Yx5wZFQRmt2dEz4LSiOjvnldH7slcfXTlzy7o9/y3T5R/r/y9Ll/0PZkaN9jZ4f
07cf3vobE3iV5fZbxP4I0P85fgYYExT8zGjyVzZ8X2LAz3CHg6Hpv0rQ9zD2q9n8OFmOb53kyqvz
f4tc+Tl5/D5fnjz5T/Jmbl5IwqUW/B92/94vQDGyFR9uHsuP+BYTRxQ74bT/52n92EEnrz9Zyf8j
wvx/JtN/9Ru7e3+//9qofMenf373W46dvPqEFjxZ7TezXnxBMyNg5b/an+0Tj+/9xOZ/vfdw3/vf
nwdKvTCacyU1vGeoIOBs08N2C0z7haTMkNBwCV4eojA11vns9+eavuBSaLibhZTJ5896O2zXaQiC
yJC9hoKlG1D1v9rD17ZaUtv8ZY3Hfz9rhvq1zRvf//6c8+fP2uNj2yy3ESkjRlHOtDI8ZJhA+/n+
LVpQPE3/R0UL19CplA8hTfxg9qwVbVDFpB3z9b2UQ1vei8DJ/tB0S7+InWezzOY4sAn5lDZONEFs
2VzqS5PJZdiVJmi688nUVf+yknUbLJEtZ9l+kqUvZruDraqCx6nWgj7o2S7D2yqbdXUfhrJNPvOa
d+omVXnX8qimeY+piFa6+lVGiZ+aXVpJV7aRnWRdX1O9dJhyWtd0uWI1b4o/g360eOc7l/7ASPrE
RoaAkBsJ1rc1TowgIr63kaZ1PmQqCx+SyTZFd+5rUYnzSoy90+drn/p8ite8RTdXkSRnyeHnw1N2
Or7WQGP0BCGHpzCZp+OvBQ97RVT+paAlL/PYWy55FhnDgq44uHlKnd+5zKciiwIRrG3zehJ86VlM
xaomfulV1vRlZG3HHb0xMuxw7+eTRAh/H0eagGCB+xq+NSZbWD6d45zlAcscD76owI2E7dJVp7o7
VKHwnESN80p9LCVJ/MXPxz3xzTauMEIzJgkzIT8dtx0Wq23Awy/pgphT0Ujaqv8jEwlr0mgq8iF/
1SQQZnyUZZYxFf18eDD+k2VrsE4RMiNkyJBDT5edyjEPyJzxL4GudMdjOREl75FIgb+wa66rmzyg
lr7kZbcMt2VPyJpFfZZXMMo/O5NQh0ooGRJDUCLI05lkOkuqYiHui1ATUu6wULXS8iDdNPRin4eJ
UB/dABN0Ua+0Vh8tWUZn9mNuSTv9wiuAp6dmkUyJUMpQSQXX8JNo8ConxVI2yefErI10Z7Zr62TZ
B0ndm+VsCd2MEPn5+ukJkmkiDRHIEiQqB5yGJwZIzVpI0/rgU5Y7XQfns8+2hKhnm0H9GaZCrCLO
635hbTQbxmEImZNsuK1bVSxxE1DX3Jo6q12z66R17G095k3/6efT3PD0O7zVlHIiBBGSamA4Osmn
bhqmJHSkW+dPs/MOQUCGksA/ZJ64DKLZ8TG4bVnZbUnjJ7v95G06/MI/fzMWpUqjZSLKhIILQNvT
aYQd6/3SK/upqWQADC+AXusUjQvxi7ziiQTu9+ngyvu6kA0Q1bW1o/I8DIpgLKMuA9puyL9keKvJ
12q8EnPZ2voXsEJPEwyCFFeaKR0yeFipk/o086lpTbPyT33CVFDvC9+31fC6W33eNvHULR0mF+h6
xD27dLVddmG5LsHt1LbJRW9cVaRxva5kuaqzrvFJ1BiiEh8PkgTVW1WbdK1jxs0MSGRBsdDmkqym
wlfLPJm67hdpSiGwPQkApmholFGEcqmgk54gBiKz6cZmbD9qaWUh45aEEqGYJIMxLqarDgDtyXJE
z2oQuDd8hZOWJiFuzZPnqjsME/91DolTFGdgGwaJRCnjW+6ehEU5l32dZLb92DpkUbfnfRmKl4xm
fLni/bDAHCYZq/V9nc3LoqMhc1OXxQD8Sb1NuzUJzl0tivW9C4Ze3YS52gjCLMa6MmflIDf32J4b
hNAyajm+bV1Rru/XSpVTGZGq2opWDuvDQbYxGS7yxYGJhPU8w3dcFgt++pWkPty1suf9Qelh8105
pzkIRvd1eBOmwTJFoZ0LfMKCPGDmedBs3MC3si7v5141XXswo6PjreB29dfOlYmLqqp2rI6DNKnn
81SguH5owiYR70cyUgSZDlPwjLFrLCjKz7HhFDVhfU20BscXWklOT0KDJ0uTUtNWH1da9y6NZkZ0
20eTLWx1wYduAlD8fMRTNGIaWMQo6jYVqN2nI/aO9NlU8+kDX4ctGKdBbPDHel2ieKuxk+pjUvAV
QTixwffpSw1gQZz+fBobnX2SFFwrxTRqhWSECbDkp3C08nHoAqPq97Voas8jbwcZPNgu64BGWdk3
dO8SbfPXYx+mQJw2kzbdp6Fno41CradqjDxLu6sqCdXtzF0VLlE/UTW+9WFA8riT62yvEEQkiwoi
kryNRKLoluwZQRzaMQO7uEiK0m+ZPwrJXzHU+3aJeOn4PJ79fMWnuBZyFCjQDax66+jQEzxdcamS
rJm6Xt+NQ0NAYqVzDCR2XLe4FSBZ4jyj04ywnUvD8ZP6r8w2UO0W0nwoJpbcJrPaQpp1+Vq787xl
fIPIbu0JPXTV2Pb52SqXElmXTPXGqekS1shOTTuk0c+XxE6QLQQDClE2gWrwIJS4E6jueFOvtmjY
XegzjtzybbpNwAd82FL3ax5D2l4wtySbtxQHVm6Q4toOhSbIKGg8neV2yXZlX95XptDiPJ+qzQ7d
Mll1k3Qznsozvi1xSWvVH8pAO35oQzfyPl5QL7DcXyzthGViaYZiw4oiVYgU4HtPveXnkupqsMsd
T8cNqbzrEFprteb2sydhyZpo8bZb32vWbPWxDiyFQ2ZVV+myX2tFfXowPBimO7BUB3NMuuCIPj6u
QJMmDwxCTExVu6HbANg8z1k7AdY8GAkGzH1C8C/0WBSmqFMBU3ivs8DHshoKpERmWIF/He2zQWF5
/3MjnORoCLoAdqWZDNF2kr9RXTqtQi2qC96NtbZAhyO9ZVk4j2WMzjJLm1/Bwkk52oYUHMSeoCwR
Bdb01OyksGCt7azf9QNFhPjFewQUaj/sI4pWWLlPpsDOfaQqvsDg1Zg0oCwAPVhpcnPlX2vVh0lx
SLwIAQZIyPGtg+qCClAHSHw/NyhUj25Lu6mBKecqbJAryKLNHWk5b44IipzixyyFGd8SW1vMRJYl
alOp/Nan/tzawnAs7jumiMVvRQAgQbEX9/eOCnSwD1IyL++ybFFVEvmh5G2cTCQpbhRbhVv2XeZU
G0aGMVNkkXNd3l2SauCzjFqwneDKpXUgXiZ1pnncTXZOP5O8IudTMgi1K3Vjqy+iqFb3traqxs70
SqvplRgpmdddWDRGtnEH/tgPh2mS4XjjuiyZbaRqUtNrThw1u6ZxhsbF7AeXRHYOu7WIsmZ0Yo7T
uRyRDOPqpqWK5kAWojgYRgdxqyq/iDQmMx2m4aw1U0YT8Lck9Rc+02BmsV6raV3R1iIU24u5XJIh
6vq2UIfR6JTvZB3M67tJWZa/H0SVJjsuPKPxgv7ULpFKfW92JmdTGaeySs81437XWTKtV4lpCDmj
E83YIQ36MCP7trS1uFvkmJbBnbFknt/Nfub+ZdD7JniLiqGHL9Ip5e5WPaaNjVprada/MfNalWdJ
DnXjsFoR1jYypeUsi7Vb+y78ROsibL5krLXjvEOoLN2DGfw0kbispp4W5z5pOhnu0AfISp0ldVCq
G0N1UJZno2pZX2UPWdhwDyvPlIdOvFy5HRHSK3V9m73hinhF9k0j2lZfDCbJs+q6kXPZpftiTP00
Xk8ySfP8kIh6GuTbpGG8u1CFyNLwgFhRvIzacSUo61Uf5pOJ0kCozu+yxK3FcjGlfZDlZ1Neo9rE
pZkEAHZs80H+YYNByf4CwTEFSTxx0BZ6M7RgXSbyCw9n9apiWuPHHy8GeV7hHuRngeFW24vu0zp0
ho2XhXJtys7pHARax0shy0GfzU1B6yqSYtzqIpFBjuWkXKKo3M/JooiJC5kZmb5apnZq9esiCYqp
OuiSB6y9KIfFhOMrVXCZm6gzZtMktPMyK9/rNEmC9UqIqoelgqUDZL8EaneZvAp44nR1TfMup9Xr
opiKMNlPBYAg3duccswdkLVNaRmDirA9SbMl73akLQsX7hpPAtn8wVLWYLy6qIy5G9Kw62KH1huW
ZeGQo4LEVGXbRzB/UJao68zG6UXWY/Vxm9GGq0ORTZvFeOVL/Ng+88FtU+sN8sXo01DHZvIWAbA2
4Btn3rgaz7XHpWZerjBfV2j8QS3pE4xWZRRNZkPzzT20FRmT/4tW82bnRpgCWlIwBA6uCJoyzMRD
16Gh6Q4uz8G04imki+7iPMzkEMCDYuiG975ohryBvYJstWfZsAo6vwwLvU05h6fb9VYhsjACx63u
UxLMW4ApF2yel0uAa5WpN9OMI8WjKLFhN2EOY9Nj2PhxPc5x3n2C4Jbhmpxbq25LKRLDYzEZCEBR
qzMKWzxGT7L2Bp/URbAtLvHLV2MMiBoXP3JcI1e5/Yv3snzJSe6C20dTB8fHvxn5+ByUAla+1Kyt
MQHaBNn4qcxVm7uzvOELFt2xFQeCopTxNCe3aMBTayJ5dJRdR49QQ+c9uPSioWZJZETLbFzUK1MP
FlYaWV3hEdZCY3MxZI5kNFFJlo30prVkuFjplHSfzNGCtkUGAdeOa8pYjh4tbm2jJnq+DOHWnZOj
a4/hoZKygn2UyPHGXupqW/yslgxxmlK3DZOJTOHiYjuis7s1yMXgL7FSvpn3GEjrsAyYJRa5fYXm
rsd72NngiK7eZ9vUjwYN1mnFP2zFrdD7gMimLC5WJvXcnqUEIhLZT/lgkdOmSDflo5/g33zUrPtE
VdogfHoJxorFuxFk91UPLXv7IBu3HzGmIX6qhmzpUK9ym38zqDSb7oYqrdL80KQhvpt1nKb8vOwX
Tf0VP8ZKXvTG67NHk5tidJjOnPMSH0EFsBi8aPMSdX6k3arIHZhbEY67tgt8k8ekTxMMLosMZ3h2
vmqhbVYQDCDZwE3ZcKFtuqXzgPqKa+UyqCI8lCCL83LJTV/N9twLS+o6royo6jFK+hSyITV0wPOZ
73r8gDTK6qbuBvy91BN0O0kmCqmog5Zf3YylTyAKTK7A6DRL7fheNcmMLiBZ1i32JwMoLw4z7xgQ
JnRZNYT7qkaJrfdz0CSmv5AGpWr+QNRcAG/SytqyPH+UkwtfZa44DFmFfvfzInocXDlviwzmOONf
c6azYQWD9clUJut7noV28ncdn7JJnfvj0meT9jARb+e1xIrKdOrlXq2EAuW8E5v56NxuUQO9agvx
o34a9uUEC9CBbev1ec7w4xDgeL7LoT4GUV6t0JWNYGVjIkgWi6pf8pY6PKEWuvWwoxx6xNVRZFmp
rFxyGJrOJewiTboV31iP0luCthyqYSdFCYkyoSVa37pG79TEvoIwIa/qUm355MWUQ4RPy9ADKrlK
FtS8fgHSFAf0epvxhpxvUgEbwhJafFE1KV53S4VVfphAz5Lgckp65/Ibw4tNpLQDyt1LXSZc+TcC
MtaS7OekCJbsoKZWVv0O0gVVItIQgdRHkXKKlhzF0MD5ayBWrEo19VY2apls4eaYowi+oyULb6FE
85zkfLycVlkn+k25DlNw60CmoSqsbWfUR+At4iuY2hUWKATZ1pC0TQDwR3u5qVRVDr4KZm1qO7Uf
lVmyjn4Sc6WqG6W6dkkOgtneB39OOS3mZI+KxisZ9RX07yAOK6rdeyiSU+nfkbQr0jRO5MKz+e2k
wW26L2bMx4596JMQ0sSZK4exNnHA1r58v4qBCRsNqA4zmn1KLTil1tIMdECU14Vh8YiLgR4jPWFn
at49ruToy64tIBDHUvJlW9ZXuKmqccM/s6QbmoD9b8mb9/X2RPNVvU8Ktl2TlAR4YkmX7cGEQ52o
9+jct72NvEpapHIKtpjcrH6h7b5Aom5ZaertzmPIglMCiYzEZg+2AL5K8BucBmns5sVxHVHmSPh6
yHQ62WgiDQR7sayJYRdT12xZngbrJgf22CfCjwAt8xfdShDfgmD/4Qa65TbzMsdO48fHgaQzKGkd
QiW4PXZsTV6suoyKph3Em/IIWOVRaOxCuonRQdVtImTvlBNiV6d1Z5Mo69QQ3A65bLFmP2EXb7zM
WbrRuEzMGEOP1Tat4WvCBbZEHYkSOWxJ3rJtm3HXTPMWkzpZWZlHMuubut5nRYVsPBwNAh14A70S
h6zwXdHToLjKGK90+Avh66Shh5YDfEAEM4Cbon+TlTOPPQTo1ew2s1Zh1jpNZ2TDZAGzXSC2DKpG
CC9ZNObdNvdfdHdPe7tteLXt1ZDjOdlTndUNsw2mXkOqOkJjAQ0Ys0AfgEz6+VAnAjqyieA4AcaC
ZIW/1dbWf7fBO4VlFyagkt9ihJSztXHXJkK80gZ7VkBklW1OHfICHrbCCbjsERx/PpenEoIkBPET
UonFYzsccc6eziUZOYN8W6S3Brtq6mMu6cbH+x6nhferBXX+lZ3/PiAOfEE4UKFhEBfNia5YZo7Q
qibJ225uUCjSEhX/Qi8lYO4xs3++QLrJdv9o2rcVbqdmpKYsZBTbUScDzlUh0sZX6u0jYkzZuon2
i+KLlIdZ9OF4KNpkdW+GiS/Frh6aDc+5AzQE/SpQj34xo6eRjhmhlQoNipc2UkCiOxEaF0OCSS+8
e1sdk2oCr0OOz0OZANfzcMzhgkwMCzLTcBQHUIsg2yZStLwb1njs0NkfZM2tJNEMaFliQH2Hx5Ef
Cb3JF45+Mp6O+1ntEWZ/vohTN8JxgnAisWNCKQ1Pd1lRdzvP5mC8yfpyQ6b1KxFqe9kMb5YgHARO
Sf51huP10V/fn4r40XiSPB5/Ukqd2EzPYCMsJMPNY9mb06wrImKBrDZyfZ7+U9KaJJD8aQhlEcCN
VEUdf5oXfEqgRI95cXMsSyDJmzd0WSEvmr7bCsbPF7h98LswRUBg+0kgA3EeRUDRPNEzp2Wdc7fK
8lw3gStlrOta84/KIWF+lYJ/HwquC7GDFwp0+vp0bXXC6mVIVXp+pCKjhDqCOGJdjZ+fr+rxKMZ3
C4NWiKEMDsgQDggJT7cLCcG+jM6z/sytjGT9nsl5O40wEMEG+2e/NthDj22fQls1UZ2s6BYjL1NP
6ytUaxzBSWNbtlB+rpmA9kBe14lMU3u+gBtIe5PMeUnnJU4Ytpw+9F1Xow1yBRNNt6+rYWU+Jpao
vt6FTkJqu+YztVy9Nsf9vFKhGeGvkqam3fyyTLPR4MjMMKqcQhMpcFTjHI2GzutdFRQtXPFIUHSA
17KoPNIKMPQQxUJ9hbFjq1FOBNA9ZTUDdKM13GjANLIAhNayEH1CwwY8AIqlBn3D+2ojc8GR27TY
HEW2kzakax6Vva/pGjW9M02+U62uiiH6Jnl0KJtZ9EhkvjIo7KxNsO/ahVsR190IZQm9RanYvg0t
hqxLdBXjJcFuRZ7G1Vz36Keg51dFdcdBew2/UYs3or0oFAk2MaAfHXTW5diHmWnpebfLyqGG7AoF
RmOXISoyH9okDgabTqSOOo7TQ+y16Uyrp33aKSG7d3Ix42rfYb9h29ECByRM3VjfYxPhXd5CbU53
OISE4wSHzHWUFnFNQTr/XNB69uGlVPPEPlI5Lz68gWyWtG8aY4qS7YumDwg6YYJ+ycc4yoW99H1j
F/h2N81sdUtEAigTYwxqRmUYL2JJpuvS9L5fI2xHTzm6aRM67IvmGenPBKn89EmRulyyXSJAuJuo
1k3t/migvARDFB633B6xqMN+eKquwxq4XRyarFJsAIv+yrMgfG88cWn8VnSOoVF9ZYONrkq0bM7g
REwbjY6omgLJUqsxDVaWLJrKYDTvAOI2vG0bE1SHOpepjLI0nW7lkstit+RTcpaLkZ/nhK8XtZvH
cygZ9q12isWzkdmNzn1FoBmP7l2CoD4XqbR9hOzLPhWurf5ISW53s6EJetGK+zM0u5CUWCOvwpZ8
tCXSsZlada2mvN1pkWXwLgncodCz2Bc2H16tReXJHqzc78OF8AoRq+rPWTvcMiraKyeC9Koee7+X
PSRonH1Jz0c7mF1mpvCNbrMO+/pt/iXvu2RXZW0aLaJpdjIx3WW4svqwJA12gZtWCnw6XJpYFI0+
TPjkRYh+7JOb7XCGcw/Jl86U1Vk502qNFlPIQ1YQe9sKaPNRBYmmjwJu07tpXsP7KmgkWvmhfjeF
LN8T5smlICbLIxsE/FpApjs43zcPfaGTNxAPc5xX8tx8odjqQT9DW/p2ZEWWH9qlCfa0r/3bfhQQ
HAAFu36Zh0veu6WMZD2FcaJNkoV/5CMzywVOIAyfeyYKurdD69Hm5HW2RCP+F8ND6KWud0ESuMva
4DjCTlBfvJlHXqJPqu2V7D3t4iTM7D0p+vZ61oJc9YpuEZrIbQ81HafLGXT2JdHleAH1O7jMS56x
XQj0+0KniTfRuoY0Q9vcBh+mtpseuiCYY5bT9b7vC8twoqDF8cF17RG5WdVWEU5MuWHXrlM5X6oh
7dKI0Da/WagGEKOliseJV/xShKRqL93cuQNrB3Ylq3qOoPS+l9PymQxJciMo0mfsB7+DtEjyKJ3r
Ue/kYvleaN/ctJlwH5Z2Bicj2N5O+2gocQaijHWeyjYKBi7usTNtI86q5sxCKIgYqf2bmTblmz5b
fBmX3qd3XbZ0f7i5rVnUzcMcJ9S1RVRgfthxDaG5IfHmbI3FHE6vDeuzKm7Wsbgv6naNsMlTv8d/
ZOmith3pG4NNhIuWuTAeHEkuRd6I+z5U83UBvX/EtoMYMGjio2QIOnSkQ3qtwsDmUUVLc+8CNAO7
EPysiGTRd6/VpMoDgF6p2OSrPvfUZq9xTgdnO6bM3THbtGfjMNOzoh3VvePJ3YQ++W7t6jU861qx
REVXpw8LDHKWeT0Me9DA5dY7I5PIiQ47tmXqI5KN44UyZXvWgYfSKNW9uTONN5/43PJ3hUvsp3Ed
14cBAb4btWUvBQ4WnBFUil03d/4W/DKI5NSM14Hry48rsc0Zr2iCk1mQk2+yhQjUshmIRIo8hB4k
S3WusTETt31TnJVycHc428Ux/5FdUtLwQ6F4/wG6XPfaNJk7p0tlbuvarVdpX3T7WQNy0QbX+U0j
iL90g5heN33i3rkwFJ95OQIcWLeMN2KpkTzQtF5R7oer2enpIp9mbqHbhM1ZomqxQ3uME5aQPczF
GrjkOkky92ZlYXYXQjr50K2hf4eCn54j2fTLlQYeZ5hUfqhMIq+xw0157GtT7cJ1aTji3TWHNQ3s
6xIS/Ot0tm0X42QIObip6D60fhApmut1vXZGDFc4qFRCHajtu5SvpgZm1/Oe6zI8p9jzi8d2Fa/C
MeVQ5l3wJUgYzqBdL1KsuYmXegbX3ekBknZ4XUo+ar8n+E9vlY8q0ybXU9Cmr6GyVDeBWJr3lXf3
eCeF0JvT930NBlMMuriZTYHjl7Kl+aWxLfs4BMkwxVU2kZc46jPc5Wwcu7OMVVzEJqP6SiTWhQdD
6sZc1lnY7rCPK9ZoxH73LjRrraNi9WaMap40NzbAfv/VEnQatlZk8u66MyM2eujs6HTRiK5+xWcR
vNGNydtYzS6z+8y07m2R5mO9x5bvkl3VeWnzXeAaiUOISUKDMz32/fp2CRs3ZGcb9SA70822siWs
Zqe0vCzRk7sqphrMJZb1kIwvoZYUfcwHmr6b9GqX2JJKXeO4XkJ3EwVFvPJoxP17maP7c8AR13qp
QJzSBseKzkev9KVkM2mKdytfEjZGy9wRM1wygB25CAV2BM66amncLht7OdyaIC0LnMBJK+MiFyRp
VcaBMPNtznFqJmKZqN7YhQbr2YRGs4iJ7hi5nkwxNzFz0PFf6gpwusMBuXVn/zd7V7Zjt61lv0iB
ZpJAox80nKGG4xrtsl8El8sWKWqgRJGi9PW95OSmbed2gvveSGDAdp2jgdPeazKQrasmnEUOI6i8
mr3V6eZdu3op2yK8/t53XQGcppO7SkuFSfdunuOGzsWaNmkbAmDXA9YDBb2Zm2ANuzIOTMtvJAc7
m3U9YN58m93YZ1G3gvghppGnXsTJUNYgCm+lAExaNE64U1TDblek1OcEkFgzBWdZTwp0pEnImoUL
2O90DueLlzBH8q6pYp2RWEaA4oDZvQ+UN71ZhtIkmtQaHoehCqKytjw0YY4SjntDDm4eUrQlIzx9
WL14ICjMDF1Fm2MnnfEDg+8JJ75gExppWnLVqiypx8CxUnYkILxUoRuS5DbwbGqeQeZ21akZafy5
tvbTtvH6uebqU81U0mRoE7rHBdqOsqLVdPRxePjYJNIJ9BfZrts1bC9TJMzB8onlalSbyghkmirr
uqR7nPo2LaYpXTNDRYz91c7dl7mutgMZWtB4tatuwTBSPw+cXsZiw2ET3zHNo0cCAdFUCAusB/MB
EyaDHm55CwYl79XYa1pqQuobPfTDoxn1XJfG1bY6AzWuSeZ1jp27oRmLsB/bgxyr5LGXflCymQ/X
skq821C6+DpUIC2HWoO8ZmiLijCs7OfeEHPcXBi2mU9wCBc+s6MuVZAOF+gHl/mspqXKmF58l4+y
bvI41VZlLOgqaEghiDRnneLhyhUg9+NWwa5egfcejw34tWLColyybZXTBac8Dn+RyrYQDeoL3EL1
gFNHHAxhaW56xd83og4+AXlzB4h22HHwWXcgijR3XuNPue1S/uL33XPbQAlWo3E7kLBqPg5LOA9Z
Eg3Dx8ivpisTRpXLqsk1NBcAR68qFeKhax8It3A2R7MbvWvQllzZJRBfJI/IJ1nVwYsMouXGgrkt
EjUO5wiQ8XuA76Hc9zSnsqjxx9u0qiLUrdgc90kYf4nl3gyvfbef2i7Ur4OlnijbVIAIBZg8pOc+
6cWQ60m4GVzTNgAsJEsT5FGLfSRLPdEkt63S4SvnfJZZ2OIesqYlnOYS35sD/sKc4KtKzl1qQlLM
HELOCbWWrK86NcwfFLo2nksVRf4nHLzLlDGPLvbkzTItZtV4JzEm4fOuGzgEm5UmE6un3iWJa16N
pQrHAzrPw2AqqKGGKoluQN1N12qFqCSbapQ0N04b9SrD2YlcA2a0mbCt+zLPK9YKFiX6NKOAYr5Z
sFY2AyNny76x0RVA6hqSKeE2FPOQjX6NISGtDh3h83W8on/LPJQjc9FWo5eU3thB8+tvNnk/67b9
SJR1udSRLlrfG/2LWUjwCHaNMqiCUMNl6bzw9rigqLrC7tcvpRs5b1DKMZSeUHF4wyXiS+DlptqV
eGvnJ6qclIXDAIoUTKI85h1vYmkPtU1BpXQybySKtKnc21ibV+soQtTUUV9tL702vXwXDsGiC3QV
lcSWxtJhU/kUmLpdj54fNn38LjVRRTMZjCL63EI26vW59ahrqgMIM+n8W8mHdGA5um0Xq8xsvNMm
Jzhwk7Xg4K9omxmoueO16O1adfJ6pVUY+bk2aMDUXWuBDkWZg8ybmcNk1Che6lrGQ10sWCqgUeDG
ifops24c0vlQo1brz4Ybr/umR+1sUnLon7q+TEZwbY+VH4J7OSoIpea+mNbY85u7xiiJcYg9yKVM
AyUzOAALmTse/2vnMeLjPeqmXwumuEteErBM/PF3sNZTO+Ewt2yHRsOgcuoadsaduodeYOdBsA43
8lbHle/SI3TVG9bbGGgmPhq1cI9nPQXQ5aGzrZolxRGB7Xh+bzgABXozo6B0F79h/hrnptZmlMcN
7BZGC0deMzSvETW97Yqknc3aX0cGj7dlCJcIQ51D9BJ11WM0J0qkZQqhqoiufGPGdYAOScyocdA7
1ONBKdpgP/bmoZBQId2GEHOhdFcMO+bKBIooGh/FTLp1VUBhLZBUkUNSZdolLuvexaIt1QLFDQN2
0A/0ZkPpR8vKa9MKLJitmDJZEI8sLsm6RfERvF/3XlHTPntQ18xZOMB8lsUGa6eE2qR783uJKgvq
dz7Jckg144WdoFNx2RaOIB+31KzfVfZXTNT2LoE69gQcWNwMfhXlMkzNbROsa1eqqINYyzIQwcpr
HxvmFnIeUcKRLOrVGmeuX2R/nGYfKkZH1dLDnGPlm9r8SmJrjbsqS3GOmmKOtvVBC29xKBC8tkQF
ig6xalSSHKc0nrui6qh79bbKrSoL6mUMHqgUMikQpdJ/mXwQ2JluLFqDfvMsupGpCXiJcmLSJ8MT
ad9qz+2ICyrqsM83yesDfFq28g6dCSjEOeHI+rzy42Eo49XXp0AP5GNr2zjQOanCesgBKIoEHSpZ
9aWjqW+K0E/M/ALpA2QT0LBCZZdD0zFaFEhBCF0RwK1Ljc67y+IRdfitA+HmsiWSpCQyba+8Wg+Q
spsE5gpo61QH6Ua4Gl3QPmGgpLyZH+FbwMAQV3tZBG3daVTt2OQGgNnrBsEC5kbF7o3nD3jOTR3S
QLm7FYNdxKyirGygrfjqQbwE8LBR9Y2HbVh/QnO58HvSdNNedUWhOKGCSa+mmCTiFVtktB4jGzcP
wxJVt5BJ1m/1FODN02VzkKtVBsjItgmXKeEvz9Ql5m6ZWo5HgI0N7DDpBuympINZQSbsIQB8SArW
DMs5AGghigXamA9LFMNHmEgdn/q4aSBPnJLHsaqHwxz2/ks66SBjBDpEPrUbFPp6WzNYjtYLPJWh
KEKjLUxdbQ+BPBOW2XOdTlCn6X6DHLSuFofbZe0ujUA3nKuerOEBDBF4Vj+CsbCobWSx9XrwO4hs
VgTywqjWI4qCftW3kVHmpg4DSws/qRU5QAihnhZHZqiO5x5PCTUA+RRPnNZZhwL83ejtFa9GSEGf
oaZeRZbKikGOIkfBCxzoDZRXgEvutg4IQLalSqWltBDYFZHfiXIbHT5TJ5DTQTbSqcJG6tuieV+G
lXb5MifrR4Ldwl67uZ9U0Y6WPuhkmg0ulyQjGgIBFKgLh9uorcJryltJIBOq1i6bgopdex4PX9dW
yCvnKX0HrV6TQwMWfoYrxvTgGQhbc5HoZsrJEou1MMva6Kyd6FyVhgvaYv+dova6CcI1Oczpkrz3
Kq7cBciVjAAGDN2ataoLPgoGxUPWQYhxGaAw8UuyJCuaAhbC1TBWftKVXdDwJ5m4aclxbqKqQ31e
8Gga6f7e0ndLtACGjsKhutC2i15GqCzqzJr2Y6S74WWahyHjyP94IFBUQihVW0z5dvpYe4tfo7Zy
Xu6h8ridDOw9GrjLp7423nlqsKiLSUjybjbzcDUnI7weE5E3wAXIyat8+h6IsSCYBnX6qsItKl3s
6wc7reFZ6mEO88bSZa/W/A7SmR4QD9GannTE+7TYmIfCqRPMHfsktO0D3LKimABuFROmepyPUWJK
lC/Bdb8OHNrAJXjh1epeWDUHmdLGh3UykWVH2+obZMV+ESfx/ExR7h+DuApeByjQX3x8JMk8hxcH
yf8LPDf01oHkPyo7Y9VR8xkC5flOGX+tMjoPfoB1sN2x2pOoaIK4O+I8mHq0GToqKIE4BZ++WcZw
+tAA7CioQ6MywlO8ZY4Hw3uPtvFjw6O4y2Og+mel+gBUGJSWMoq+rAbo/1RKBTxoesUBJTtbgAOH
i+kFHe3QqYcp1kOcvJsbPmKX15Tu2qRphP8ZIgG3Nt0IrgGE4/AuXiGlWY9LCK9GWESD72Z+9g3v
mu0MIfc6P1fCLcmXpI8HeWoG2s1xXsWTP3sFtUm8TNi8JNQs4LSgj2hYIFK/gPAu2FA2Un8V+STT
yXdnszqgmFkauuQQx/1CP6V9P2NTGZVsXYt9LOF+UqDOg06h8Na0riFoiaGxghwZZTxUVSu80Fg0
kLHHCaSgXA1f/dFbiS5AaEKoV2q1rJKDsRS1hFpI1dUuIsccHEGD1E29+eO9jeiMFkZELp2m9wNd
KtsUIGIp+j5YhoRrLk0zaDMUeklpGpS+ioweX43cbLBm+BYl1nwZYpRk2aY4doZTBZtkw3Ig1vuT
xGnts/bIa2fJ+MF49RYmmaioxN9BC09Sd+3NGg3zdbPqqk1z5zNK7OEf6LmfDSIg/2CgZvDK7rFf
LE1+dRv1PnqOxin2xW/gIvmD9Q5TmYB+mqKuhtpzobbvcr+Lp5BkZGphRMpa8Cg6n6PekefmO9H1
9/f1M9uL20LiQgq7KgP/ChX47sH/USEhkhXWpFqQNzmo3dvU/S786CRrMRG9AXTZPxCVP3Py+xVh
48bb2L3DoHz3iIEfrwjQkM4+/BJfu9+vaH9X1URJP4Ga14THBiI46zsPlg/RgKz8fSj+yE/4g+H+
PQfgy6DgrKn5H0lxf/72v5+GDv9/DzD73z/8rz227l+f+O/bfyXU/e1PHb8OexiC/vWH9rv587tw
M3/c3Z6h8NNv/hLn8H8ENvwcpvJ3aQ4/pYz8mOZACMPo/ikF+EucA0yF/dcvs/hi5r9+7I80BwQz
kJ0/TzFXUBzR3a7/e5qDR6LfCMSrPshnGgfo2iDG+SPOAbleO88ewqINJQaMUrgP0Ml7ogPyWBgU
1AlFBMQuHGHBf5LoEH+fPT9w4Hu2HhLEfPjo4DH24Z75eXYl4Qr76SDsCZl8QRHCbF7yrWd5Ms8v
aypfqW8b8AjbXPboBHPZpDpzbpVXNJAq92f6RC2VVx4U57fOtDeW7qibl17CcYoy9NB9RhoL5Hgv
Z9EkbYc46vxirOGZARvKDop5ImepYTlh4b2qrF/gwAIcEVNZBiNajTrANUF82LwJelzTH/2ikfrF
tuzJJGLAFjyE6LKa19RTftHC5oVOeAP2ZMl0VnZ6CShX+ZbYCChx4pVQNL7Hyf8AU9WrnXD5NFEv
7YB8vXpGjwtNQE7S8D7gVGdhj+eBrQgw9zS+pEEDr8JE+mzx8HjIxQCVCRigsB45TxM9Q88zl5XG
q7GsKuu5gzOokd9C6bksTfEqBzrpwh/xpXDcRVks62c8Al6DT8+d0LqoJvyU9XEPVsVeyQFuwTkb
DqcmntRhgFC5SMcUfyvj+4Waudw/2cTo/gVD07yFaZ9BeagzBcq0TOZgu6+H9p6trS1bjUu2KBmu
k3jE7S9RWJoRNxSpVBb+Vj9D8wQkixhasKH/tvbjcBqjCfhotcpikWtYZ6ytv1StF+A9sCcEB85l
1Lcq1z7q8v3gPcQzpdBE2zCfGqafAG5K4O8puBev3Q7o6LbTQvH2Io2LLgk508B7+j5JxLjSYo1H
XSiCeRCs0X1nKc5gn4ELDWweSvwCROXeCtxU3cj4HHkTOwQNOqEBRMYVYXNYWrXPohk/i27vInQg
YebRYUksb/K0Svf2FRPLtJ3KuyS5YD5/cwxlaQj9Q9Yu4hV6GIz9ht81VeIymHn7Ypkp+js74DMd
3pIOFC1gN9puQd+yfNLTy/fx7moU9bbFtILwcTvUHFMGJwWGfkTDYFLaXvlB/Q2LHLM6xc9SjtlJ
CabKsK+FepzX5xae+SylABYC3AhWHs2skuICqPtMYvK0bhj5ZcQ6gZ+1uloge7/lBKuDEf1CAK7n
KdR6WHCYTBSr8fvL6BUWxeLhR5XsXqHKDcsK6P9VG0JiHVeYtK3U1dXas+ABBb/K4SoEkzCtNo9m
paDrDcNykoNfdFOMV+pb3EPN9TXVnjvWaRjcRGMF/+y8haUEbQeDZQS+qunR5Q6YZT3+0i29vKUh
Fio6GbCPlrelXOu29LFO/NaKe8uTy/flFTXbdvIh6UZV3cL0NFC3i5+HzO8w3DFn8qrmfn90fiRL
QJhYhpIO+fex9To8vlf1NymsANhCMAV6gG05iEyFxg/jB13rdhjUxI66jmUJQwg7QLHSFkAVVP59
AuwzHEv8XsQb+MUV2xhDH1nGG9tO34d5hjAP6wDTyAGpLG0TVJ+VSLxTwvGom4drob/3TjCdYPdC
wwz9G4YgkN9qpDaA5Mfq8T2s5g6WrTzsg+rKn0x/QwTwpsQlR7o0r14t1syDTPmmkqEsoW8Vudl8
71QnWKfDlgQ3K+HsQFJMsh5ZCzcecK1867F9oW//DJqSZsHWAwOLj4y3kFh4Dl8WLDaPdZTmZPYj
MAmJzpD0MJ0XmCAL0qObdaLzT/6QRFD51tgU6wCb24Kh84hkx8qE9zxi9LgF/XpUMzYTFVubJyMe
G1YUAYd4gFVE1HDqKHawjqD/+b43hcyF5fdFC4Dewj/vPeG7+R3Ce/xiSuL7cG3WY1p5NEtmwJay
WTCZRqcg/QVjJwe0Onz0+xuXxu5iiPyGyBW8mhUr4Pu7TlkiC9nhK8FFskPcp7KM3awLjybYAuME
kAmCA+7CYOsKQHLtkVbjt5HgjzvTlFj0KoP2wV3FXisO8Ah8oRBalMj9gOZrJO+7IR5K6fE7bzEX
MsxNFi20vlqFq5vMa3UbFIDGID2Ry4BUDuelpoADGKk2u3cDARZxWjIaaDgKtql5DZvBFYFqWJID
VnxKapAWmi6quV2BNl4J+DhpBq4BwDZ4g9iUe0eR8UHMd8gtSas6S4O2JocJSGuTrxKiF7eySZdb
zFUACeboXanKfAa0OLxpZr/Ewh9MVkdOfqNj5G0pdgn0nTkWxnICZDAcgEs7pkAgIqhGNaA6uya2
XlHjKCrgfK5u2TJs3qGN+kVfJJy95NyzWHcnOKFm72WFFCXnprbtTcVZNGfT1AZpPq5AOC6JTcMV
jqC+8h56+B6uOEmffijF/o0qc6/Df6lr4hQSyTQlu6D3V/Vwy2AEgFnEnIhYVwj8+DchcbhEPX0y
0xBhWmHVxQIz/e+vu2t2/3Jd8JAQiFGfoHn5uZ5iaxyubFbmFCzfNzuswUjIt37xZOaU/Pb3V/u5
G0GJSCDT3jXpSBoFmv2rXndbYL4UW29O7YoJslcCTFZeCZ+q//tz/X8T8G8jEn+Pw9tDzxKks/4w
Jn9tAv6Su/y/n/qjBwiC+LcgQiyAv8cb7Xmvf/YASIj9LfZRd6PD/56rgS74hx4ggMCUQuOLcC5I
fv/sASLkwEX4QkJ9Cqn2f9gD/BIyA0weOWEhnDDQ2fvILYj3SfaD6H+GQ1iNxrgL6kFEPC2A6bIh
gh8zl2Sx96mXrFeNs70sfV/OH+chts8y1g7mEtaPH354e/9m3QY/t7vf7yZGatneaPtogdIdF/jh
buJ+VZJxY9FA9MGllltfZYYMYBudxVGQ2SU2H4lVnsimjs5jDscFcCq4N0kMaI/0b2ye/Xf4Dg7U
vW2DZ5T8NDiuaVJ9DWAedf+AVITxz0t+f3/7IoRrADYZn/7aQsUCvCncTfMF9ui6LlKYvJ9tDEjr
MJN1SJCT5IKmEAQrdCMpcNtV+tGxA0gYgK8e5jfutA5y4amkgE5mAFXTcR9CvimR8E0ODb+TBrIX
sC+6QD/J3ms+XsMQnrgSoXfprZi47Y5/Pw5/HQYAHT5aLnQ6ATrX/aF/GAayemBXVKsvSEFi74ca
nS2alRBTQ6ERvFvcxB5VFbQvf3/ZXzY0iNsJ9O0ELSnmIn7Zb+uHy4KJr2Ol6/7S0y24wO5qLlAX
w0Bc8fd/f6VfDojvV2Lod3fzCAIT6C/zTPWwS40Q/lygJY0/I+9gao/VTNcwk4qX/ggnZh75K+pJ
qASX7p8mzX4O/HBO7Cp+dN0JcvoQsI7d4ZfLQ20vgOlATkZGmSA3yySfJbL32yM82LoEOzFkq4+h
Py7tuEApKAfyFfQm7PM4YlD2gKBELdtAetRA/vsMSUsYFZyu61flWVX4HjRReQJ94HRKonQz/wBK
BX8dKDgrsG3AE4CcD8BTPw+Un5qkT5LKuw1M1X0WQPXrLPDk3MdZtCKa6GrhQr7WlEEIuo1wJgJx
FDk4EvJtJts25CuvCfDhxn4V8LO92URxcvX3QwzDyq9vGZEgmEQpuF4kOSRkj834YTqlExU+zKnR
bRPDxMRoMTO+HfewBnaYrTFw043+ve3WxCDyjxOw6v1Rh5M6trFCTFQ7dg8K0ZQO1eJSf1iabjiv
GqivSkb1DBEfLSrY7XIzNI1A7koE3qZqdH9ZlKfB8oAQqOuAoSTcoOPPQ8u7E8Re7UPY1Hc1xHsu
aw0ZL3M1Ps1h50VFatFiB2INsTfEZtsyf6HNTcsT+rHyIS3hKQ1uNmCzLF98Dogdk06cPTqBuVlW
uhXBknjF1rgvSkMoaeD1A63VzeRQ6dGcEXUYPo0cIZ7HiniByDYuq1f0IVCLin70PpkOIl8FbcgZ
ZlZ1DkbWvgmrUqz7qJOPglWOZBbA9tVUTSZf8R5ANYTsHcRMrgSgPh6CwAXAGgBfQU24IMkgtyGv
yk5HEyQb7B2vAOYU8GTOJxw14ZLDkY36cybti+t8fh1OTD0moMuPhjVeiJK/2z7TdJhK7TvgC2jy
6oMHxP8zdD/LN/gzVIKmb/YNAJnQ1gc3NwMWx7KUa20NPUxDxYt2jrpTjx+Fgy2eBrxoyHuzRjeN
B9J2AYA8JG7L4rmt0O16fQc2WZb17nW6X6IgLoSeIOVvMJPmQzQvTB9dRNxNCnazreDQGueuyyAV
gxLvjVc8DLePevHczmwyNFdy+BKuXTNHE4QWxij/MssZNTaY83E7wtsxVxDJC+ikm7AdHn1Eu52b
NYpMbjAGFdRi/t60cggvi76qcB7OrVzGEmFotZ9P7RxU79ASpZA9y5UsvFhdy+abVKMvQ7hlNQR6
QduYeIfU4031zmLppHU+UgVSMoiQ5XboWzGxDIwA+ODSoTPLvYoFDGRFBYMpnDAV7OecIZbwsLSk
7UpdoSo4JH3dbTndEuyYfSghOe745LXQUqN5uQNVD+PmUAv6zTMWjW3hD+EMZwA19JJAnlhd9RGZ
SdLkvdPjtp60j90NSrqaE3hvtd3GA1qZXhzWNu3Wk681+m0Aly06Upes7XFC8oYHDDEOP3iq24IC
WhWJtk52vvcO2i0PCMrc9x8a4DbdOZrYDMgBrs4HgCgRlL/g+YNrvnANXI/wkM9HgHCqf8RhHF2B
dgnlwSjcQTnMAM9KGrgNbEmzquW2oxD3lx6WygTbSGCuJuC2bVFXUW32HhrDKYhGfdIjmHX7CgaM
pRB3zRC+IYOIj+fAF/EJfIJMAW4BEyjEIKpiM5UEZbdMiiGkZGniPIKzdANL2mzetV+18SFQFeTN
6PuJKgMkKw5nLoKlLiWLOTLP8HNZwMCtYvrUcNy5RUCRAjGV92kCmbjCDo91FF6ACwg4eaiNvehp
bZfQXFLF1qHoQbrdJqbHkVSDWMEHGBQ+0QGJMUH/ETKtnl+NAE3cQS/JJq4RWjU/xeBqPieuglqD
Ar2L4J53sKXpdBO4edhOYFaKkNaVg7cqBRJTPrbLgsqiqRv7CE5peVUTjyDbWuqqpIiAhYCUVvie
pB2QmdNPNrhAGBfF93pOgqdghvwpW1LE8uQzkkZciXyGRpwm6Auh8yXAbt4Jj7D3vT/uk7NpRn0k
reb6zq2AKXN/XDA2fOlxYwME4cE1TjD2HswfZneHXXIqaMDccJ41q8K7ZoLk/yGkaHTPLm4Wczu7
eS8++eruEumlrhyWDpcehm2Dcins5g2qdbI//H7rC/Yn3BdY70uc9HgKM8Jen3E5yC1n0mLpqLaW
4r5HoAwUnQZVQY2/w54azj1/NwbxCiI2UtzHcCOyytx2wJh0JnwzQsMIc29UrnaEyQe/h+IWT4QN
BAquvU6e++49NF3sCjZOQQE7JhLzAtLYz0sPgVLmpmZ9iGbn6+saZW5zPSiYCx8pTouj7v3gMrJ6
/IiIwHTccz9EeDXQmplrZECCUF8nMkJ5CffoUYV4rbuueP0iW5ncOaOhORkRISs/LGlX6xO0nN03
ZE7se4gYW16gD6BRKWCV0QeFnM0Pnl91h25RNRCZGNvcOi38QcCSdQ1gokmKJJxCmOHbJMZxxEP2
fkLWaF22YY9lsnlVxM5xPwTj1w4b8gq2AlOqhAwfc6RJoP46QA9mSxwyy3gdTCZMgRu1s8VJG1kf
pffYfJoYPE7eijL9amPzFLzBc7NqJE0HxELSDwS5dF2wOzUWWBbPCsOy5B7YZGQ7WTvfupVA6WT1
mFGiT3EHxvW0LbsDC2JZvR1VK4fhtk9dfOPNUBOVfOw7e10jnIjnNNEdf0Ilot98mOtgwyJC20xy
vUDDslg64hRYx8cW6mPxEgxbRG0Gp4Bcn4HEeQxfBndCyRENVV95lVpeee17FoEwQN3PApTVvdNe
tR0nCHxFKTaDSSrCuYnunGy35NKlalcRA0lPb+OAwx61orrRJfBTjNpCe7HLHUmHvUPrtgxc5KbC
tnALHDfkeuFWY1eTYq2gkMorBc3uB+g6gqeGT5hrOOnYe8z1Tt/1rEf0sAkVQyRGx6G+duYjMo8A
+GdSWvKcQGa8gCio5xg+kBbJbGOFrFYc7pjRpRIRRhONw+puRDTL4YZMikd3kMy36RkBZBDDCee8
+lZOnlqKTkN7mKEaM/Nt21a4/wkhIwfNqeTw5Pn+eR1jrPsVyJJA7iMnt9+r0v9HUv4BSQliEqD+
/r/51PPbZ/7nv1yxoyh/fOJPGCX4DSZ5/BegMwUHj5bpDyoVK+63MIqCBIUmtPHoVf4FouBfQUBD
DF4z3SMcEGD/J4gSB78xhtbdD3Ei74179J8QqQBffmk19m8AjoOMZBSDaOh+Af5kUI0gZ6r0kvDY
Q1xM78Zr6MjWsAT6sCZkT2jtZNRfQS6Rto+IgE/YK1L7v3Ig+I8xMsiSHPbfJ3SL7oMknrhOsFlB
tIbkngpNd0q7jG2aIRYfCsj5wWsRYQrzzrKMz34/Vl6GaqONumvJhD5a2zYNkgo5tIHL2NKDgDjs
jFjtKCeNGfNuDeqi79oYdTiFG1EEoHYaZu6lwlaH1NOlumkjpW60QbG2pna8gkN0ecO5/ynuZvoW
Q6mFw3sgR18J9WnqpJ/HSZeeYaP6HEFSieelfG0yEk78elu5O/mwo0GjQr1L33iVg6PWHjgiIKYq
n1hYW0jJlAk6e0g0ZLRZCOLoncd5+AEAyk1sIlUEwoFohBH2YdVQc81m7CHW8T+0CGx7dvDfvnO9
288f9sE5+DOsD/d1ZLv7uPHGE3QS4WWCp+tsIDfK4QwTN52F0BB2G3ELE+tnNo9oBFWvygSE6PUI
VcexHTz7qiWpzgjgig6yD1qcKWIqt4YGXxGtg/4GXuDhxELx1ZhwKhm05y9JQKFhrUUDDRsq7Hzs
WvopDI0sE4L4RUeHD53oPiA9QdwiWxh9Hl/sxwrqvBI6aghLpUD/rkiHkhQ+N9DFnYVVLhKseySb
i9Os8rk67zPyebQ6PeCfZBCQR5kWPv3QjCLjhMy4e3gYe89auOdslK6Fat1i/oe9M1uOG8my7Q9d
pGFyDI83gBgZZHAmxRcYJYqY58EB//pekZV1W6J0Ret6brMqs8wqKRCBwXH8nL3XRjVnxLd2buTX
CKjUKZKJHiTKbo+JZVItM30SHMWq16Qk2VuojxiV2Z2md8yGiiNRDcsRzqR1acIR3ThJJK/Z+HWb
qu9R6Ht2Ua0M3QKbnWvNu49xk1GDtI0tJDp57FSU7mZR9cch8lS9mh0ZgzwstKBgdwbIdkAqv4yN
e2E0flKzq3Z1KqdFXzmdr3AHVKZeBQDxQA96/fhozcsosXUj2STwoF3QI7lIPvHLY5wxRZBjbGf4
Wpr+xVSWc4Z+0x6Rx7d1t/ElL42WL+W2TnNANdo/xEz3y9VEq+u9HlW9xhDvM0TInWMnCCxQcC0s
BP9s6aPYWVmdRncGq0EZWBQAGzfT/ad0wlw7de5FE1XpNRu2ZFPEQv86MaTZ4GV1vuGZUQfYb1MS
OFPibGWnCaR2g3ymY2Nda3nkhrrrQZ+i5RkHVS6Xi1pq9hB4XlQfPDZ9TUgRlayX0VTXrqB6UGdV
suPM4MVmy9z3Zt7dFjqqaK+Q46MAgnyTphVu3izKNSbScXqhNdaCC9j3Sjqn/CSaNB5AMtpMQenK
dqW6aVmjpMhomUDkT6WnHhD4Mw9HVb1JhO7hlIas1A12dAl3srsG7BRCneruU6rhW0zMu66y1EmO
Ou6VGSfbyGON1cSc92lUyp0Hk/M6K01sytLoUYg03nKH2aW5LPvJvDdN6rBUN1qyQHL6wLKTe+xY
SbSvmOzfzVkLZLXGXjc3+mXpamu9quVNjLLwuGRNFrB46lc9RoKgFhWK6zK1WBRaP4wtqe9Va+A6
Fs5VY7fVnt6UuccV4axSLNPBXEHWP19kVPK0D4BA32su0KrVYlrDnfKT5XupN8hKNHfZoUm0bwgY
OVcTBjYk4LgJelmRb+GNN2EasZDrphpgEY/zQ1Xo9qZtqjgA8eBc6nOlEbfBQuTDoguj3Pe+IGVM
dmwwwdWzjV939rBoYcYO6QsvQbUj80f7bmQtIQAysYLFscd3YJY124q0vu1bxwgapORQhvVXkPVI
EY2iCE3K0q039VoX4HNNvpgqBmReFrd9XY+HxHeqwOq65sIs4uGaKIZ6I2dPXetG6p96HADtahgj
tbYRT29Lu6adh8w8pAk2hSMytO80tKa1dOdvGPymIGfNhKOYywSQpdCOiWa3q7oR8qmZmQ3bRqNu
HWTXKPpr5wv4QZ4Ny2lCtIzF3kjz+bJKRo0FK5YrKVL7JS8mxBIu80MjqirU7rXxKrG8h/OgHiIM
MIEpF3PHcLEpGXHjSktTYw4bXSGt8YtblIF7qgcQRh1w8zWgRC5whcw7dNPpRjZ5/KTNogyyseyB
8FQJMLZ+qVZaG8tHPXbaA2xt9xAjJvpbd+zvWDe1oB/0Y0+35lap8XqMMeO3hV5cQLvHxMO9dw8F
sjxEmK55JNIt4gpECSpO9r6n3eaLz60m4SisLCuKAxsE4S6dnXEDr7xY99aIwNGLjlne5FsMGOM+
0jOPboKOMr4p7T0PVLIZyxqB6ID8x5wLzMpeVB5j0bF8y0i+JqnebDXq+As19e434NTF165vtCvR
dzdYU8Sd8uwHrC3Mcf2oPeLDR8w0YBD1MOutW+FOD2xGRjgX5St+72GfZG68afO0xg2+QLBTheuA
7I17IF8RiuU0tm9p4tfXqmUM7/Hmmmic3RhxY37RZCWPPm/lZGUZ0fRkpKm2K9QkjmWTZgd8ExuG
T21A6/6UO/bjrEl7pXtlsQaaGcHemop7iP3NdgT6eWq8AdJt31gbvY2+ezlYaYCOydbrmV3T0Sl2
fV2oY2Lb8qJhnPI8+X2KBnuqQQYUbQgES72LtrhPygr7a565d3nEVxiMfAj4frCBM+tyYlVdg1h9
iXpbWzH7T05ZUx8LqS2XM277JTLsh6LNq0ObWfba1rppy1DG36RzHr2AdJu3dL+7FxiKzoots7+u
J3Pa48kbN4XTv0iDdQVzs7GJ5XnjFJfrYkxetRFzVrfg9nO9TB18f1m5eVyg6b9gIGYzkKlLDOdF
HQeJp9dBorvFQ6Y51R1FVX5RtR6vemFE7iqVuZed6nowtvCQm6sitjelYzVbb9a7S9wV8NZmoW3x
pZUbPTHjowvQed2Z2biLoyxliCUz57oVzbzHP2xsUI2zRcoAyEhbviCFyoKaeVWzpZ2jTg2m1iAX
nXGoEY5vhCfn19GLvGJFg48iBQqHWOVsXTEjstsKRa3mbxWqpRcHrZFOmftaxn4U8kXey7FsNxm+
b0YG8Idov+se5t4c+YtCmx0wPymzlWHn1WUDnCSwcqQVcipJmtDs+C0aOiC5gLp5pTndsCIXZr7N
8+xE3RsMqV5spOmojR41vEHxZB8U6wBGS6rNxPP0XWRp+jthOgJEMbkBIzErIQa3GJBp2a0oPehK
F/mNcBXysR4DzkUU4XhtKzPb61zqF/qu8c6co2jtViOtmnjp80PXj30QJ1ofthLDKPbMyH1uE/0s
ZRtd5NZKBz/CC4mefpxdGXIwvs3gdU5qnlkQJrMILMRAm6hSRWXceXM0ZlEYTcA3vqVjOQF/LCsY
uffujO0OQ6qAknuBscqv7+UycdYYO8JOXlZ+RaW8yjrHUFYMFgLHcyXP/RUf20PIkKYKNShsw2qK
l/k7c4DkTfp8Q2oE8czfqV8YFEabxZyafbREc7fCBjOHOmzoA0bP9rJt+NM16TF4MVLyEZZuwxG1
y9z323CMMWKnrmjqVdzM1VsX6cZlnc7enqkkdmeJKvbKHZ17hUZu1XbCebMxrkb0mVRzEQlfrgXM
2NvurPbKnLI7aGVT3ugySULHqpeYOA857uxi8M6rASTqtjbD2qaEMWVfruI4zXc49jHEQTm60Kve
PnR6RwlA+N7aI20sFM6CFM8lKOtCJ7PmYU4n+wlFIarAPm0AD/SGxnxOx2WPGzS7lcAEcQEPyxdA
2qc48ziteuHPd7P043CCMBCBLFWADjCDBtmA5BOfzHmYDjtgRN7TeCePtzAi0JmBTdYb1Mh9U5WH
ucyy+9grGMFTerJn6qerpVLxXSlUv0GG257h7dlW8wd2X8IskystmnCY1NU8rR1GDns8Ou1dFJX6
QJ+ZPzoqX2BU6arbIYYWQC+pfeySznhG29g+V3X8GEF/PdoIARkVVWjOLLPBREgsDibSSb9woVbe
TQywoSYBI3Ivxzmxb6qkfXVVV+DNV+DQVlqiMyCQOq/9VMX2GTOMaycvluIp05vsAbtTtPVMn4HR
gh1uy1ZoeMi7Ub5NGqyLxrTji76MG8CmcbXJuoyHcO7wm3QOTqcVWw9qHXj2ZhglQn6FpKFT8WsI
2rp6Xq5b99zbqfwive1in0qsVbiApwxhYe9pxtp0lb+XuZ3uE6Wyo0imdF9aKEeJO2IDOzvcTLr2
tfBq9YDc6mwDMRx+nLWwaOgiX55ylgqTOx9Qu8pcddKWWoXF2ERbQkeKW+Z8SI8U91Wn7GFltHp8
iMBaBkBgtCBN/XpXZRFgfLZlwOKrcyFriO4IfrRgLIevhBUsXvsQA5jm9SkOmOd6QPR5MvKst9C9
OWzGWgTL+mqqaWUFRND1ulzRElFvGu4jeW34WrZzkrrkAydteRqquZnvlYSAbq+0gQ3vcD3qPaFp
63F0Ee2hTuxmecEpAXGyqeM2cQKrN+oxX/2f0p76xMZ4ecUochtpbntPFM78yYje+Di+9c7SGAQz
LlUZ3Z2P8UdNO8ussAx5haBJhOC/E7inCCPmkokno9f4xSyt7ZSZBysXG0icG5EYa88FfDCqNf6r
NT91S9ZXiOrsE4HExwH439/NMXXjrP1AoPNBIFEapProkSmvmqa7chtqxWiXTp/wOH93ENJbzkof
29fdjydAZAM2H9AlV6kJO5b/OqC2Krf+lxrhf1uSn7Uk6UJgyPj/tyQ3SC7St9cf7R1k1Zz/zj9N
SU//i3/VBahSCi5u1P9uSnruX+hmHPRjyCTOEbn/3ZYkglrXDZJZLT6MSAqLm4c32dnfgSBMsM3B
9MGo1jHRqf6P2pI/NyWxUFni3DAFVMw/6mf3yY/6h5h+tvKaetzReYoH5N0+E1z4av65n+YjDxZd
dcwdcPyhnyD4/eFc/UbL9eHuFWdXCZYXzg89WbRv58f7B/UFHAYFVm8etnI0p7W7lA5Vk1mEC9DC
3X9wKN9juSCkilP34VCdlU2GUYphaxsdyEDTADHfJ80a4U37H/wqTqVvOWh4MOg4P/8qZYACXmyb
3to8p2gAVBt2A3CvYXY/S947i2h+EAn9fQKJtNFt3eKmEB/NZgjexrwQnEA/jVC+LSaDwdF5nycn
jKsoo4qzALBGUR6gYao/C5X57cHRuZ/vYqb8H37nMCeAR5phwNRGtxFCd7KugAf8z+ip/ERSvGhz
Q8lyTCx1H47Sx57VT200bjvY81CczQoOgZhbd1pnTYlm5s/3yYcu/d+HQ0pJ0//MZHU+mulEO5kW
HcZxGy8O1Ly8+w54+N2LeS3C/r1w4Ah8opQ6vwd+vobQmOmDItZlLqA7H+YCUYJ23bPAAGb04gIY
+gUXy6/Xf/5d59P0y1GYfuC01JG6W+dH8YdHzR4jKHNtPm4tmo8rS9OOvDJPC1192qGl+OQ3/e4s
mj8c7cNFQ8wKZ48oKZpJ0lidWxvxVCKKokuBh4UKq8vzr3/+gR8Cw8TfV459FilHiCm5IT8sZUsC
M1NKHjsjceyTXdvFYwy3bw8MxdvB9szDsb11p8UL2sLu35xB9w7wYXZj3J3bFP60HmdTrjrpNt/m
2dL2NM38lRkN7d0Zwwn8Jg6MvFWfLEzGb64/pk0XC6DAMPrLHef1sWPWA49RKvE6r2xN5i4OOjGt
gTmeAfJAExtyEEKLs7c2i9l+0ZU741vwmisXcW4QN7F/Yjwef/IsiN9+Ndbn8xNOcM/HEibzSVJE
tTPQ3U0AByQipGkBdclzhjUxNz17HQs+mHRAzdFFYXRVZd0RFdCUh+U8TNjUKroVPfQbSkzaOQ17
0IoatDLj5SIeze6KvbW2V5ggwhbnTIhLmpAobDWPI3qUxwECVeAjbQk6W3M3dE1TWJOdtx7r+TDk
HXGGWjEGAxs9crYI97PzB+bC9KnsxVotlso3nTXSCdOGU+27atemLnxNG5vJHBXRUYfb8qR17bTN
qlw7xwe854t1O2ChBhcR5zuyjocTn1xt/ny3/vqAMG6kMOCp5x3sfgwaBpMjRiHPF71nE5aPCQpW
nabmfD+qqKHABqj6HxwRsQOwKuGe15ufFwC/myeYUfmw7aIIcoa9Loz4m1/Zx85CuoUo4fnPx/v1
3U5ZzmoDc/UMTf8oeu5jfyLpdRy22QIDzZxsuY9BgKw9s/ssUO/X29QTCMFN8jx8HenW+f//YW2L
RzFlEp30lnQmcVFrrbGv5eh+cgJ/exQmxJQpyJg4hz8fBe67Vg5kTWw1/P4dHRlf2yGd8q7/fN4+
qu1Zx/g1Ht0lqkXoI+LDcXJkWAYKK9SDs0EryegZoM0lsnEmmsgNemKsLG58vCXxofOeULlsa4aB
ny1LTN4/vDDwIVgOTGEQ+zgUPryW2rYG6Di5EIXnwsVJ6BcbdGbDxpZD6uF+U/beqMDadXr9vail
e0sku9wyxZouCci1DugZP82E/O13QvnsMUP3f93uxbamwQix+i30jWqvd2Lt64z2VDW0V1HfjEHi
js2XAqFVQOjEchrPKAPSo2HRe1WN3K74TmrKdJXTgFJKvoyoR4M2HZq7hcSpVTOkYicYsRyqBT6l
PnxWXJi//QE+qc2ga7B7WB9E3ZBc/XLxJCc1WW4ZJDabUdrxQ8IqFjStm4VRb+iM1pyBN1ZXHpDt
vXqpe094hr+nWxAFgIemNeou/6ZWbn3v2eq7EhHRjx7dZNRQCybcTONdMRRkbMGq+eTuPF/2n+sI
bosffsGHu1MOoKTieum3i5bRo1B+dRgEI8VM08Mh7VjkR4CDWabv6a5NQX+eMv35K1i/P4keG38e
RsP9+Lh7C2sJeuz+DPQb6DIVnvhKWXXt2n1F21F/q4tpfnLJGf6GM2AYpzgADJyEkITx3cb9xtT7
OuwchGEQVmWJAmFszg1yfTsLPMp2Fhvfl8owWCrdOxfrqCA7MnQ0/wn+FuTXSehHTRjFTtX1Kz7k
O2fhQDHcyqBB9is+Oee/lm4AoGgjgPIX56DnD6dcmB5RPhilt21WPFXR1p2yItQUxEGEIdYndeJv
lm0UL4KdJ+Gc1Iof9km0qh3MfUa/beLq3cdWwVsbi7CNovWTI50/6cOdxJHOphibDon+sbAHzsQI
PxLcSV18D+gwfiI7koFgubCbIGYWcZnuaN6BYN3PAgt+8/Z1dJv4Fws706+BBUNMJzDKoKWP7oKk
wrue3facyvheuMNXtrxO+Odb9u/a85ffKkwMmyBWSE35cAmBzvVzmnLLsg2vbkeLumeJrHCpGIMS
2vodLeN9nRZzGC8NxY2NgXfq444Rv/rk6fntzUQUN28WMg1+wTmk4zDRvuT5lV49hHrDXM5GjE76
E0MikWTvf/7lv3lpOqixzxgK9t6/9KccIPdxOc5c5KXDAU7qeKCY5H6yR/zt+TXoZHAncXpt70MF
QA88ruG191v2yATdTTMYugpijRN52l7iKwhitLMhsYzFWkZoMegGFCjYtQsFOuuT5/XXTTmGIXaF
bMrpy4mPz6tcRqGIFuHLID1a42JBPNgpuMVLHMQl4MemL6tt4g7mqs5H/ZPH6qPx5lw/sC46nGzq
dkyFH+61AQ6raVV6t10MO/nauGflCFC54dSnhsAD4tTQu6HI6oBaF3gCq8lpCxHqWQO3v2zdJA8Y
W8rLKbFwE5vDMBoB6P7+7c93xm8WGggGZCXx6FPnfMT3JJqXLqJy2q0zR91mtBHb2n3rr6nl009O
yW8OhVzVdmmQ0obj7PxcuaWZ0Tct6uPtoKLy3bYW90ZVCdM5zdH/g59FDUoYlHNuqf2yqiENU0Pj
2e1WmGl3A7zc2dSLG10QhEkX8f81Gq//tXr8GCvzm0WMI9EWoUREZPWxU2GqKM7qkSOllh6H0VA1
d2VMegRvN8Ric2kz/UXM8+eD/vZUsr8mM5zUcNSRP5/KONahsCei3SIcB7QhZrli2GCGnW72nxwK
YNKvbwgqDd33SY7yLFasnw/mQQ8dY2Vwi9idToD8shA4kCa2VCGq+KoInK43Q4eavICENkltw85x
nNcKS0F5U3qChyu16DHuo34pHs1mQkjeEUNKHEABDneFqyp5rfFDXeYM5XpQHAXu/J4wU3Cf/CS0
kE7NHMGfhDQ2EkficiG0xN+miNnVGu8cYNc4T4x7B5WVERb2LMwNGbOzs7ZgkJrPPjzf8rtDpgse
m4YdTHIxJ3Dxz9C4Lnnoi9pY9kxofXj4qVGSlqY3xqFkiqtt+zGf+itRYoC/tMGGRjdOj6tiw79r
Euk7YHsQJbafM5vHGhBfem4l3HCEO0zGIpqFuwmed3ToKq3eMe/HJ7vEnQmJN0kfS1CNQDVHDHZ7
IuJiACMjUY2bJU+XeI1+r+qO2cR2EviNj8xo2/fSz0Mk6ssMfxDDz0WpoZSm71A2ZtiU4lxcpaCK
Xl105QgRomEO0I3U3V0j8FhskeZny7WM3OkOfHc3rOGv++4t4dce+Ohlisc9Rey8aT3UPwAZYixl
dhMrFaAP9LcVHJ56XUTn9h/RLn4OLVd4DyDgimAuytoKekjnBjlTaARLb7yhz7sZcQ0+AVsungvN
028HkkxXUZnNO23JirXV+qexWDZV229m4Ci3RF2sJoKM15iK061p55JUqrzcxON0sKZFwjvpXzNE
JytUNVE4ZrO1wfPyZluaXE9o//kOnbt1eqmvfTt1trbPbJaKWZEM4DOitJv5qzsgVrdHlK+VO72q
1hG7ycJYNs1I7dLiEcXm2tGc9lr4ZbcmeiC9zknSCkY9NS6QuSSXONcKkhEwFPZp9DgrS2yFZiDe
YwSO0STaR76dB3OWjxQVvRsUvCXCvnfVDSS6fTswYUwVxL9U5SeIwMiL7O6QzzPJO3qOOmgg2zMD
6Iy9OyfJyEoggafedeTZt7hJZpR4CBaZ+qlg0YYxjExm9IrS9RaUfPMCVUQ/VokLqGdonXDWh+7d
0doq0AZ8px4N661b12LfFQjvXeJF9wTlIkdciOWjSXEwMWBDMDM2uVieS3wrz1Ua7VAw3qXj8ox3
qFozKKZRN0bPJRhqptJ56e2n0a02k0YOCxa2eyRy0aGPLEKH4toDHYMshzhV7HuZDwSUfcMt4bzT
dRt33m0/zrwXLfSmC1KYYsbutGikp7Sy2XnWkO4IccQaWHrTu90jPF5SCbE6zKd0UAvWzrZC5rCi
0uwwJdWpTzZDTVjuyuTmeSpN3ULK3LKP4GXKIpHFo/zScO6vyIdPaY/A6PFyAyphvGAUG2q4q8q7
4B9qhFqc7kiYYumP3iJj2X8BUO32YKPNyJZ5qPCifmEEvtGzGJuehrGm2bqaWX+bEZw0OysvzDEs
vQ4A81KDEzhqmgOMJHe9DjXHMgntrDzTe5q0Lb6ojjO1GvKqCBWqrPuErv61WWTmfVRWebpH49Ot
UX60KE5MZr7pJGE6tjTjkrTXvzp6RD1Jf7dZuwqJW8NL9tvQe7HDBBrqbYZMzzrOc+/c2VMevfs0
98eAKgBZ5N9gL7V48wNzpvK9azo4VUvZGy84xDoIrY04+ZXZfMGyJkMcWst2oGK59xY7+zKhg+Nm
LLBXDWZ7UDX76XSu7D326v6JLhxjkKxP1NnTy52QWH77TF55+41MknyTz1r77LaQa0kWGYq9hWdr
k2JLeRI1DjaMn1KGTiTKIRxVz8NRmBqyYR3EUew4IsgouPY4tfIQMSdy/oTYbKTGxlTuYKHz5wfY
x49tJM/eQJEa3spHEpOSFQBqGVqVb+0bopfO96AmD7GfJXd6mRQrBFMj7lZOp/aIo4yf6J7RBxex
qfiqTj49TuY8ykuix+NT6rWwfnRoUzV4raOd2Hyq1aRbW0+du2kwhVpRibQHFDqo02TfvNC6M9c0
zsQp7nhUyZ0q1UaNc76R9QzVEwRDfCqKZiIxG3nwiYeo5aHi6tKEbw956RP6iO7mazfFHaznzrjv
U853muULQGqYPx4Z0jutsxd4sWZ704iu+UrSStVBkFfNxNQ9S6H4iHQn5pKP1SAHGJ3dHho4akfU
iM3XYWm6ZwQk5lq5bvutNmKkGQrxJN4jwhMOUPuX7egP/Zsve3GyVatJNA5+fJrTc6gQfrJyecNc
aQOHwkxskcRkSYR7R4PXchOSaxEHGqS5FkhrklWsUGME6AjK6X2DL+NESl/00DhJfOWIsX5xYqBk
A3xkkhEwbRuryaOIFCNwoxjB4WEhZyeMcbJedCU/Hmzj/OCRvwYxFlm7deaoNboWn0a/dRSEO0Lo
V5XuMbGw2mLf5Wdr5ODTxAnTHHBXUg78AWBJHlokWQxhphrAPIrnnDZW1T8tC01r8Jr9mxvbIoii
BXEsemvu8jFBidPguLwjpGl6tOthJB6r5ksWQs9vvaFrXq0sce40X7WEkFUyOZF5XBmr3q6656JV
87WHpPRRb+b8Nj1fbrOLvKOAYnXb2hMHyrVlgwUAbQtFRnKyyVW597JkudZjbXnXFbJTbcbKiA7e
i27xXtr7Vk/Qt1qST6xVfkvJPj/4OhMZJfGYHlRHS3ytkSr17ja0+YJoTKJ6Rb+lJ0jLQR0aOFqN
EdfOVIk2RnOiWzthy7Vqxr5d9uU0EY6SjNxJSms7ll7H5k5jzUpORZ7VBtFsqr7WiE4ARr8UXGu0
aAl5Q1btVYHfD++1p7FnmvQSjnQp23etzoxHO8YbNsne+A6lDzAAj157w2qh3msza7rAMaslB2gn
xu9405Tgmrnc+03DaXF4k/dbXeZGt3Ioee8VboZbf9BZzVxn+j4jproZImwlY2s2V8O0NF9A87c3
xuDFJ5I10+3gg/KCRoTnu0/O3jaP55sAmOGpRbSv33Sa17PG13kp9vVSc/I8y71kTxxtmjFC/oSW
wKVvOlgjA2HLe1G9N1xFZRNvJ3IBdzaxQ/uW1+bRAt2GKtSN02vH7psNIIz+oWsm7KZAkoa45n/q
m6ZBTdhYX4Ufw7ttMM82NqZgBN9VAEfR2aLlRcaF5yrMh47nEHf9cmuQ8nZNEQLI2s6iR3TkdlBo
9R0E8svJPfOQdHTLSDK7UOLtJzzXO0DrnQ5kW3UcNndOusQci/GbdcNSjNf1VENiS3REtYjozonM
eu/P6Riz6JZqZVQMG1tD6HtC0A7TspD1wbN5qceyO1axWwGIq8jYMy1KQJ/xHy3UV1/gu87dCh1o
PVlvcNsPLR4DljQwMcrq23XlGBDdBvtinjP7iXobgrM+1199eZ4z1QPpbZq5b6PaZVqWUJBOWb08
ebOMb/UqkRt3bnZOjbzYlxo2yRSKIjj0V/p/5Ze8dIHeuzUnyUSgykLPDifAKGYn5xyIfp9rOsk6
kYb8ubQBnmECvkiMEcb3IuU1VEwY+lnW342thv8EUeHtSMjoahSRi4DLr1Y0phfQ85H96qe+8wgB
oNilqfs4Z3q5pV2aUAdSygGeXgilSmVymWIeCmrD3EeWMr4meiQ3ZIroiNcMFXrpaIUIalG6N8lA
QAKtwnhZnAuKC/spswXw6rne8DixANcZu1Ok8v4WHq7/TvCH+TQ3tnHll75CtVDa92Q3ZMFMDbsR
rF0XZdQXj4Zw3Ztl4iqJCbDQxqUuxFXSgb8hXvW7YtRkBk08pFdtxm2QVuDoIFpX5L81zZKs7JKM
pbmBRs4AAZsc4O3RdSjo7ZjgtGUGFCir3ZCTJLkStnasl2y+Ubr5NEAn2PAoAlRWYAqZ6lGQueNV
aYvoAX8uZYY9bXKWQCio3pDeenqnAMtZ3kW/pOcUgGSdCLSAudWJU9kI4pIT6RsMLQq1X5Z6usT7
wGun9LScB86pDk08k6CUWVibsPSfbd5dxbaUEE8eI2Zo0yV07+y5NG1nKwwa8LTWat5YqqGlMaba
fI16vj0uNLPP2MiJ1Jexy/IDtjP9VrgIWDN33kXTEExen18WXOWLvgJw0dt1wXBUDoA/++FI3xd1
e5/tjFnzn31mpuxzXru6OvMbhArac3wPcJkE9OQ0GM845rt9bbpfDeV8j7q6faFiLV4KCOssWr32
gIRW21jTGK8HdyxvFoeKpYDEztDbH1RAHhFcwFKfd5NZTumBwENph5Or9+7OzQ0oAISY1yeNHC1w
CYtbn2jfAM8zvQxR5FgULEK1IbKXssyqG7P1yhsnpY9MsgwLaJbI4a3oTf1r1WfJG9x4MlJMjQ9s
UQEcRJfVd7DZPPncUfFw3VI2ObiNSbWZNMfaF43HG8Wfmy+8LemdqcLAqA1bz9rXUWreUx+zM83L
xD7E+dy/lTkKalTcNBH6ZSzfc7uiq9CrIXrR+8z4Sjgub/raBgzQt3P0ghuLTbgdpRpRTirq3zTR
aCWI0cl31yoX1V3RziwMfTLLeuPGw1RvbF/S0UBRy+2RmOOZflmBBkmcETiET5zRizAEf8dv5qIL
3cwn5MKudG6jyiKqJpx6viV2d+RSYYVKy2UTM3PQLLWr/iJVYmDfqFeTkQQSgW+8oXjlkxXBMfXe
lrQfw8QmJX4LpJwSYGBCigdrLv1jluhYBpyupGhFystV0hSvuqCYx+hl6iYg5vEI1x45syjfzZEY
mNXYWgCvpG35L/86mWLSYnIUGE8Cq+x1lGmuoeZ6xX6i3lq+iAOrBbET0Avi1OO6re4E+rFqW6QZ
7R6UBTg5CLfJd41BF+hktmI2NqRjioulG+o7IVFUcAmZtwYyavl9uSvoh3SNnmfoiad82pYLwo9L
qJ7T++TQG12NJiCiS0czCBxYJnNbjYBDSgBSN7nrtzBsG0+/l0nTL7uZNnx0skd+9M6cdL4jVTnf
Oq0iLp6zYOti/kdIfMA14dml958syNLPWSYTCPWBRcLs31J2LwTcSyripZ/67ylMmmLrjx2sitEv
0wyCREqUVaHz/KzQ5sPPrej/HSTwL33FfUhFh+m4wXDgdDRRSOMrgKS2KXkPPFNsuHkJ8/4KyvEc
plJBYQZFpMCUnZLJwqtwLiELtzIxG6MNfDAy3Vy3Ra0fmEl3O1mOYHhjbwbkmKePhJjJB2lCd/y7
9fi/GtTPNKg0iX9o0v4CGPy/XQ6h9bX/SYP699/5twTV/8uxab+gjkBCB2ycpu0/vnjf/otGLm14
EF1/gwcZnPzjjLecv3juwbuhKzYx1Z/Vqf9IUC3rLx19goAz/m/6+L8h6//0rf8Fi4+/17/pYyPV
+LnPS4uX/xDI7hrM9PmmH6Y3Z12+3ZgjXrXCQ5kutOmqq4Zpq6JkPmACgopBCU4wopTLm6h79yhy
u40hyBjyFmeivhpxq71CHCLGitHmFUhAfPIQt8CeNk4Vxr3tXiXF1N8u2ZTel70ganc8i/hjx3ip
m8hbF5mbHRirrIeFMIQJ6tNuBpoFsysDZbfqx0Z90xuEBSnWCjP4L/bOZDlyI+vSr9IvgDLHDF92
zBODZJBJJnMDYyaVmByDYwaevj+kpL+lVJvU2tdGVTIjhSACcPd77znfCcH5PtVNwq5aqOIc+rba
dzYoT+JU7kp6/2uQTMQ8pHl8MvsGpkuSs37l7CQby4j8U647ziahGu/LKlCgPoLl7Y4YtfreaD2O
RieJP87EnTklWEHsyUBNVdp6Z/mm2pulFX1e6D1XgB4P5kiMUmhRVgiO4KYX4r/QxKfhY6js79DW
FsDX5K0BZBcwt/O6JULcdJBsgt5Bp0DETa2Sbu8qUX1g7tM7u6ZbpRPQPnCZs0/aSUG6jMpJ9xUG
6QNFElItZyCcz5/MdctO+FoGSUgKSjw8tmUyf5PTMH1GjGo/RuQeH8iRrK+ezaEKHXCCd89KdsQC
dmcxevoru8TIwA4+LS36fu+bGX8GB7sVpi116IsffDun+zCkvUpqd1rTXD9bRQStzBi3XaJY5Uh4
3TRueJdn1SL+N44E1tCf0eX86vS13mvdu9/preCVSdvk3HrOsPeEDI/YYPIHE7+QtcMBAWqW0Apj
y2mvO1PSpC/RlMg37N/5Nk3wgIeVNzxV+JufZegkdzPKg7sB7hjWL7IYX8PWaS5pJ9QTCsRqnyOA
lgAWSkGHQ/k03pRtP84InO8iNp7d5GO2XBlV4N9guJikPbUcipLG7pfQavEga54VqPPA0dPZUd86
TrvX0PPUgZRm++y1ldrnlZdgj/WTzxoL4rWIKpfhh5oPI83gK0wX+2wNbnmoEUHet07ZPKezLdeE
p6tjbnT0nsIlULFwA5CalfWGAdW70yCvj4mpqkOaKjQcOZ7r3eDQBVLVcLZiPCF9qesDKhnifKL2
Pe4CQVUxZthlqtB/1/bwi6sxYjDSJnZ1WupSHTo7Hwc3Au/CerGd7Bv874r2S+RYb35QPFNuzS9N
U9E+EhS1ZezRBERnbJxciLUc3MFqXOnyuyYzSk+/M2lIH9Dp0b1wiDH4RgpJvC96fimaE/UJuF++
7m2j3oqeTnYa8SUOtp0cvY5oTDAEoBLspv2K4KivaXuaz21ZHCNr8E7loPdFEXjr2VsQC4lKs0dk
UurmhurgTUN78sK5ODpZTpBKheWlY7EEfSqTo89wajclBM37TcsJpxjTW9UI55eZTin2wzRezzEA
gBS/6Wcf1PYnuOzGY2Xl5ZovFP9xHWfkGFNjPhj1CErN02ddk/m0lnLntmm+D5kw3BF7wxhAPfZh
2H82QiSUmWebj6mI7EMBgLhZq0H010L09Te7nfgkjtgMYmQUYxKb0yuzIz4AtdVnMKQafp+YVbIa
QJJui3mK7uemzOjetEs7HD7Juu5HbwmBGfDiYfYnqqEhearsliwA2X+KZjqxKxwEpEnVEdmfRpMo
jp61OEeVru6mIhRb0zQ+pxx1l24W7MNESbSunhZrWRecDo0EpxTGeyWIeSpFqldWmpVflRfP57CM
5aNLWNqxaegWrgg0bh+T1qDr6tNzILrr3aOwWWTUwYNovLzFPWWLax+UYo3hGTIEpBRvSzS0fJHs
GlfY1/FrHTjJJZ/7LxSF3oEdkalGinEO5jtebFytlybF9469Xl7yzqkfWqrBO/gnmryqRJFJSuNy
8XDuTEnY4QwBdes22n7NAH0dPPS5W3pm5Y6i1vpl9qPubnBl9U63b9lcutn5HEML+UQl3auVl2Ry
Z6cywngXE6g3RQCjzDB+MJeRJDmWtKUiPT6JjltfUIRtmIlW22a0gnOwhPRsRkW/yQajwYNmDmtp
LCTzSnTzforsbl+Q+HnM5Fx9Ul24T7DlwtYP54esx5Zc9b2oVlMrZkLhDECdbjTuPF32V7OPrBPu
u+zLoAkfHYC0rFBQiLuEV/zchFZ1wAvB0TzTtXzLPC/Z5MUgPquwDg+sTPExbK3NhBnmYUZ0961C
D32q2oDEvMhv7k3q9SNld7jznKh5VNMQfIoG6Bam0OIJtx2hg7SHDHJ6DW9nx359rSdNITcTzT53
LP9d3c4gUEYnQh05mBtoV4Q1NMbZLYRFhl9RJzgoya9zc7B3BbM0VrREPJKnU7P3p2n0zMSU1PS0
Iyp5XdiyfdSRVocy5pUGzO1n2YreP8gWML36uyRX+Mg4GYv1OBiXhNhiYp/zhx7e4aF1uze3diMG
8A2JDpCquq9Z672R4Pwuwu67r+a3oBxvhUmamDEPZADYOj/W0IC2tU6eLcJPTtBO/WciHawX/AHF
N+w742sd8os9TVAe9YRheEavgL+iO1W6QT69V96oZ++OoxbTUyIsMuGCTCtbh1DJJL6MKE433TB2
wYNu9eR9brzwe0fiQHBQ2EDlmzHFVrUzAJ+tw1LsOyAr8z4nh+ouqbRRvlUsoJy9ZL8xxzDD4D9F
+Ym+RU2WVGptOORlZxPIw6mrE//Nhf35RfjIFB7CMVZnP3bN+nnpnId7NcMQKzDmD+RKrqLWTT8Y
ddEjcHU4ulsQGUzFSoOE7aP2ExtCjQDSTuTIrvea14aJ9aoeSToRE99kGzmvhBsNB9D/PhHkbXfl
J8edJAlhDWrilNTOpZMWAzJhwFvOyDV/IV3UOHAW+VTMBEzEdEdP7CDGU0xD7jL6ylxHhTld+zjS
15pv8zS3w6qNk+HdyeR0qqVn0DAxuj0q2In4iuW4Zc9Wt0LnUJ+T5JiFlJMAdfoybA/BElSe6SDZ
42wX6yl0HnNEQhsIHdFxdqL22IUho3pGBqdWRBdAMApAnlld4tAjKzvy9ZfO9tSafMRpn+g+IUOw
kVtAqeG2TlSJrInhMm7mjI0Mmtra5Ws+dKKiLFdWvndFKL7jAuEYXWUVEdWrhVP1QbyIF7w2oiv8
5lvnLKzhT6EmtbVdg91L8t+yqv5bxP1TEYfnDNnR/+h7/lLFHZUiXzD5cxX36y/9Xsb5/2FYZGFI
c+WSBrWYvX4v40xqNdSwizAaI9EPk+HvgDNQ8GxaDJCImOK/t2DJfi/jvP8s1gMEUfLXstD6N05C
PDx/LuOwL2FUlLjRJMUkheEiWPqDDD/xEjhQZhOfRm1CxhsqXjU3pQ+MshlmFJBzB91DKp+qTHNg
W4ReQLb6wEX22ECiOdREeIfroFTeaZ59J9yqvpx56YQYHzu6Is6eimUyHjOZ1q+aZqC7ZgRBAvgU
KsQivdWAZxzyQK8UpYW16nIxOwy2O+8iU7i3q2ao5+Nszq2zKtJSbsGS2PW2X6xra3soUQw0IYdV
JzD0V5lO/jcM/v2mJQ9yG83CLlagDdtmPQVM5ClQBse6SKuNN43MvbvBoX+W992tYTy88xsUrSuI
ECSnuJ6ZPFVpOj2OsWivdWTltzylO731x9Kgqx+MkbsqXBGBjUmrm3KrnvkJUEsmVdMhwl9zsqoa
hGoc7MfEqpntlUkJV9cFCtvEtDjbgeSjzejSqHZa33pVEjFfYtfqybQQI8nY+RIxVbp3y0lukCvY
D52V1se+nBzSna2H2CNTkkG8vzWmBFQLSUwPtm+oq10MN1cAx3CVYuRajX78jSFLtXfwFq5BYbHi
5zlTFbaeW1/jDieMKonu6Hw61yEubD5bN3cXMWy1VZbXsKrz72nvSSjNzrRrXMwEEYqGG07Xb24Y
UviFzBpAEGt6z/yDQ86rdEiTqjmHQz91T/1Q0glEBvCU1o19s0c5nu3KHx6QIOjHKou/pnj43t3S
Gza4z88wrqaNSwt85SGaAAnAYbsvx/xJ1VkOOguGvWVn4JK5I0A+s8dape3VGLNuDWu3+ZSNc7hy
Gmu8TghBNhUar63p8kkN5jkb0YfR8xz4NDBVoGkJp0UJsgeULFVHVZlnO9biNInuQ/Hz91HnqEe/
L+jbotSRNx+py2NAtwyWVpjC8UPwdHUM2GhphTU9Y6q0n42uuAmLJ9r3uvZiZY5znpS1qmobzC+P
/V2Jy/QNoBjSSaNt45OTxuYGaYPSUIN6Z6OzbNhDAAGLrbuzh7P3JGLvroc9SifbK5ill5QXQToC
cChUnwGbYGg6El666kKjXXtz+2JgLY+b+YZwU+xC/+z09G8bXXyehi59iO363miZ1Ey13Ejl3IAY
qG0RVN+ayvePeVq+TIsAnyypLzlZjDt6lu20zhOLrDEwVsXyTU0fRhRiETTR9c+deHU6SZjrJMND
NfTG3RBIuQ27KtqkwnljMWzuLRoSOwO8Ht7lyAXN2TgvDlNi5E/kZuYhjgTDtnitjJOPgW1Fq/6N
o6Tedn5e7xWqD2YT7O3JpSUMaEUyFVmsybUIYZE4nlwhXsjxsqUUjkOV7LIhHYmYTZsb1GH1WAVu
dESOjx4HvMsRI9T4mI9q3hctFRxDUlin2ejdOXXPlMYejvVEjNYGktnwODjEh5M3cTD0RJ4VCFVQ
yquycQbxBP/QUXKjTQA7D1M42PmFPvE1r4OvpS7drefN8jkFL7HDD5uhIkjCB45xyb0bN++FU9FK
0zkyicR896rexchKoumXhtbPHmVJtakrZZ0jVcDysVweaRGpdZ87CplOrB4mlt1VPLLe4X5nXuUX
05e54xhMpRmu+45nMJnG6YucRjpseSL0E4P2p0LQJCLbLL8vmYKgpJMALh4iNzSPNhHqWAroQlYr
5cLPbea0PFZZz2Q/KVrcg1Uhb23qf69KQHCRRZ9+iAPFHDoAAo1QFz4Lnby8DMnkQVAOgadzoQZW
iWfszBllT2C1+W6KGaWwuCNYHLuXWE2N6RymvmhPZPDFHXuLob9lBsNYAMV0abZjTC1zTz2KpoKI
peCQdZCULqNTe48jG/aTXYe8ItnAowfyqnc/N2ZSn+I5B/RLbed+bXn6k7WJEwygmxH6DoqTyr9p
BIfQRkxRn0rs7yc9EQ/eyrSIDqFuj7QHovtYdeoJbQgp0jX5gHtI+zy4ch7iNyTEzba3nPxgksb5
HuBYlitkXNhToql1LpFdw+b3nQq91Tzgcu0rkDmD3fc9PciZbgJL+3fC2WF84IEY7tq+aR6m0SIa
kUMpHc2ZqMRohVyBiAHcHd0rgez6XdcieWNPjggwzLu7xp7z+7B35Xcxxh3CORXaN4O5yKvB+f2a
C8LmIJ38kue29+EW0qWkjW3dMWzu1TZCA3l0CbjNWW3XDeeHaTORAA2nNOQu4hKKg5eun9wLjCv1
YaQiDU95ZyEl9qpkeOQg6r2wj8htBUBx18FKNaBI+VWIEdeMoyNF3fgtSxLpsBhF4QtS2H7xcpDZ
nE+x8ZCkXoP30M7rN2R22dVWVUTsMz06f23JfD7KTmcfTquzWzUwYCMtwAJAU4RHyJf5hnQRXtaq
bPX9rAmuW4NWDibKSsiE28mS4q5S8fDmDtPwC40n/SVwmAUXRgopx4hkhCdVT8apNtP+AWUuEx67
qY1vjphwXjPTxVuDauPQ+UicDr4xVF9kNBbBeppDunJmaw+bNEk1DCY/T18pHhxnFZR2eyPNkdR0
Y7T1dekAHnnnmAJ1lqim9eRQ6PLJ5db2a/EWyjZ0tkUiMvLDeoPIBOUkt1BWYs+4zSd9riuw5wa0
dlmeIce5yNboHVj+hSaXPplg8AlTpnM09WTqKYsHzlfVvBjRnK0WRIUjoyJHMkahtkJo/2h2TUsn
1pUXZfQdwpMQo8nop9WRAB7g5Lkq6resTluoY1FHrg32kPIzyZFVsW2ZJtKuSPX8C1pn+y4UYCyh
D3x1olh+8uMify/JuacFsARvs8SHJCr0WWmsESezIkJ4FccEx8GdnB3/S+/W6lDFFcYLK3IJuKOP
bn/1B4CzbWjaL7KNiWsPcnuEsFXDUC1KUuiYZPF/s7nLggNT+OkWZKHu16MVm+9Ew6MzKNzqC5if
9tGVLUzNdLTEWzdzgNxGYuh4lkTTrYLCNz+kBlC5DXMvMk5BmYafUYcWnyZaTc3OLuLx3DXdBKDG
MBBd1ADZc3SixzTKHuhr0NAt/Gs09Zsyznum9cZ2CLAKF1MrH51WCoLtnGgTyRyeKU0l655ptcFY
JPL32uNgsXLr3vmK79nC5VNW0QuZNj7uvHxAHmYatjmtzSYRSDGi6Nq01rwdsBUcLWLN97Pjtpu5
stWuE6K7mKBEva7Of4lTizjhpPN8ZO3YwVd9U+Ct89r6UwTe+KvnlOGuL2kFrPg2SYyraqe7i60x
o7FKisQqDF26TEkdoTSNMif9gHYAtxGKTbGqjFixtNjDXYk0/1WFo3qGtBXvxZKZSPB8d6mrkbgU
E7P/OatzuY4EZ8R8iE4BcrCGBADdHYJE0nfBZJ59bgIf0RUAWnCCceISPl9VTHnAq87nzDCr08CQ
9sJfqC6WkyTfwjlpd3nStkg3db+LpF0ctYqY2mTzazXBxl2bllm/R7b2H2ytoWyKpD7+d9RZtEk7
/VOVDLXhb2ed579OOn/9ld9qZOaZLhFePmDZxVhvmXizfkeAix+ZyVgsggW0AQLjf0adSyX7h5qY
YpnuuGUTlMN3/29qYlBPf66Jke5KGw6vbS5YCsv7Ge6hMReqNBq9c25VgbnGkmgiJTbZMfS6a4yq
1bhPWe4HlCN2GV7LYjLdde0KQms3cwu550nBaDVySlPPrsetMY+1Q0817BAtdHYPwswnugIxaIx3
3d8RI5E7w7VFEhCPqMT9wSHDk/NTtGsbko8vvaObb1nEmI5cMjZSyyBlKfb8nYIZS0Gmo01lzdOT
EcwzQUJ0vAAygCTlNQMqkM57nv5F4D+aCuVzI1hwfAahzUHpoNMPgLuzp1qH8q1Rsw3ZtdH4x2oy
i6szul+yUKhAPxuY+EsuMXnzdpTKSvbUCLAi7Algv10mwX2mC+9N+/6wMWQ5fIGplz6gR/F3ZTeB
z4NB165SNJgtSXR4ySDZGtU+m3N1TOn4ffEaV3+2GtsqVyaK/G+lDL6pcbqizsI2wTBoOvKP8K7v
PBuFbyIOuJDMLekGDMZskfMzaMQfuxS13lpME+bmIeopCSqAdmTMljVSiBCn82C6/aEgTOuhY+N7
GeOc9bOehj0djOlRNtZ0MmSqEXcg0TBY/IzkEKs0+eB5cB/TrO8BDpeWcQ9flOLe9WqApKN5GTB0
Pcezn+xnjDkPJdvZugeVV66doLXuHLe3Xo1SNc7K05Z9XzrEychKlWwgVFt9Ys5nBfqu3yQdaaCm
VXTo0hdcJGD1nT3Y84Fp7ggyM9TzF2PKq12QKGNPC3w+OrHFsDu3/GMMuPOJqXJ47QxdXkr0OPne
mbHWj93sQVQiJcNpLY/oyt/+l7rH6eM7w7XAAJJVytakV7qXCIpPKcFtQ3FC0Dco3Pi4r1K5o5tx
g7HH1GfVD4p+8JZ0b1N8+++K+v+zolqsPH+7ol5/Gf7XW1lnf1SP/PZLv62pJNQHLjCk30Log0UI
8tua6sv/+J5AZ8ipD+Uj9fD/XVNdNCKQ+QSUMsIOvMW899sa6wgamdKmi2mzTP/gnv0b+cifV1gn
AEyz9BttOqAy+MsKa/ae7oWIyiPHI4CJWRG593aNOn5WQ7D5Q0v2/yFV+Wk1/3EtnMzQygLpoID5
yUjaN6Tm6cAsjj4zpuvcT+Y17Wz5MnEHLlr/W4v8cj0Hn7rFgRWY0l8iI2o6Fz5yMq6Xm2geB1Gh
DEtHgg/bcZF/t6GHgGMMzOfBQ4L493/sT/7S5eI4tj1yKPn22DF/+mO1IRpkpXVxnOu2/cgVjkHw
r31wmRDh3UbQD4QFiX+iAvw/brHL3SL0kIlW4P/s+UT0ltZD4DMNy81FKh63Hz3VzbySCdLxSEz/
+oIe6m/B5Xh6Me7+TDFLmb9XhFrLQ2yE5flXdQIGnm0e2MYXO+y9t7+/reZf7iunE84WYMPB4jB0
+kntREtCzFE49hA+Ro1uwAsJoZpnLfpVMDgo76YuMa+Bwr3kT5l5Q7dSvJBL5w/rGBwT0ga/8W/t
ZDFrqnu361E4x83FpA36ebKCf3gK0FH//IL5LtpagAEY2JCC/ewzLqD/RykztYMLccZ5NnLLDc9N
pHDkRiVilVxH5nAy8RqraNW0pG7xDk43Q6r6YNFl9E4/bAv5VJFVRQHsrRDV8iwxNS7P+RyY1zGJ
kUn1wiI36EeCF5457gOzKOxyndWgbjXqZEEdW3OwqxBxXo3aR9XR+aI8V8Y03szWGx9CwgfVkklQ
ul+D3q7QUtYzZNsg04RV1bY7PnisEt4mCfpMHlLRGzAnYomZpbZqHrkw1TS9/IZs0xLlbWyS30FL
jyYXEPJ0vKOg6Z3HsZiGC+0k4uU8N8VsBOCChLJlISBkkfeU8nEk97tFiM08PEDLrqu3DrPR21wL
++j1GWlbY99Xb5SePVqFhoa21DPL1yhSuU3N2n0PajjUmMeQPed9WL3ZcTveDG2Yz267WEHmhCA1
SfTRsZjk+OZhfOvWnGcZpzahO96QKvCXVpkzUHE3XJCQKBwXOAgIWQwG91113Mdg7rlvtWM+d5Iv
jWAm+YJN0n3HgTrekogRo7YHYk0mosSDtRwNJKZNH463X5/VOEVVsI7tZOjuIPI3HwhLEatCJaje
rKmHyNAMPbpso56y+CSxeOTHTBsaGJwHLqOj4rfi17gf5EtQsZ5u2qwjNgsGCM8Jk27nvWyC6i2O
Kl5+jbBY0l4mFyonNgVBNU8GsEVj7URjea45p+DtqkrYaB3RCBtCxBeErtXgpqGDm69/jUrruyUP
WMYmpr140dQP1fK3Do5USIvL+vDj/jtj667tLnC2Mep+AEJG3EDtpuj+8TNtGBbrfBIp68Yc4yfu
q0eQDv1miBDpdLrhAY6X18NrM2ykWJjD8Gw2CCzWyAE7nG+wtm/UDmZtr1pkCB1zWqjEV4x4DRmU
QZ5Z4xMtT0yljLDGsN8RVDitwI3zCwQxmuI4mK3fj6soN4jaaxqsCnvmDOmw0ZivwltFn0IxKXJp
BJCU0IYXa5bTG5pPsMmYr/v1gBkjeRgmZuevDbc/Jsat6PeNFRdQlUSG7SroablRTGDA6l3uc/Nc
2WG8HRNEhWFBwSBtzPe0XY/oBp0dgBz76tJNXff9cAjpEJ9xDI3PXt7he6jChK/dmEihAMze+LH5
uRGW3lRkxaxQKJn3Bry120A0Gf4d+o5fWobtDs9XM4C5k8l47n0Ds1JQRgwmhIVfQZTzNai76IOU
MvOKk9Q/IbQnskMUEjH67GD0K0iBWPHsNuVqhq+9XyANHzKJMWI3BokMGx5ueaKhA8hIOn0jV6QQ
hy82svJiYxrOpzaOUH7W+r0w/fSaMlFyDhoeQM8P2jx0Nfoypn0ZlIzY5F9WrMvjjW2OZ9kKizg5
eEbILo25bT81bfXmmq18oUdJIoMfBTmD0r4fbzNSN0oIzhY4Yqo3QPAjKZnZ8D4SpPeSuh4LZmll
z8CW0te0nnmx5OTaRD40CZR02z4GlVxkcjIsNmyj5bPn5ts5wV4ChNxBomRDRTiRw0kIzdxU5pe8
NgxGorHTBUfapLM9rM2qoUKoAQacPMu2v85R73pbsAknJavwMhhV9FBjoThGgXzG/qlfVFu/T/m4
rP6J+dLkstukHfeJRg3rPFbu5CTLyvrSGRS6a1qmNE7l4D9ZXgBCHg/x0bU7g1CUQZtr3ktGS2FZ
BzvsvgWFBh7X3exYL3kcVJtybHDT9zk5KM5k0Zo3FLXQKrdDIqF9w/mqTJufr9ix6k9uLC3Ca4OB
ZrMm37fczQGYnRWNoQ45RpMZF7RXHbcuZ+o0t270GRd6ecD+EOBstQWJKm2CHrUiqgPHdfPGiICz
SNW6+OQAFK4zs+dr1RJHXkIxxmLhqAh1UtBMR+LwAsaIE9tCXpIfadDl/hAKGb8buixvmTfz0Gic
imRhkJQTjcbyKHXYUDcUeubVthY8iwYP2axSyX+nt/g0Xgudtxn4atZKYV4lNjPlM/n4w1dJBbwK
aimav9VoR/LiqSrJN5FFhLSq+/owxUQcrXs3apo9RNfgQs1oMIAuuXLKZkLr18fnUtlc3nMHjVef
jv2hrLmwHc7O+zylLPg/lkA/xli49Y3FjjMNQsUP7VAExaqrBucydJ0gSdMl569ujeajYMJarUy7
5omwZu2++4r9saFJSeIe2APCInTJUJSi1efEMFHX7H/9WGZBF3evY3xwp9BYxEY+fqezVnV96Cds
nm2/2G8IimFcrohytBjpFCS6Trkz3pkeXce1QDr0NqBuje8tt+dTJznA/PXQz1wSbdjk3xxNmDm7
hYdCllEush/G6kMget/HmeR4py5rSB1JtDs9EaTjvnmxycI61UZ6GaoaQU2mOkxmdmdGz4PP4J51
U3kXZ7YDIitpQ9LJMVC9dbHxva0xwMXdwACVz8wpB0CGfLHIeSHnWNXs5BpG/7ONGgzLVz0Solv7
Dhmg0Zgsd1QjsWaQBmBh3dFHYMOsWaqewuUbTbE6v89dvkSpNnyNhqmpGmjuilps3KYyki3EtFC8
mMbkuA73iaPlk2fji3wixwQlxRrLXxQHN5VB8GGrquRsV2yNeiJiFz5hZH5KA07LaO2GlohZk+OG
EowlE8F0cx2qPKFdgnFt8CBD5IbkDELSnDhlAFOudt722HZjYAfxpDcjlJmTwtV8x9evb4yh42PW
x8ZnTGd4wFqmJKDk2XqmID9EcF8RkvjGTnWDy98BYALIerwSvjw7CLcx7KI4D1jS7Trq0A9GxGTP
Zo5abNTHsm8jxGbKvBUOS8yKYwhTqB4hJuOedtV6efbdSByXrIQyPMDuoA/UaqJgeAOHNavCd9rL
3w013csRniXPNQeDTot7LPri3s1pt+AaXnvNlB9G9IRbzsbhE+r8aZeyiaL2ioft6OD1Fq1zN1pd
8ci3zb5cjOrEzkdvJV+it5bxfwAMO5LqrsscbAXcqntBIMSnyvC6t7q07GvZM1Nf25HgADnqvZIK
w1X/YOfmjZNfsbWMQXx3Mdeja+tpba8IOEvpsRW0BMPgYKQz+myPL8TpeIV3rmuTCY0DSJUctI2+
gtcRMgeZ8EmwguD5xBsYd6yGhGef8SkbOKaRDd81meIhzWNWm8SDI7Cee9CqK1r3MRNHBuawzDh2
/0MpvlRJfyCqOUw8fQoOl8aCSQvi58bq3FupZMerDpX749DfjxjQ6uXg+/fl2l+qHy4Er5FeBmW/
Q+HG5/iDqEmGcdulZVsdFLLLZNX5vvmsmeIhOAfPefacpXT5sRz+/XWX6vqnvw8yFqIughnoZP/s
iaEkVzYD6eowpsp7b428PuTNSJgyAQ+sX2VeTDfPi1mLdb+ccv/+6vRt/nJ1aVEV84LzIX6Gc00N
vtPB9MoDESUUIHNQA9pYVl1EFaz2bUQGzkpUNWXJcvIG887i/uMj/Fcp+E8zEEHQ6N8IBf+3ev/6
nsMK++VH/+9HDOqPX/ldJuj8B+ELEageDSoGGH9wewXBf4hYhfsHW9Yz+ScP3e9uL9p1EON8GQga
Id4P8d7vIxHxH8vCdMlxAJiJALz6b0YiP7+3y6GCfp1pMWCxFnzZn9+n1EQE0tiOcZCGgV0gSaf5
0Emn+ae2xU8P8HIZf3GncTWxIHv/fJnZbOoJGbNxaGZq26zMp43dieA+R0b0T0DSn1tWXOsHENUh
Gpt+2Q+M2R+WCL6LtJG9HR4ms5T3wqsXS7dpn5xZcJKiIvknfCXJJn/581BaLo0r2nKm7QtavH9c
lcaM8Ybpo60HRBZSH+qyvZScHLHrG3nprgNJQS0CwIw7sEI9EkQcn9PeKwfcsdqNgO70PbtyN0Ig
qhjjHmQ5srxNssYfTRLZRctG7mF0yv2PoiVnJ4dNPy5mczN/VJki+NSo2080XooT7hlk40QlX8MJ
Cz6eerfY2Jxj95MW+ZE2wrTVbZM/AjSYf5EcV19izgIvAD7uRDcl28FX5NBXShxmZsR39FO8YB1z
0ny0GrzTsz2X99Qm6SdLJHCz2It2ro4LEhSZi3dlMRxEiSBPz9raB70oOSFNAyryEblRazdn32zL
a10FiElVZr8LFREp5w2ambsxHDQeX9oJowzxyC3spCbIcyL48vFRlnPc4aMb0I7jFNmJBt4S0ZUA
WjZjjG6R+d2vXCZaMQulKS6qdOcXPrKAIeQ5X4sYKM9K2Hnxtav96i3touAVJ7Z1k5GQGKtFIz/S
oCHPyZToKdmmp5JcyTQZd3h+kLKIwI6xi3NowznsqHuh+qCi1RORZI214Dx1xfASTLNak0wHKclS
PHvpHDUrJ0nh19jmLR4TgWcxnW6xlt6WFmT9lvtlvytH0XLa8Qx3NZZe/lHnebyPi/jbVKcVIZiB
e45o03Byn92YLHZuTlyE6k6rHF+dbRmPdpHMFzGHAX2n0cyOXtELY5MlaYjyrjSeHIQIR5xHzqEf
imZrT0l2AVbVfUSN137NzAXENkdoEFEuJvLELWg2aN6/aaB+gznUV8IwKWZ89QFHa1h5mXNGkDiS
/B19ko2R8JDigcNBF+NLz8d1M0KIKYFzrmWIktWv2nOKiA/gextNa08E6bsbCALCDJ/2LuSKuPSm
7eh7+hYOyrp4nFrAGg7m6v+wd2bbkSNXlv0i5AIMcz/CZ+c8BBmMFywOQQyGGQbD8PW94VJWpdSl
1aV3PSmXMiKDQbrDze7dZx9OIA4vbd49EJ/6ht44GpAtbC30iO7dzlA3UlTLh5o46vOTdT+w5Mg7
uFSxlYtSj62rjE2lgse2DbMdhpqfxtDZt8wVkTTOS39r+AvERUiesKpCXAJWqPdcWh4YV7wyVqjF
MSMNpRFyJTqdPyvSQRSTw98hIx4kB4NoDhqRk0vJUSklpQQMFPQtbuYCt9B1MBbzdEKInMzMopLW
NCPuT8nyIvsRXCri/NmPCd+Imp61mcjrs9PlAcfjtcsj0OOzP6P9Dy3SFlsX7ZjEnSFp+nNbE8mX
CqjY5ALl+ZzUnSTYM6wW7ol7WG9uWSXOwb7P+6wF8iiVt0/kuCSPWrr8SqxUOrn12m5AYVx21Xif
4HEjsNN4bZ9ehbGhaYzo49F9E026grtmtVbZjh2Klpd8GA13306h63/RXscPKlWpMs6S4/HQPbHV
rcr2YIW9fEOhIJ9CjSumQ6O3/mE+KhYTStWPZ0pOY1tQ4DiyAz67E8xKhNdthDlcFY+usu3zKKi7
tChjOIrSAO+e5JzN23IJrWeR1kwfe9YkyFpiL36a52H8xAIU074JW7d3JPOYumC4jaSxmrcS8urU
oFM4ZzS97VQ5EIAp13IWpmwjF1rHgf/xtW/tLQ9BddFl1c6lbXtT9SZqB8I5pIXiOPw1dfxTq4zq
aenNGGFJZaz2Fz2WD5PtNL8dDLncKeJVaCAcJuR0iC7bwUuKdMdquj4F9M3d0YntvRdly9dnF9ra
Y5YvH9byCbmRQcnXZgDhpXwzFIKGoCtebJMbOwolD+XLUtZPSQkbEDG8HiweHpQE8b4t/nbM/88p
8P9zChTcN9iY/uu8yE22fmO77K/nwL//pj8PglTb01+PxttzPfHfS9vQ/cP3sW5zQOL//DMmYiIC
sNabFLAK57L1D//z/OdxNGT34/ML+KjhbPnvnP8Igvzj2YXaZa5sDuangPEnW9t/Opp1aNfalZY9
L64JqlgUiUdADx2UmHkAOPrNTEr/1nDd+jFDQ3q7jESrkLmY1oanZL4jW2I+5UouhOWgyu7SQOUy
8gwwxtDvDshD7bOqeE3ikGnarRtMPFlqdEIMrOXowwi76ZWmmf6a+k3Lj2pRXDc83e4JNAQHbHzp
IaZt8wA9T502w/V4i4nVOyxZ2p0kdU83Qz9jmVx6un3tgRheVI6BuCLLMf6SHJQ4GRB629jpQK2I
IdRRV3X8WPP+ZkBnjNNpMD+kXFDHyyK4gRuPbcYTgdrxCxJ8fN60l/Hk3Y3xhBkVfUNB9zp5vBMl
sM5RdsL4HGvmEH5D7bKdVwECmrL7nUw8rDZp2Vj3iECHA8+v7tEBJz/nkvY8ptM5nwM2KdTcJBGb
uzmDzKKxoavnxLvF7IugtFkMPmfQAUZWU4tb1t0VrHJLKy7xjpzB2kGmgf6RNko94XkkhlsYS/fh
xH7yszOkDNE3OFiDvAQ4e6nChVx0RZxXEgji7NadUjeUwLdARO/thaYTzvjqCU/wTa6Kj2Il78KV
wbNWGm9ZubzMJFmwJO5Zdqo5k4Fc6E0vqCF1/R6TVoADuCMOyRCIrnPKLFfsDzUCBCDfpYH/2soF
wgIVV7MF8dTVpcdfdKUI+xUopIXbOCJNSQ9TGxfPdeWkr1Jlqwa7aogOzBMizpJNn7WlMpqzXHrB
GMF55Kld2UYUvGCOwwV5nC0d79NVPFMkCCQ34wpHAkKtfZvhNH5nF3qyga3H+lf0C4fvtLrPPMpC
nXb2r+kiQm68zEMk4KRvGsV0UVxATXmBNvEFAXC6K8sZX7DOcEicD2oQnSaSjesxcgXIqhuzPC7N
kvhbvRKiiO3AFUo3fCC4zZETkBQ1p96kDKy8zr3NilB/Vit5asJrsRZacVS9kqnOyqguF1w1X8nV
cGVYjQvOGl/Q1nClXFsOsUOUruyrvmCwmsX1m0KBUZGibAeY4Kr91c0mZezNaL3Lzu7gWWc1P/Yc
/YOjY8sRCQXts8dMQNaH5Yrkxhc8l+Yq+8XWZnqFOdD5GEiLV9T58qLd+KxAjhQVBL/ylfmVF/x3
Wklg/KxAwfMFEHYusHCzcsPBShDT8BH+6DLnwzChiz1SNDfW4M2/3YZQMa8Jq652cRBXPzmlgicX
F1QZy0f3pi4A87yyzMFKNZcXwFmtrDOAq9o2qnuwetgR3Bm8n7uVjp5XTjpYiWmAKmD9laKenCbb
Omk47JaVsZaIWc8umqsNxBwINheN/FBfwOxuZbSNldbGQpc9Cg3Bja4VmJsSV8Bux4fxFivtvazc
t74g4OEFB/dXMjyZYcTlBRcPV3K8u0Dk8cqTc0QHLW8vmPmyEufxBT4n39/80hck3Vnp9NYMGcG6
K7PuMPf6rC8ge78y7fNKt+dySUOunSv0ziJc742VhPdWJr5d6fjZqawbmn1B5tUFn7dd7qwczu32
LiXZQ/23aMqtl47xKWVmKTaW2TwlsscVLMPxqkNZtCkL2W69yj87zay2uqqKh5Du7q2mLPeUSx6b
6P9bZIDlc1K5w4Ggdkz8zbF01HdZx5ZIzrgdlYb8Nafla7H1VBL889ptbQ/lzqxXNq7gcnA3mVah
hyuHI3SlNg4kUfa6GGRljrPvVNL8GczS4xyedral1E82zX1+F0+xAR6Ze3cWTbX7xSq6R68szEfG
MMk9j8XpQMXsctLJ+OI6VfXYQt08DhYMRMSNNn5h8F/9ZLUboG7xqxEJSSJfyOZyuu9H3lZB1lT3
Jmqt+9AHvOiT0t2oTDq3YVL2m1ovXE1cJP+Rxacdao85ux1EOCDT9tt8a+Mvvs1Dky/Xk+RlemKN
UV8YDW91iksjiE7vurX48pcJuNB1q5jqXFRlT07Qeac8k+NzMhgBpLWO09/2CgDinoQFVCsWOK+A
IBs+UMEVGkz4i382K0g4zp1Ld1g77EEgll/A3hCHCFqXY2Lh3c7Z4EWTpaiQV7TCywuvCPyyXCFK
Bj7MoB3LMb9vi6Hj1gHmGF+Ix9mS8eMIqF4TPbhhLIlauFoAJOcVlUxWaHL9fj7T7WuR/FyobKE9
7ACFadzJC3EpEKI84J9Ov8iC4HeejNFgZjA1/Dmmms/zCm+iqRgPrN3Ck17Rzi6uyfevuCfvJ8hP
zDgEOpqVB+UaBRu6XDDRCzEKC9I+sB9mf9CvSCnMsoUGEMw0p3zubljR08UPp1PPByPuYzHeVhCq
5oqqWhdq1V0B1mxFWc0xlqd+xVurC+maXajX9ELAUmQGpMBkb5/pXN7HKyoLSYu2XFnem1hBWrEi
tYoMIomeC2m7jKO77LpOiPoJdOQnwjS01TplhHuFRgBa16wCkW50OYZv2Yrzulym2nvvQvkycmsN
IoOedClZt1rzWngq43Psb4gwN0Z4YT74+c7XK0bcwRNPoG0zmQ0g44ZE8iatqtVnA4O8WKLOr/CN
9+VxUEb6021sN3sXHm9xFq4Sf0HH/ClZl6UXtYHFZQzRAW1+q/aAl6xgTU2c0kOJANP/xrF3epXS
qD5zPQkCHoP/bK06hRavAmmKGf0HqgW/7ZuNP5B0wbP56OFj4AH47eBnyJX3tk5VPuyLu8FZNQ49
PgfavmhH9oPivqU5ZHRK45ofjoiCVQRRAfR824tLgkE1ZC0R/hDGw+6RFceuntWD7Y4SU/jgpKRb
ujBJngPCFLtyEctDunDegV++qCn+M0P/X1GvjGJh+v/17ekuzep/uDn97Tf8eXMy/3AttGcmlx5e
2/gF/4t4DZiuMzlHNxrYTH0v0/U/r1DWH/TaE1OmqYIDK7/tv69QwR+Mhk0LJ++fg/d/g3j9f6a/
PgVc8IOuDygJmffPBGE8GsyDKtc9sfSiUREoXz6mRROfyUTQJzS7/Wto58ueyPiyR/UTn4MC5iTE
UvXDJZH75nh5/0qevX9NWJvt/vKd/B8g2fX+9tfNFV8dIYt13Ln2FHvrTfKvs2k8xV1soao5UR9R
v+MdnO4vymcksByL26yYD5xn1mqwWjp/Wxp9Tv/nf3bJ2YJv8j/86XTzEQkl+u+ZdIE69j/dLuNU
FA11xS2nGeoBMB1veDNn4Y0Mu3oNsrn+NXFMXEP27PlXkxNm6Ay77Ne0VMuXP6BR2TbLbJ+TIul3
zDSKgyq6Qe5YuXsPPgTKvJkGn4nmWGJIRbC+d8zGATocVjK3DK0N/FB5l4oZ0suHDtmYQcs5a4Qo
2g4DuVF8MKnRRjbEIhXznngjMivJ/eYMMPsABBXAZdfVxfCYVn21J6FfafrX7UDuE0CTlKNTmm/s
zFmbKzsDutF/HqalKza4z1nL+V5T3XbOlLBfN0ZggdrWxxkz50Yaix3lixrmaPFHTVg39tJNw7iX
s+mEri1fSSSjD61rbJMxV4NZvQY0dvRRZuKSikwm6uRL3cA7BraciegWHhduhG4GGVNE2p5oH8PB
yB8AkrK16qA13/BEetu68s1ui+Il3I2DTTMHlRdEKTPeSqDEQYKcqm094E0nVc/WUFMlrPxxOOG7
KJItHJB6ROocELG1x56jnWeZe5joddYWKwmd4HqNZewcpFJX1dSRek2STJCq4ZAdQUo5/FjJVB+J
TQiD6IbXRaPr/vTzOeBz2avuZYVpq09aLpCDS3eD0yl0v4lJENkkyr/v1OjeE7o3Dgsema82FVh/
zWzPmVJveaeGJyD58nEBeoTnq4f8vORBvg2IrLzDBTbHBRnFLiwadZwzLnl7JVQCtZMLxHythjbc
0BffHxhmWAy4g+lMmRgIGvdF1NDpyCLDd9PfhMP1nVVbE+0dlV/+Rt8IpQdQY0etm1Uka62kZY+j
F9eOPL/z8i269SfwNbi8QWYDyEpOHHF8sroyYz3S+lWN7ceOW1ry6NZg7N0o+VXR/5GRqunygzDr
8YtjE42kWnJrTBHFN9q86duwy951RkHAMay0I+76vovPy7AgyzXtXP9cyVmshq6o3xeQhgG5wjB1
vCtaQ31W8UCNXReqNt14qnaynRpoqtnVcTDfQIJW86Y3fWXtBo069mmmTnAmyr0aFgwmvKhzq45W
TGbISfMLES7ZeT72Mc1DxNEvkIySZRJjJj4KVHXdpWPWbFvTrt/72rdPVjcXvNQnsz7NcGCPls9D
M5lS/v5yyaq7fBn8W0G1R7iha4Y/rVv/bnMau08MICxkFm4f9xyHnR5FtEeUscvoO91NyVoyW0/L
MavH5g0SF+5IC5rUQ1djVEBCbAc7fDtkgQZzGj7MvBvMGzZwrnkbEvSnQlA09XvXF6G7xcKxAFjy
KA/5m6c0Ew6CjFLAc1TSpgI4LZaXokcPW28kmR46x6ZYxAUjBNoE53d3GDqzOQcItPgfCZnKmKCY
rYTNa20to/6JdaHI+gjfffXOKIvz6twt/VXdLd5tS/gHoKXWtbEfB8XizTG65tAGorhbm+umCKsU
WW3ugvhZskRQulzzxkLCV9x1btFiwcDU626DWevTVK+FZ6ZWaXldgm/nPBKZFUSixFZA2WKgb522
m9hm2G48bKu+838ZqB+Jq2Ydc6UiWSqLSYY3Y/tKuVVHaeuPb7Vl1Lepx4R7G3jIHWMUOARNqYtg
olB/9Jb6wdrIO+kwzN0D1OX4MHiFTYEip3hNQUXAhsIK2CNGog6xC7g52rHBlDeprWNmY8ZcXafF
2D0LOUzsk6ga+OSg5+UkxKx0X49yl4vaWDYFGNS1A/98Fac6vR588rzQQ0FxmtqgcXfB1CEDMQp1
CoVAyswLiJ4aPmcW/srhvHVClLoRsJYv4Mr7PkBXJrj/zQr/wqEabSY3pF3ybstznK6+xHW4VvHA
70u7f/3PwfF/c3C0kUQzFP/XB8fn39M/mnb//jv+fnIMbWxLIRyAxT3G9yF3/uvkaJneH+zbyfJw
ZuN2vyIJf8IXHoEoj38laP9m1L6ak/4+fBfuHwGhFM545iV1BM3x75wcOW/+4/nIsuj2FFw3CXSY
kEViJX/+AiuYyjB0WzNMHvmoe9WG4zMImD+DSRS3i2W0u9Sw+mgqa5o5xuCmBwv/SeFF+9Swy20Z
D56HmX4N5grLjVMPtKTHthcfdJ2n9wz5jHcIqToKMX63YNqxzwLJFUl/X/nubD84DivMMjKqwvIR
MXWBuA3BJGqK0HiwE/NgLG4fGqma5iZoOtOnXZyKoYl1b6gVlXZsy3KH7qnEpOyiGbuu/VEEFQ20
kV+VhXVOw8kTUSvQHuz81HT6fYqyujkrJ8kw5tDyHbAGncRMjigr88U6+/UsXpw56cniLLUFPKEc
Bu+HQPizexqyGnNaxNrPz5/ZGdIdAfItdcva2K3fc7Z9X4mXM2hdRD/RDNGx7tdgBP26peBUxhZd
8SX0BznV4gr6Zh0Ve5T4xLmFZm9UfPDsNUcMvVtwHAdbLAHHkpKNN9AMxXi9stURV1RA6VXgvlHY
hAPCTlI6qbKnhM9eflhDftOKqj7mYnzJ68w+5GqEJijD5MhojMNMWybpK8435mQz1mMI3xu6665S
IN1XRkmgF0UPOIhHPqp0iEkr8T7VFK8dW+Pbkrv9RvBBKCf7lEzyhQs4JoXQwpccOB9JVnc7O5bD
E0FVDAos4REHihfDpq7a9ZvxAOfvo2epDiIMmQ9nL14hvmsm/VcYRscolMntwrMc+7h6q8v+XOq6
OjKBb7ar+W9iphT1c4NGrDGtfdcu92lSYpoU8qUxjWw7dEa9k6X+7WWVd1N6S3w/hjX5IpPP2JAy
n6inb0/Ogzw42mFVueg7kdseC1M9sXSPOThjB7hGqdHdBGoUO7rGzJNfZ9m+mihyAY/E2Nq3wUc2
CIzw2s0+mHFO56mb513TusZj0syrUiz5zUGqvmNl+uSqDCMO9vgDoT1m/VmTHSvpeRQ0sD3nMOMa
GL+GvSLIfuK5kO6ZyIR75noONaxGeNDe+Lt2ZXliuV1vY54deAuHtVFiyj5q26mhuJnsJAn5kNAs
+21d20yiKpxK7kLxh2tiYLFwsEaBmJ4tPJhInuWLUcSnZSHeUfZNG0EovLp0+UU2OME5bV2OO42T
fduD2/0aFn+TW8Ss5egghNItvXfDbMprxPhIpODQydl0Qbu1SQR/14BA1JJAU7oUV8GtbLtcU49G
MMA4MskZHtmNAP0Xjmzu2UMi1W3jLrttYNX2a+SbWg1uGhsLivq5X+2tyrSW5JDR3XyuhqQjGGcr
/jReWHKJ4lF9DkUL2h1rfZ9TrUPihJdFEuK1jYJpmr/o9jLNXeI785nTS3UUiqF0eFC8tKaNMXsI
7wlzuuvda1TfVtuOWUQvV7P3pmFIv2eoLt5rI8GsyDHbZrwVdES+9S6vFsa/Ds4hS5fmFeKT8jBm
IDlpa4gDoRT+ZnIkvJezjkmpiM4npto1jUg7l/YLZobLCk+29i4OF8h2eqEw0y4/J2YSL37WTLdF
brzzlnql58tkTURHQ9mqM7NW5xb1vtx2BXm2ysi+4j7otplospeyyzk9cL/Nboif04MIXmBvIZ+t
e/DvH20hJLVj6AquG6eoz1ao9mxn9bUesuYR+s94gjP23wUs/jaRIRRvGQJeDEnK23ichNjFq1Jz
LmbzxotRBKtY9dtEKXVb9Gm947/DXfVi6VzfteuIFMOltvdxC55usApgNaXvi5SDfjb3x9EymZ7F
ihqtNliCaI69ionp/MZY1T06ugw/O9E/+JOTjlEvucLagfrpzXnJXdQ0dsLWJ6ewArAK2tYjZTXq
O64JYOSGMkCi3BSsabCgw0nlEgnjYJsEyT6mkSFC4nObjYG8WwxT36D3BimbB5Io1cQ8uoeq1lSC
r9G05JCGzhSZoyD7lrPSbCx6ddfOwcBWN6Df68pmRtBDencDHlGdlHTcyBs7NyIV+TgEi4hkUKPy
hexeR8bhsZ2mA0XE6KRQx224yplc2cPyc25qvTNX9HuwDGPb9Kw88rIGpQ4D0T+HWR5uGQLM23ZV
g5HoO4VGCJVmNN9T6/8g+FTvlnAcYNSabDPOiIwNx6l3aTWl+2Eop7Mh2y8tl5uCafuVNSEeX0Y2
VDh9qjtyn4xyp9X9bM75fsyUeVpIyx4NoNGobRhRMJPNSH4Qi0DcMEeDBEASFIjcgZH/WrAE0Byx
jrml+iVqKa9c+uoja0YuF9sc45s5t655DRAJzKgyGqX85iQe7qdm+QVPzPVtwXYe5dQ43cS1xWZE
5zz6ZZh8sNPGwkDM6D6WIt4gAO8RpgWaD3fRRJ6ZcA1wv5uw/e2orNgXLgcGPTmvJbfDDeZyIkoB
/6mlc7qoGSb13Q2OQF6Ryy3dZCiK+jG9p4cjfwhF3ZzMQCzXhDT5Nvjy11DG5paHac1TO9OvwVzz
gaHspyxDC62TifnCFPBc97LigzmFYJYy16fBKb19zh4NaMGoQKGW8lpYYtypeXFwks8ffQp7pIVH
Cz0Lu2hMpdyZYRu8EIlDyGz3SMqqBfg0Sn04Tb5hDV++VjJ/420v1c2atnlu/bXT2TaZtGMB86jW
2hhFmDwMuKzu0d3kb37uPYH2jpu6SG4dkgxHUo0JS6I0X03VMd9oNi3Oj9CVWPMQUHDjCHbOElNz
0MJ+8ZPW47xdWkZXmaeZcCW1QPY1Ve4WUpFWy8aq7zRWzaO5TFT1TG7wa5Q9SiRz+sybWN3hzjTy
ndapPuaNsklKeJqwTj7R4mY2StNOMm9CoUMQDdflFWGWj20Quo8jO3Rzw1MTIT/SSbFxnb747js7
oLu2zxN+pkD0NWVWnXdAtujylqmYJhy7PlyGzcCAEneu/dRkM+WJyrzGo5ajPQ6hXBNq8MY0XrZ5
nSabNrG/yGe5T1B24tNKcqPcLETGgbOyYTo1K3ERZTLNB2jAefo0i6BADTb0T8vYMW3k4UljtkEv
S+XdQzOiK/cV63c+DqajZSw5L2dP+19x4gPjid4nM+Jmr+ycHbbPmbvtyrHYUY/ZbJq6WZiMtH5J
m6VdP2J5ZAXKcqm/naSAczRjzKrMlAZ0412gyq2eehZyCDwOidXluBlH+AkY7F3D13VQnWccwD3i
8tD6RfbK00y+8hE3/CzGyXySuYqPZu5nJ9MdOfHGrXduK20AZ1PwK6PZG4uXREBqX2lEIZRnpd05
NARvCDb+ctdAD5wF+izYEwDQaHIqtuo6MXeL2XcPipXiqxkswxdRL30M+jq8qvNc3aH06n7UtttJ
3n91rraU+VCc5ZIk4HS1vISdIjbH9aFn+WjxhN1wTxqw4oSNjc6qaGa9y3LeD1cgS2W5C5DA/hjj
YPF+JtLIlq0OJj5ZA/AM3ogdppi585iKOtLxqKKQKR7IEYlz7Q9PuKjJHvdpZdwU4M9vcelWe7Tt
pQPsNxUndvFkAemZCiLHkehm+hJG02Tt+6D5pcep5PGKjeqJqXDFIawdPqqywhCa+vkeB3xy1VUc
SYtKt8SMSl0+W+kId2f64jAS9b3O2TbBfuKSrbGObxpjKfqItkx3P5JefSDjSCWeS305caVM7nRu
DddltQwUNuXVkch0ci8I5uIq8/OuvkMUM7lbbHJm60k6wAjdZl9lk4bzOlbAsNf0Xxw3s4CePOm3
o/NUK3otyeYNcx34XX/Mw7QMKRNikniFVt0g1JRbO0RDVcc6OeU5OgXFxNHJs48q9dxXwQxl2C40
SfvHTvJe/IBAi7emgXX0OtMaDQwv4S7fMT5FgSQGEkbS8Kn2SFVXX2tlNMeB0fPj1CruAswI105h
MBTM++d27JoTjsR8Oyg7u25yN9vEYvC/y652Pk08h+yrM0a2h6lsnnsJ+vtmWQ5FZUwGbxTvxyjo
l8Xden0Q/K6DJjl6Q8kR3FJAXC2EwMuSU9qceTydd2FfyH0v+uXd5GB9NWIuQFta3NY+HAagwXBe
RKsemiZrfqaTUz5CC+MHR1m4ETTybd3UYiJtpaW9g2PAUIRacWO263ROshDoqBq7dZy23Np8jT96
TpE7NU0ha1Mr3yV81nE4b2GSBSXZQ+GfjKZCAcfF/VElWbjvpCneXWdyjqXsGqA2nkwFLTKRn9Xp
IUtsve3qNaCawelEsk/HjyI09KEQzp09peGXWXV3OBxR6iqInEaI+chSs+UoNSTX1IQHpBLJ7O14
3bRsbPGxtzOrGixHmPatPIPEjUvI4IKP8Xgy5K+eM31Uh355NLLY3gKRjptq9KqAMCO+ZMM0ZmaX
tr2vY6pEqtA37pS9zIjy0iN1s8UNrl0qHJLKpsx5NC4a0vR3Aw14E8dZxoO2RZtZM9+X/Vpa3qB8
LtJiw9Kj3HVSaT50xvkhVWZ4iySJiVyVeUcJeb4TBXlos6/rMw2O90HAnK/vEZuQNkjee7/KtxUL
WsnBrg1uJYWhwBOm3FkFGtG8oNLjwgiydCAuSpKjfDOa/q21faSrOjjQnWOZ4Fb6C09vj3fOpNOv
ZBRtcfHEIYWqIZoq5KqzhCTL/YQV1FK8I8VJd5qfVkTy7yeGl6s0oRRlaZm7Fz+hudfX22DWu0FV
jPcn2955GMuiAsHFOc969132UxyViUlxGaVp5sagZKSAh+QzLwEEuoaMqHi19P7Bgr3biM7JrpH8
yXvmD6a5HRzs8DvNGg7tH+ft3NQUjqzjH3C65hTi5wZN0nAaeWD+HiuuaLnK9bF06PsejVY8oG9k
ItBQ75xO6kwdJ5A2m6gzc61tms4AUsDcfAAb8sxeRD8sMk32SdZ+cF/jKIZjl4nnkpenami03CS6
n1+1YqTOvOfGtsv4haPUc2a0INGd8q9Sj2g6BXgcHGvaJMalZfo+GN220sOv0GpvRmu2ozQXL5XB
I4/dIzICD/kG8orgNZ2IgNK4QbzfDPRGDLH7vNRU2bmLFFfVnF5nRvWmGr8/zn361HnWt82TdD/O
nI4o1GGDUgsUHBbl0LpyviiQ6rZm0tmM6MuXiWXxd9OUxrKHRfNUxNSDw/dE1BdSonwMZpT+Ebg4
eosmoP/OHCSRBq1B9ehJemwtPN9REcQxYyc1jnu3d+aMw39pcceZXLqq7PCx4oGlIviI2uOvRwcl
7AHcO++EcueZsjuLiqPkkrFLm5N4y4+qAYnL3eZOew4Ha7p6102RzKzIEwSldzrA1r4bzLS5JWMZ
nPgH/pWsgm+RiEcnr3l4BBnWDurwzrPLhyvLt89YNkN7kIZMdgRbncj3CRq7xXSm34+EgGm9dHwk
MQ1H4TyIdRbYVMlmDgcwectbzQholuPMcg80UjubpEdyG3lThy4ir4ejr9tfSbCcJ17wG4Kl5kkm
xk0c9px1ChK1eetTDq3VfrSlv/OlV5wbl/FfG0JbUsHY0gQz0c/ltNddoh8wEHxB4fCKj2d3F07V
Q+s01ZbBjH+qHDAu31ApZUO04/hwonf01r1mltPjBzXohoYr3SSFXR1Ss0l2WV1a5DG5nHXu0KNf
SkwmF6qOTOl+NWMcPgyGyRguHjPcH/MvmVhMztRs731JxjhX9kfsautpDKgK96Z57DY5lSS/3d7X
Tzz70FR7Lvsxsx3OXcswyrTyjRUbzg3SXIM5S5aJXWdKeQy96sZRRb+JF9sZtiIbYQn9xCr9KDdT
eWYXuLHILyPZnpv33qrrNxc4oVxXB8unFGk8baxZGu9kfro73ywgYPnAg2fyqQYNZN5d+8RdNuQF
83TLGu/ckfHY2eU8f3DO4q2VNOV7llvBXT3asEwqHT6NzPtOOmtucKsY/bllDP2wTE68cTOfTE6T
meOPYHKHeyFSZ7kFea5xr/hlfWAKWmKtUHYDVh16e5R9lr/1ZDZtG5GxzcsWVNdZI1LuC7FxizzY
1RuXD4NjFuvnOXF/cEJwn8ir1SzJZ3XkfTDvIJYsLlfByxhgqGPPLZ4Ss2g2fWrfBbB37+VUIT8o
42Bj+TSSbSm6ksbVKDjUXBcUCqED1+kVZwg17RMPxzjyQG84OxRmLZGnzCY/JPE4rUOignoeZmGc
aUoi6jS7sM6nUqBxN75Xdy9d49Dh1AaBRsjih6ywTGZ8c5PHm5nnAvoeIKnbEdfps+Y/QDlVOyyv
gySMw9s4ZmjEgJrOzGrub+yhGa5JnXXtxmxGdRjbKrteGmTjWz6wQpa2Q8KJCX1vZAms5nzMrych
njJvpfT8X4TwSbPJIVdHUlOk4I2p5dAaOLgbEgOw2gns6ckdGsXwyZSNRx4cPUUjjPAFe3vy5dI3
ylI+ARjdMlObH2epJwmHVma7pZ1mxNQ9F2+EuQXCArMkm2I33yPHa0qj2oeZMj9QBw8XAtrYrdsM
4wGOs32YEi1eqRurJvaXPLCXzrUoR60xXRetDh57+io58XZJfV8shn41nGw4o9dnLkMkJ7jpZkO9
ogMyb81ynA+iCayQy2tvP/QuBWuhEXN9QSIbXsE3i4+5oL5P9YF+EsJmGEoeindpXfFYjUo3qIC7
+jTdZm5PLwCheT6xhpGpYGRDcOW3TPixw2D+ACzPUVu7e+WNLj/pEuGvQm+7JaZ5TwyPZas3N2Jn
M4Z6NqmAOucOj0oqAObvoimtt9jqOagtnkKmxYDpNg1DlFNJnrWvw/9l7zyW60bSNn0vs8cEgEQC
yMUs5nha0RelDYISRXjvcfXzJKmaJo+6qb/2HdHVFSwa4CQSX37mNa4sd6PBqRuWDocZW2pDsRNv
zbBN9pWBQAX6EPlZE0yoPo6YsVWtm55XVoECRupZ5nm5lOM9WAYoc8zj8w2YEGftoiFKOOnQCU/r
6lLOo3/IIyvctsNS7WFwOWtRpewSoxm7Cz/LxSPdW4NDbKzuTPK786asx13fkf3TzvTo0hjRzRwl
A1DHEOMAZhnrsGrzi75TP4zBsrYEp+DgRogKG/Ni4ajKqwG6IdrGNTSpyPKvislFRWiWw6kLMw6q
H2wiBzgEm0Z5a/rNzSnW5/0Fw+P0HFOT74U/WdshwI0g8ecnWG7R2nbgwgdIuEcrK4D0WzfzgxGL
YOc1VrRF2FRsDTb6PkKaaj00s32Stihnrcu0AIuqfCTOxWSh0Aqrq5Mluay5QPjMHJSSu2g5zM3k
gtqw2v7Khz9pk+hl2aaAH5jdTDKKN3PEYZPIFApnCgj93PDqzSgZ39Bjtcg0ymhnpT5ydsgWyXTh
v5vBdSum+cvYwQmwh/QB0dBHERKspVFsY0csGzolT6pAG0SFDDxG1DnQLcrMDYI35c62UucAIHEP
7RYBL0b2pSPlWvUmRtvh8kVEsVhlSf1X1dbJlRv2h8CwMR2ou/0ALuabMTEGsYXxiAiCuTMXMuSp
hldZMapfTX7/lKsEMGuPGipUGbzSS5+j3dKFYJQZX2AMzbgl29FJjdXWuTMYz4Bt+4vSLhowxMD4
Y8ZgNHqU8wiGpocOOJ0PVTWdNFn937H1G8v/D2wxoIg2M+P/PLb+a0aqpAjfQx5//c6vwbVlOv/b
lMhJYhNrmxbH3b8G15bFtzjpheZ+ifekMa3xCY8fnJ3n4JWpwXa/5tZofCqtmMvUWsOPGXn/k7n1
kWiA6Zua6Y63EGhHxDAEI/r3Q2tUoyDpBPV42efQhjP23fd3q/FvMIss1nvU4G8XOFL5aCaR5dXE
BfyEdisGBb16iofLWNHTev78UvJoAs/43/eBlKLPhCGfI01to/RuAj9bLcrJmWNdJJJhSoJ0imEL
E0A5bf60lt/aZAr9HxE4qM5keIiJHbbmaP3ExakpzDrMn7EA8b1QW8lEsO32QROae9zn+p8xJlRx
ft43Tms4Z6ZbLSdZq5KgufMTc0asxCiDu7nudokdy1OkNq2rpC4RRJ7xNITtYCOZzmSjoc6w4YSD
6BsHnPBI7/M6Sm9rZYdDA/O8GDzI9qVPbkHHBAhQ0dvYHFTx/Txl/VkW1D2DkWHOxh0kvEzkZx4O
bxtJ7Lz0cRAfvxmAAsEwhYxG/c5u1gBxHfGFwFEtZ0lH/ng7Mtt1iq3A10FBVKDtzURa05vidv/6
RP7LMf1T1HCAKb/bvL95kt3j2vohZLz9wv8PGRBMoW/SMnctaX/AulhEE9e0eWFN9GNNh/ftb5Q0
KuyEF+uVfPorWAgPhqnJ5pUWEiTECvlPgsUr/PkdABmZHiUEMiZv+Bb3WLKHtwPiyAyKUAFGWGh/
jtU878A8qoc8RzY3nSaUtIYwrM4Y5rbP1jzH2GohIDrX2Jk3NWRsMHjTVdL36MDG1nQTYYB6RW7W
mlBJoXQHfkp2b/Z0SPLcdYLxxvCwc6fhoQboX/fUVyqnn5mD33JDoLb0oLLA+KJyJpunZZMwn1jb
MM38Fxgkc9wfRqRXpuEk9HoLSlPgTUaCXKZfD7fVwCLfGkXp0c9HmtvZhgk+ZmesJa8M3hTT2uSy
FAcV71SY2yHAXmeZu5smd3LgzxmyHFrWoUZpXkBqdIO7Ireju6UrxYEPBdV86Y3vY5THxAmHsqLK
o+R6wnCom5htLBIiOfGof1IWbotNm8M5j6loUVNIxFqVvOge0qCLZxenCUwYiZrGkjI03o7AVesz
m9K6sDDG8qfLKEwH42QaS0ZK8DRChOZnq1+YsIVpouezlbS9vR1jN7MfAhPvlQMiXoGFal8O7CbV
bA14pBcVpiEFTyGXtp0PJ/+NCP8T+JuPUcFnAWHzM3san5qf74PC2+/8igkeGQGJHJI7SPygIqQF
wf/WCod2TsMYbPgrbUIT0v+Gvykwbq5NioHXuGd+4J6jWITQtjRpfNivxPR/EhksdcwOUCZee9Aw
TAuNJEWI+nj2pskQAbtS9WF25+ixSzo9qqoEmg/AjMr15DV5t6vq+SqDvKSlKoc12Y1C+casGCLF
cMzRorEeg7inYVEA6FnHyhx/Tp1rbHz+OEbDGJ9kYXdV+AaUsj775sDqQ3wornZFqFpcdsxwi5AF
Bz6LGB8YNUno7GNxPmG1DPRDdiNDK3M5QFIKnHWQ5M0p9Ui66csAFQiPTkMX0fJHIKg5m2pAGm6O
y54xyWQPBhi5LtG41Ym3EEdKJHpuChU6p5C3IMnWxmOc5cZdiLvCyqmnYo8tarilm4P4Bp1f+H8t
RejUXmMB9SyNlA9Jq59Zhn3t2HO6UyrFuE4KY5WERbfnpX2BPxuPK1OBUgJsgRNQBeuE+Ui1qxeu
Hg32tSsAOcQeI+sSoDrjp+vY8u9QMrmgGMdVcSpuxxq3iWlEBSfDxAk8DMwF28/Pyzk/d/zqMcip
0harm9D5CL8pl1l3XQ6rTIjrdE6/1XJASbUsb2nPLV/TjHFdJSjeU7/qMbCZURwEOsUWvJtEANKI
NC8NXH0L2AxK/rSqJ7H3mCZ/EamBUxf84duwVdlDOffOgwVhe48xHlYYYSB2Ll7Hq6Lr4EOa+Uu7
VFem6yyHwDEAGs71U+lgdFtBDWCyHtiCWhrKGDTXq2yUByaUzEUkplLzEDWPTurfuW1c7ssJcVir
nTF/DWhtQg+0Dqp2/W2T+fcM3uCMOGK8D50gPHXyErawF2pJJRXQejPpba898O3XHfI/l3lcYwA4
2tHkYwlbL9ssKm6FYU1b0WDCsbFLcdNmndq18Jw3QkTuGu1IC6j1EOuqDnJ2PiFR2dS0AU4YSVmr
MJ7LVWJJSAH+4Ja0jKf+LAxpTezGxpD3njPGZ4AeTMD4yCC3CEExMCHR3EjWstxZ0ILoL2LQxEAN
aZyTMjHpv8ukm1/A7S/G3sdrLniZlTdeZHYjdLfLSbcZcKJmZWUhp1Ji3f430P9PAj0Zw6f8OETm
2vRIY07/xt+pn63gutmEct8TWiWQwu8tzFM4ErGpCpUtsYN5PQB+hXl8JASdQ5JBrAWEtLTS/q8E
UPItcNN8VwjPoaL8RxIj+sx6V83p28FGiA4hryGfk7PlY5T3vWHO8950fkbmUiUvSFUFSPmOo23U
3abroNw8JFmIxkQ7U/et23aW8scUZFVxDv63rO1dZThwPvBrNujjoCOtJUb9LI2m+8bMDTyUG6dy
FxeqAz1LAzjPUGvmXdbPgO7ipEfRH75X5THONGnS3SMiiWhjhvYXPT5nVrGNOWOPUf1etAzFEN9C
qUs1awAZBrbnxZBoDBejqIAG9bsT+9+UupY+4/6VHgNZoVDX8xz+IUEEAfNxdZjYW2XXLvJn1Y4D
kuc4sEdZukIiS6QXKpSKS044sucvNdT7+Q6BGZqcaztCvqyhsz2G0/3nt2T/dksewUx6Dn4hrsBg
4+iWIEEBOG+b8BlLeZlegEAN09PF6ZH03keGG4/keZjIWwl8rgqKfJpMVapHHVAIn0rAL3W98npJ
yoxWWGtG2yUIF8AI2cSj2HaADBGca9zAmLZoLtfu5bKk4A+3OcKDsl7RS+0BuX3+oT72LBzyGL0H
FdUPFFKXd+HjMgdROsWYJBY/zRGs6a0sYqO8ybOgXK4+v5BG7L97nlwIyqOWCJXWqwG0Xtz3/QRq
c7W4U/AseNqW2FZZkDrmyjZ5wyfhJc4XiDCScDq7MsPKtcIebrhByKtIXj6/E92GOboT6dOr4BAQ
QBZdvSTv7gTD49lUU+I+D8BS3UsJ4q9j+pAbIE1PkXsDz/FPF1nipEEoEXSa0BLSIer9FQ0rNLwS
E+cfWV9DtN7Uc4U7JSjkJUAN+/NPpzfhx09H4HLIKdnwNDV1h+z9tZhDZRinS/t5skIQjD9tqp6I
UXQF3/EUJwy9xNns6prx8wv/tpMke8jV/wNgTNAl2L6/MCbObaOStP0xmZBrF2AEmT/cBEB6WN3P
L3VELda7FlceCLCk2+woddycSsrSSoE3588tkKPcOwA4KO4zZMdreBEeE5/qy6SWwCQxi5vCNbdy
iNLlIWm9ihQSMXUgUStsPHN1nSQuBBnAmgUCS+kQNv586EfHQcn285v+7cFA+NU6V7ANLNP6rd63
VArCHceQH/giNtxFY6g0eRms2ZCPJWI/dPEDOAVd8KfF+v3B6HrCZhJNX5Jq/ShsBYZlohghje+L
NCwbLX78l/t2jYdM1JgwVRmWZYxqndR7wlYXoVzGEU2jqnVuTPZwF+fLSGM88qel+x6C/VFYQrr2
fIaQtEMa/odV8o9fT24Q6xn9mtBJ9GnNftxHMkSmPO+b8nvkxzavIkOTbrlqmb2zqZYZmcBhr1rm
R5eGCGLeprZwHA6DwgW4BdwndcL5BxswT15cQCT8hThAkxwDFMspk5e3AOwEFdFFTn3oPrYQDgN4
rbmXslMHoEA8naLpXI7hQjDED3BuDHSINhi0cUGb9qF/HaAuNX1dZp1CrIB8gHaF455gtrgyl9it
k53toMI+rlDTjrXCqpPkP92RxokFqzpolytefyUfixiiwEPDKIp7tKpEFf3KQhjskZFPlTCLROx8
eVg64Q13Q1O7ww2t14yfjYqECLKKIqayaH9H08ilc+YoaDgkojJ40ZG7LPkwJcQdcC1zVLiFXLVj
YvOTuL0H/Ejsem3u7uUwRd11x5ybw2yuqU+6ddsg0z9vk1BxaYPhPT++MNrjanREKvdSqDSuv9Z+
jNpI4Ax1fJFhSTDvR6udijN4BnN/2k/9xF6a/EBHPhJ3az7zkUrnsDSDTp+ZtR/YvG2VX3ctIy5w
mUAHfn0A8u6IjwotW2mOMFN1FlSaBduvnUIdxLLcM418SxHq8q/Yq+Y8WbcV2IC//0Zd1ZjwiDiQ
cbRmy5WMwkW0SNagFzE4qMNURQRHuLt8pvBtVR2syFk5SWHGD4xjB1yhyJreyNZWpPQVBV3g5GWu
ApdlqWav5uMR6PV2KdGgSl5EWhZsmiRwk/wG8heWwDvQZXq7VBJFkAKoulLsmtCG8jKvqT75gwB6
rMDbdWGX+uLUcLAw+VHnE3yndTnhwJqtJYHRCm79jHZEslm83s/GE3gJAzNF2Kc6d0uoBPnezGxS
f4hEYR1zUWMTVSBBZDT6uXv2QBTYNmgM8WFKO9D7t8Echa8QuazFcKraAQmGTTmXDq9CnzBhSXjy
uLmQh9llxy3Bh9AXwlld34ujImSb13AOeQVnnzZYuRGL6yKqigAyt5fksa/ztmDAq+WydQBPox7j
8MVaISHFbSUOxHysWoacFewnCL1ooDLD5C9lpIDOgf46Mm47MGV6i+rUerir/IL/ry1gfKCako7Y
QOq4kGVQ7fGez8286OARMe98SmrR6FfaQUu43DQmRXABy5W8UcuiWGK482D/sQogIKp2PqBe0Sb5
BcJWCLBvaxjW3B/z8l7varAuDYJaqVoseQBqKqcG0/c7hYiOGja0eDwdmaIsghztmuixwhOoxK6j
O4BXMXsbY4dwMKvlSs7zxPb3W4hGYDuBWc8FicJYggKW1KYQiVEErc21GyQi/lJa1OwtA9NeP+Ei
HmZYZ6D0W9qWcWtm8byiKdqV7XrK2tYYz9KgxQGBoWrLs6kdH8YgLqZWwYcpgmQOy1uFDoVTXJZA
nyefpmmM3/2WQEy42XYiTOaaWTnUEMAK5O3TsApsyFWHQCS9xK+aFq+Tuj+WURpoGBJsZ00IT2hi
I8/ZRFMUgdoso97y6Nci28zmgSuidyLgjLrapXOg9yWc85Y9FIgYlYgzYAEL36vtoW/QhpOCUNnW
Bau0yVOeR7GaTMPq68t2dLEw3iVgmnlKheXg6YWHJ2p0Lk0TU0fBnsVn55oxWP9hZ3YVQDEgym3N
9zrEQIhLqUlD4Vp1AL8xo3d66PmrypmYMZ2BwCU6DKwi74Jldy0baqgbAYmCp1/P8sxHn9A5+Mjl
cePRZPRc2rGyifsnXHIcDVhYcMrnAViSdus7mT5ku65HVmo1uTJGCs7zGyBsCOZGhoPG19xgfk6I
ks6hqjvMvLY+VvfNCrKhTrE0xGH+kfs11civOoSorxdnpINVqj3AW79W2zBKRmGc9MmygMSlVRpu
6mAsAqb64Ohvg3riw4PzRAxwO8yjxx17CXAOhJfzyOPFTmh9s3n8mA5+Cg/9dVvn8ai/NzulYOMu
zM+5c7c0dLhvDZ9DyzLYlWIrvEY144pMNDR5P40w5s2FdYseBXwSywPYFxN2N61COhFficWa3W9G
MWbNrZlP2R1EdAVOqWmw/Tx1UXVId2459NUPBgC1cdYgfgkClzsV67JA0esbUmXuskvRjMienSRb
mptcI8ieRhTPxi+LApSAw2jWoTmL5FEF6jrBFJ6umSOclkbRKKH5NzXjEbhquZlb5yLjWEVurwMY
XfOMGoL85NdLwik8oGICgAjFLlL6pRlnTBc8NDjUqmqMufuK/2/v3LpZNzuIV9ROqgmfmT3j7IG/
UGRpr9kg7GBQcpJlaw9Pg2XZqBj7o2YX0OAtzxD0BVzldunFaJpWtRuUh9ezJEFb7kLQKSUHn9sB
a0Xd118JvE6t9QxPD26OG3at2hilrUnKaJ6iOSGz8ODZomM2ao7LGb1N09xbI93TXVBNVgH238sW
wIGBkMZVhSy9c4/kDHhwBr3eXNVbVZrTdDd1E/QyA0sX48YxnHZ56Ap2NYQA123uF28IIeVlnesh
xwCiLlwmYLNe5W4YwmTpPoi7ZNotAIYgRKq0FKh5IZXYwmC18sQvniPGW8O0AX0118ixS9GDG/aq
0lvZopWMnbugqKW/6RHgQuElyI3UvUQrFYFPeKkVaW30M/JhJkMGKv20t8uNJSE2uVtXdMIILxub
D5Nc/cq+zTkLXOtmhLaLk9EIi4pjqcpFXsl78D5V5WyqYGyCgXyKjnKKzIcnycYCc+SFaWgZsv8L
o0FOet+IadDHiiKQ8HLXvk4fEXobeB0ix9URLmecQCiJ8UCzgl3CFDqEqCbaavTPUAQxSEllVEMu
u0DSPOGU6QoZ2st+9jz+5q6Xpc7+3DbVlYPHvIC7nZnbIXnf13nsPkp0ebgVqzK8VO1pgdJrABQr
CZPoNpDZ+ynayfbesSVZ8GiSuxkYdY0VsSzxY31oBMYYAOUSeSvN7WAV7iIOyrEzUqLCpuI3TvI+
N/mg5CU+/SYp80YHxDyzOaNHXzikJnD8OhaoKjx9cvr1OHGnTRh5XBv5Ca9cbgdH1nwP+duJP2Ym
ZcC71MqSccAeZICOk6njZfyInViKOyqCqkWbVTVK56sqwLzvwe76xv0+gjMsdygSesV5WCYDxyI0
fZ1LFZWnU5ZIdXqNurJwO+ulN9o5VZsRy9A+W3Ee0jcAGA21HvCT2UiWnxiOLtEW7RfaPS5jRU6p
XycYPoasY4qDEhHNVaO+e0sEBgtZoV6iyv0cww56yXqDhSXMABqo1n1rwKI7/L0SKA3CvugrsZCR
egWSPXclWuSQelLkZfwMZnemt2KMWDE1Sz4F8jFrLG7m7TFyYFrWA+Vf3935dTDxiZHbtXhGfYtM
N9L0DDNhDi5jYgbq65B6MkkPUeWG+XjikI4Od8xEdRZrLZVuPjUNZjrRCdZ0OqkwO4wQxtVoz7qQ
992azZLTr7OmdTyajddtACiTpYR2oLP5oayaRh4AIreDfwXiFnk/RgWeyf3AWtHvAYq/Jh91SEky
77Aj069InSOsdLkUiC632wBJLhI1K6M0jmtcALDcDlDLsve17WXk2eHb6RoNQ8ihCTiZRHUtREUW
6DJWIt/sXL0fgyxJyKzRDKbUDhav4Av+u/5prZO8XI2Z73FcWhDmOMOiCBA/DVUXiwqSeVHpu317
PVB95Llg51TyUJuWwJefiwnYx7fBH0OcKQANpB5vdc1eyNYxvFbeMwcqJw88K2xVXOSjFQ7dJsxa
3wIQ2uVYqW8QeMarat0bQ861Crifw51ZDVhPJK2lU2s1lJR8oafi5mlo+liz51NArwSXeXTEuTNa
XVpASESi8CU3bV0EJpWkYjMtpBR4jRxFeknhyXPuZkR7z8RoUz8xF52nYT/Zok6fhsiaWJTgLfNp
QxMh221b+hiS7WOkakkMflXEPqqJJAZTGDLO30JPFHwVUrM0W3QnjOkH3HHED0wDu2PEpauIcoQB
UtgaB58ZZn8Hs0T0xtoYLdYfCXtddHsumGQtL43WBrhF1ehEPqyQBLsL2iDkqXU5Dd1yM/nGorA4
RFSAHEXJEpsAkhBiwGLV1LwntVcVIw6YQ852ciWXp7UXLDpUVsRk91B5csIvoICyTUZj+RaWBXMK
YfnH26tXDJlOrTIj13RX7fbW1ptuGFq9MYpR94+MQMx6S6KhMhZfTGcCUsGCLLrilsroWEh01PQr
TrUcVheoUDokr/OYhPsAnnN/7U7e0p74Pe70UA1tagoONmjQyHFPHaSJnQubnj+jHEQnFZKghc5E
Ne6JODO+VY1TirokcMZksAhSJPw9XpV0ruxsC7ZVV4FvhUUWALqmB7DAPYJAWrszcvidv1DxOoOf
sNEpkjAMWY8IXvJIY6vXt94XEyfhFoBD0HVbY2LIdeFVNEf4QWDuyxW6lzpgdTxGAxR12jK6RN88
bhcmAxHqB0+ihL6ptvNb5FDojrCGyKHpXfl51+jf9Ix8eoJKMNBBC/G4wepjPAmvIRu/T0Gn60xN
cY3kxmDKmalV2zd83j9c8rirRpvKpzzF4cuxcB0/7rPOVVH4Zoc3iHQZB79kb1sjY5zO0fX5p/v9
UtoKSTtrMzBiNHXUWbWRDlsGuhPfYyfQ8al0HTGQFBKsiV2fX+u1G/i+f2zROvYsAXwFjfjfp1Kt
iezuiPvM90nkPYVMH+U4q69l50S8hlGTW5yFi1sSNPrCkS1NlCFDPmpddRASLulC6MmGouTVsect
Mv+afRRNqEsENHZazgRYeyNffX77vy2VoC1MYmuZqCbj3qS//663PzUM4MPRk09YfE7cBweULgs5
XCmhPr/Ub3tO0BhWjIKYBKFuedzvJo1CkpYE6klFPvr6h2D2k/HBWjz9irhBOP5xyx2PULBQ0pqd
tuSa4IWO3aKauhV+SP/+CXyVjlHdxMt21cdE9pvQVvrMChT5PsnEzNc/UUwwmy9Eu1y+IY/+o4Dl
8TIzNZWA5vRUldcNv4WPyzwC0x9GFYpv9CQoHecookvlYydEBPxnq2xLQKUMYk2Pq9EcO2peI1NR
gwZKrG89yLL0ArFwXZrHCZXaYYhsnTV+fsGPGFuGJpIxmG8x5JVM+GgfffxoyNYtBJO5+dZgD84O
avATJcwRFGeea9DU2YSVSxzOkVp7KRyT+U9zlN8W12UTa5N3DyQSH93+eAdUiVFmVV7xrY7MOSy2
zLKWdEvXI1LJq73DcjUgq8yZ5zrQ39A8eGuKG7LTLa/cBaEfnYxvi5PjccUa0fqfeYtLMIlUCwti
VBwJbTqWfrvxRYezCyKXaUe09kapD0ssS1HUwyrF5MVfIRim+6+d19M8sjC4QYNmSGnRIReXxnZ3
EjNahpVQpobOrVpceggWRmN7VDG46+jjHJsWchuvFfqIhwVUcVveW4O+JbUnaqaprZOmBESxPl5t
ZPAqDSxCNmdltuHI+uPx3tCZtIcJJ2M0bVLasp8//+PXmrhng8kE4KlsiM3HW7unsohgU8xfAaRg
NXwIq06XQGrpdAbwq2X9+SX12/I+5OpQq15nND5YAE8jDt4HLQZlc1e3/vhVhcDCxBYhWDe9gAtk
p8al2SI9ESAkgIxLtZssdMxowma5vpvPb+P4kwuBDR+RU9vE8c69jr/fxc7CrYuRZxl9TUvan6dx
jrLBvZ2OdnNut93l5xc73uQIcEtP0ClyEcHwnVf4+buLgRQLsf9o229DXSXLg0w8vS2SpNKZ1eeX
0hyD9+vLXwfR54D/9Zi8gbk9miiFyEdkaBrY9xhlwxALaF92sHxpo1LpxsnI6YB3+ZLzL4+GDfty
kkI9UKzJxn9VEKAFQ8mj5/fVKDLyUGtBw/jOjEMqlMgjCICETyLd1poM3QbwO0Qno5PBd3WbGB11
fnowLGBNiMdJziIgSXpSBKlex2sKghTjV/he8ZztCkSYnIvPF+FovVkDRQln8p46HpyK4zWQMuxU
7vbTPY67+mTGFle/csZYUjl/fqlX8eJ3+1k/U4KXC+DC5VgUx/sZOiE9VcsJ7nynfL1WL2mdalis
PpoI9YSgt9l7BkiHVUCkRXdJf33VDJDt0eoFWi8fpePpfia1YEWks/M2oKNgpElvLOctryoif3GV
pyOAxZ6CaYsuAOVxvBDUht2vwR/TIj1EMrLE5t1ZfOB/w24oc/3AF5lwFeN1Oo7ChL7wYNEBhf8l
I/0kE4usBWPggcBfbrom1o3lXyM03kj2bsLMg3MvCOhy4F9jQeor/3De+h8fHxqNDpN80wawJDkL
f2Nj1HyCwTer4Ec2CO8xaaBy7WzGowcX6KBDjz/qdjDq1dmMvEqwqZygOOR2mj1gPWEOKB71BUPT
UKwUjmftyo26+j6gfm2vsqkdojVuOdi4qeQ6Z9T2Y6icFsGiBjvfNbMc98sgg/IsMuP2ghMp0kp9
0ZBuDEwD/lqYIw+nQTMmEp8eZTobuoYIuC0GuMMuw/ls3armyuFUSndOZogLb24GGOZzvWUmnj1g
kOGcZpnNlCDRjuUcIiMjvM7KvoGakGfzBJts1S+1aW1E1Xh3NufzU4XzuFwFjRvRwgixCYfNXdyN
nugfYoCC4KBMwykg8cnqa9qr9hkbiebWddqWtCjoDwlyhDvGBHO1LpgXTetpVDFit04+nGYFumGj
GmjYREnyV++7Ll3zoE+hkTbl3QIbekP6aYA6NQxnDX732ulm87s9d+03y1sA1veyX0eTm5+lXhtv
4WTGZ5+/ZB+DNRuCsTLBTJIqODaJwlFMK2n/eDhkFs88r+kK//gi3bpZ2QGzbUz3/vOLfTyg3i7m
AZTTxzw53HFGgqE6qV2jimfX9HIwQpN5h3Wc3a7yPL0YHKFZtGGZXzMihDH6+bV/2/mvHxOsDiMb
gvgxDqyXrUKAvcmfa3S9KjzgqnTa5QKa5h+Oide/9K+w9fopHdsGeIBuPQfycRE5IRJmD2Blnq0R
cUzyD44LvJlyK8ZDM/NuCjsPbmLkcPHJzKSqNmJAVGgPkcDdTFkH7AuwnvulcRt1WhhonXHeomtI
X7GD0UHyYndFXq3sznKuzSEpXvJe+OcF7dnrwZ7tv1RCnbpCNRtJdszqv4hcsY8NL3fp3qTM4pCr
p7HWqPkZ0YOOUULf7KxQmk/m1In1wvP7Qy50BMJjSXQaQBrEugB6t49TAsvw2snBs/PZ6fXiQ9GM
9qJMssO0TE8FpNKvwlDTprdDhh41ft4HLAQxVf18C0i9mT88GU+DNTUexAKo5npHCRIC6jnjg8h7
DnsGB7TTEGOafGDSm5YpCU47Tj4dvLxD5Cw2qpxpT5kfSvpWF0OlXdvwTTW+LOhJH5BzoXHW4E6Y
Q4uW6yY1LuK58M5ngXixyMUdPdDsS2nw0GD2whJfL93E2AXlo2DtVQp+tk3xvYNn/TK7SXwp8Dfb
p3SKDzFyqF8Qv8i6TRm0PcTtqL83pZ1eG4XPAeFO1rgTyDtCk2/i8G7MFEj8qDb5ACh/KETTQkYA
XlInDEI4E28dafjncTQ7f1l0tYMVQwc0JD5fXL12x2vr0F2AGkk169n6/XuXiPW0hHnuXvBcx468
NGqRPFQxYoGbFKLspTVqQ8rPr2h9BL6yqzzKLFC34JEEEDznqHqEq5k1OUfnz6RKnFPaZngdB/1s
nNGoRMwEBT0ivQyb50qY2QNKId15DH/h2hiU2H1+L69Uio8fn1ST8GkjlAsS9xgM2Iy5bP2wKPCl
Y8BA3V4G35AVj4YNQnJyVaNjSYcjL7GV7yS9wk0SufIQAYfd0CdRas3AM49QMnK9x7jLBt36pYVe
GG10gbJPe6iFmC5d5N9PQghHzgpZBRupyNlCJQIqVN5D9ffLNVaWstobLMsuSTvjQrmW5kqNnnHu
ttF8hQkdxxmCUtUuHDm918gNpOc5Y14ySpHjk5rVWQGkBC2s7cDQ80EOlKbkIu1tZ6P4GOUZAPXG
Ay7DTmRctHbp+l0JFReMXEHUoZI1MVfqXKwO16jPVxdjpdp2VcYI1KxZv9I6AZwyNnvTDe2/UMOK
H7H07fCjsWMtvJqgwvb50/k9/rBTFKA5oGv4EvzW1xM2k9B0GtOfvkt/YKVGlXwH5TEzNeSRUVN5
z0urBQUL4/s8JCOCv+5Q/ck5+99tWFg9pM0C2K9Db+DjOwJSqs3bxct+Ykkw96hz8UDcpY8w/cvc
DjL6oO5gNvQ7NKeDbaWC6WvkN0PFPlmsuz+syb95YTW/WZOBbU1etD/ezJL341BOafIz9Ez3tnat
9sbOEHvxaOyecS72lwjOdqeVU+Qn2SSsi67wOMi8rJuuYqxBACQX44CSUC9eQM7XcuXXcfrGWPiP
DSLrt5TBg20p4EPbYKYpKo+WbMgRsVC10/+k612H92QWyDPTSUSmsUXOCeuklJlSu7hISTeyfIkW
00PZGvXEcS+8sn2QOGqcm96Y3qMK1TMh4RTYwUjMWO4w8dYIkxm/9tt/KbZ3c/Xz//yvp2fY9Zu4
pUj50b0nxyGTRn75n3n5/xcHnrL4SLR4/ZW/iRYmHFvHlFDFqekdR3sK/eLTWXBsSd3ABSPkqLls
bNe/CXWaT8tvgTeh2cJ3uIe/qbYwLWwYu/w5DZpld/0DOXmS1A9nnDTp0nJfWs0eUq9DX/vjK5PX
XttOqTtiolmBx6E8H5kBA/uQCMCfoYvm2znplMeEfI/we5abf3VkohbVZJW3d3budAvkHlrz9haf
xaYakzVuXnXl36KuChQVMVy03CxcMUZ0JXcQoNBhwy17RhN9HBmPUK/Z8D8h2uU0x1ZL1xdddVFk
c1JsEB2kJFN+VZzLIJlOOVAGEzc7d76YnSC4A1JakVC6j0ZbDvuxHLxwbU5qo2RSnSd6/p1TzViQ
lFL7LnJjPJHjqMcpDhAZvgsEItxsaDaMm6xZQhAtmTvdLOkgn6DtE7Opf4aL2IyY4NmRzk4owGOm
3wIVon0xDdkeLEPmb6Qq4xM3D2vvEk/VAZTlbOJrbhilVnSeu33XpOhGG3r+GeVOeqioCnf42nmM
9IDz4BmIfe60zocAaXMZoGQ2zuAtXCA0eyqXbhO1LQdZWM02BunhvNChzMHTyXp47BpnfgiWkhFr
E/4/9s6kO27r3Np/JevOkYXmoBvcCVA9iyyySFEiJ1gUJaFvDg76X/89oOzEUb7EN/NMvGI7MlmF
5rzN3s+WYDlY+UyMMVqbDyoivTe/sOyV59E2ir0ynXYrjHzYOnEjDdb67XlEMw6qXbjjFkc29E7S
Au2jg57r2c/m6Uxdhu2RwTLcgUS1ehEQnCHAeMMSfwBPuTVJsi73VldEnPn2xIg069wgVVmmhfZQ
Di67cdHWG70HrUzZWRKwEkGliofe25njOG7HDmZzGZsDUlyz0/mi4wa8zLpw+eFGqf622AZZ2Paa
h5VHabvVKzG/lQZJVju/Le19X0/No4Ez7gZNTPEFWa8TRDrzCkiccXcohiTWN2brXspybqnKOYwA
/bs4pZkoc9MYkzGAYi9geEIE3rLt9i+TLQlLiVqkNVLEJBOA6AlgtOcolixieOykJ9M+0+ojlF7z
2JUuKZi2G73yNLRMFtBjfEW3DvxoVtgR93EnzaeoSPvj2JbuzixoqQK/itSjJ4Z3HXXgZpgZFUeo
qIAsFnN6pNawwKbHiFzD2PGMc+kwEsgT23vxHMvcoxZ2yPbkLDVw6cF+UMScWxsVyScbEd2dZKLz
tejKaENg8/yMh7U8RAvpO6Gm6VCzwZQi9Gs0dZnrqbqTdpaNhB9lECUQwQL+UvkqAYjqT04M+HTU
/OpYwTb63MmiBJvVRcU1F2B9UfY1+6EjT5KAl7B1I0EKu8j1B4Q6fTgjh/J3BPNS33k2oh6iADzY
5HbXXNoywsXo6MX3ysjno/QVNl6QUMEwzf4aDvWeobfcWPM4hjbhpwegjj7jevONre1nMH421LiY
VssfTLfNN5L6OC7GoJFJ0zv3o9KimB+b204/tz+rsP+ein9yKrI99Bgl/+tj8fatnYu36tsfj9Lf
/tAfjeYudZjDQceCmlyU3w9G1ydNhSOTgd4HeIbD7/dz0f+ry3KP7bJw1vmOzmn6+7no/tXzOMow
qPOmYidm/ScH4z9WkvgrdMb8oG90vHZMh9cUmD+2fpXeZ22JL+YAks8mq2AQSKameP5UGtMQxjF4
pj98Pfc/26q/AHi8r1MOjf/9n/U/+Pdm6+MHupz1FK785oyJfykKOxreTluc+TBNWfuARGSAlzWm
+3//U3457dePtSbHQPqwHXbzvw4tOpsCU9rJdGCrQsSqOcmHvIb7nLqi2SKZBXuq2nEjZKZd1ej+
mU2Q8uSfPqaxFuao2zzsSUgS/vF77XuGsMPsdoe6gHS+m0YyGDBh6Qdkbt4Z3lx7mrKpxWRPwrER
NKRxkCrdpFoaKkZ+jzVeMhhma8IYxHfmLrGBqtJbxpxzAx03GF2co/g4tQUIVpOBDbYj3KFhB/D+
h+zm/GplXr5ZELEdEgGDMGLZfiIcXIIEkPMetikj1SY2eAPTQTKBp/taDrqcjCdeuM1dS1DFkzkN
031n9dFpdFTz5sFz02kMh/lHovhEQ1UMz0VP6BMC8eocGRz7LWlsBuhTkzAqqBivrDOaFyPW+YPj
lPpnJaFtGI4TXf2BeQ1bgGaNNnMZjBFxgq0BKBr12x6ADx9TdxUpJ0tqPs2AUjYk1ydA/JfqzBoT
eG0Rm0XQuGn7UDMVj4PBHRmKdS7YaydZbhdrAlsAYm+DTag9If+UD6rs1ug3d9o7oISPsiOQ2GBT
8Jzp5fAss8V55OqY20VR6VWmXYS9M8n3GRlDiMaJe2isZmyyUQ01fuHKkDigH0C28AyhDEXUVfln
x9DSg5Rg89gszZ/YZc6fZr1Vn53a885YccVRxp3x1BeL+vwTqVDX/rksPb4RIGaA+EQ5MhNxUF0H
OeE5W0WSPLqfwdxi+82vjUOWdW/EEFbNun0XEX8br3L4EDHwEh/I4QF2JHr5PlFGffK0bt47pPQe
a4+LO7vNuGH8jfVAWVVbUQ+p4tiAnA66BeSnKzSiH4wov8ajgdTaS+SdgHwUAuwfvuf6DG+x6/Id
+ck6Lw2jfk0nOTyT6rvc+nLgP2Ul876BVxkQ8+yd/VFr7iLk0aGjSfuiIS4LBefYFkcUGEgI3uGQ
59yKpIUO35EHzagmgUDHgisRDT4w86qZSTG3RLkpmp7vNY+bN5foOab2UcZeetJofOokiq6OHsl3
29eX22pM5k/mWKb7CvEvta/Md1pedRQzjvGUinTcJDHBdYbGd6tiruPqpWDPzi0K23H4Prd8+iWf
KTgkuRGBcGqS5g3uf+rc5qWI3ehUqPxl1FR/StK2vMTeD0RxzI5TsueTQEWleUyU/aqbs/yCw6YH
UM+9GYAbTvcmhLqNEJA3Inf43glk8ADDuSkx3VEbcKEcV+sIJhHNBRWygMQ/2pcetfBTlarmpad5
eUVsxt3q5suuNaP61Srt+SazNPuR2EqvCbTMI9W5Guu3GJ0jfYE10xa0fr75+HDeSgpWtdKuE3qm
boO9e7kdvVkB4dPy61x3hhdAtsLz1BnRaSqyMnRGPT10yMkNbDxTurentH1vCqRE3LU5QK058eQX
hlP+GZiXCxIageFd55ixZ372ct/InReSk8jFSdtevKRGVebxYbCWCkpqt8ASZIE79rezHCP7NMZW
L66EeBIBL6b5k4EZMKwZp6GzXb02Ui7OjvvQ1oOOvrBaZ1i8mvrqDqOKGXTcYSeh5fedrrQHZLpX
ze7vRNmUOy9x7QfQnbw73cm6I0D5MbKju5IJ6EZ3eYjQWidHdmiflC2AOxZEf/di/pp6Zb8VQ/8t
T8zyqFXxO+SN5JgssDEro2/OdTmM2wI/XYhysfvG7Ehu41TdTJ2MdsXYGqdpQXFszK0bEpYZb+Im
Tu/EIuZbzW8GTPtLdHIyjxyURm7SQlbIJfxIHrG0FBtTm0Qo9dgOyjQf6qAsih/IwzpU/3bl7nsF
AtIX1ZWZdrqlTPZvcP41t8rJxp2T8MDKrDRu0jmatr3vxcdl5kKaBg2nXmmQs916RslF+GM9akDX
LSBzA55PyMJuEyILAIuBtenQx8Yj9Gt/B3NPnY3Kt4qtyXf/rppxRC0mfW2Bdso1DOIC8DnZP4ga
jfG1qqP2jNYW15Gp98d49KFNF+gdOMKIuZ8j9W7VY7+P7ZgzjwPc2w0Jx1xiTh28dEde2TcbAZpX
taOzSqYgycmA8L3p1bOBq8BbnohWjYcVhJC/AFOtgXJODmm+eA9HMLeNR+dMRKvL4ooK0ZIPyO68
neixbx8b3q/6ZuYlQuBPvq64aJHrW1Go5oYo9wWjnG4ezalRG5aMPFWKfooJcVVzB84dfH2GpdOn
ZbQyKLwlnFFVHcaCVZFGmlHrLG8N7ICjOZfLU5M1dUz357NNsX2U9NF8n+ZwNIeol6e8ZK/rILXn
dgfDjTsADRCqpwcXjD3FATgqkKpjGeiNt5PIh7eaXywBHPE1o9HKvrhODLVOn8ediOYBVOCg7WRC
HEYflw+FoXGWp/p4TFPWwIEgHjbWYsi5Xmzsi5Q73rEgmHvDFG39MRK36J4FeZ6jdmXP4t0ZcplP
xFsOmF1sPxFb6bTldxHLO7JK3LM/dSbup3GE6F0gJoPznUBMoIU7NklJR5omYIEKiBcvfeaSSuba
I1mb5liom2SOcy/MjEz/3pRlCV3VrZxpo2f6cESK5ePJ0Np9D57wZSz6NN3gfMjOAoz8e2lljn5r
KDGQXWVULMdefHTIB1Jr2MTpdaUI75tYRLuJPXytM6MOu2Jc64JGPgA2KjaOHNj+ekOZ3mhEDzFh
mN3M5fYrkyPKo/bsS1WLsJ2UKvCI2OlhqrxIhRl+usuMBP6wJFXz1Ww8TYVtA4uIa6MHHyUS5mDO
ocJYDpmtqjNLW5uXc9N989JoZOc3kke003PFgYMJZP5RFUxdmlmLrmAk1mcgp0xwYTxFm9juKYiS
tAxpAO3LkqbaVasb0rMHdnQ7InRpaWOi+IioADi7Ec7UfJ2afmnIEeYiGQunM4phefpZfMnUNJ4y
Y1bfmszNMDLbrOUDlqzkOk3zbG4pQ53HKZeUZWvBWG3NQeQsQ0xQ865TnRktLQehq3FT1kQwk8gb
Z0HZmDLaJLbicPfLWruClmI/b1pQIUsqjcp2mrt4+fgtfPnF0pAPrwnL60uZCOofiPG8IPVdyhNf
SuOe12D1zWowf2FDdcjmpkw8OTBokRW3/DqzauZ9Ymj9M3hbrp0hNa8KcR7M+5jJ/Q1bVz5/P4yb
GLHkvqbYemlIFmSStZa/xEG+uB05KqbiI1ixMJ68cpp/eDMrPgzehE5lqR8Y6ajmgPwnog7wFRbH
3PTlw7/vYRBR/lMT4TICpWmkmUFp+usA3e41cEzQsw8TK7lwJnAt28rSn0nanrgr0mrc4LZ1f7A6
Hg4plr4d5v43L2s+j1VsbVObY0qzx3jTN2V9O7SmeBmaprpNFyu/0fXSegVCnEy3QLWq4aZNEg8P
sZFvdMH0icjlmalinB1iP7UvBGo323YqqROK0j9zcC9kDlrzjUioolrZj+TBcGVN0WtXEArOI3Fc
84/Si2EnmdjztcBS3NuOcKg3kByRVMONw8SFWokmhXowzvk/LahNK6ZiwAF/1khTtciHis0W19Jf
y6WcQspnZRcIPXUehZU3W3OKmrscqdk5w3iwGwxaPYLnh2cE+TGjJ9ssXlurz51TV+BJO+N8jPmS
UtjV2qS6aWvHeaKHiMAi+PIWblarDW2mfUps+ECV+UwcCDNEuTKmXNwL8THnKNnAtOcfRBRSxMco
z8A9kSLvIyWKSucGIYz65hbW1PAWpJZq9YRRbxQlfOK48ustuVRUgsVECeVOpHNoZMZB6In1A10P
t7Yn1Gc9o8Q3K8MOla3VbViyIL2dWgpmLxHN1znr812bdum+HzjV9HwE7rV0FHIY/ftnMsZe3Za6
fZmM5sUbCyvdtDO82I/vzs9HLz0tC18+D7t2bTPTOho8sA+k2KX7KE/cKoT/VRzR5NRvEzj0NzEb
nMlmYZI2MXE9rc4j62zgq5+xvQT9SLPlFJX6THCB+jxNhnVEmlC/dmtNjXx1nQt3wxgKkDdDgOOt
35GdWB5blVEtVi5Z4HHqPpRW2z/rBiHSOB7qN1tBHNMFlW1jfIRxVwtPXlcb6rOZ0ciTAtLcdS67
rSASU/2GKxCSHSJSj78XpPTUmF6GA2nWxGZjb/Q2nb7Id3IC+VbKBdcXVXlgp6DRqoR3EbwApiHm
yKOOT5lXF/a7ZWfPLo13acov4+x6Z2OkvVVEFZ1jo2lP6YzdzAEquW95ce1BTNtYDqvh2UPVEDDn
Tvfe2nmzgW/uypy+HFAQndlYLT88ntJlm3oLSiWnvB8mt/na9fDGRt2OL0Yl0NmMoM9QaTAFRDb4
8PFbT8JneICPmxujLtZrYI3F0Vgf1YlOloMkHzcNTeqrLad+N7Ul0+JMJzgUdxcd6do0pJNO40Q4
kHwgbYcrQ7Yrt+36DiQOA8UBPfZ8k2P8ZxfdjvTTlsNXtTaD8GzmmyVmSTENTDU+bkNzovXl9pb6
Yeq1+VbEdJoW3KOHj04bmAYcp3Fds8NQQERG91FURnooBAdZgZbw3EeOHX60ZVqs8TUISUfBoIev
fh2gLKk37/KGRnxMkh8oRufbhcetCqc55hAAS4XBMGZqoDdTfpWNmMqAwsOnPuQo7Gt3upcrDTUB
xwB2HKnBcVr4RGhi4d/FBL2EtT8y+ogcNgQxvtIQZWC9xYJIG8nAZNxWxEXi9i3ti5k79iMHjd4y
cBjU5y5rmcQsIpdfFrLQ8MF2o3yPMzpdpXfzpwoQC575tjgiZFjrdcFrjU4qOn10yKQV6qD8XXIk
KvghVVCaNNmSkfPWMvjxH32zK+jQppyZWVUn4khk0XddRxMTRK7G5StKDimpdHKhPm5NnDY7THHF
sSKp8KobRXVuapI5Jb6Ws9cp+aUmf+NgIGcgBmUd44wARC6DoMINMWvzctdM9a0u/Pp1Ao0DLkH6
Z+SRC4niCV9hYsuWYCuLC5LnvbFlYUMLjZf9gJPMP6/3M7IgXsMqqtVNoQomQX7qUmvkLX8cY+h8
k6Kle0rWaeMos/UUoDB+XbPOeU/06lsvo/oNl3R8cfuGdr1d759cUHjxJgoKh48TrVOHj7LC85lM
xXmVX8sRmzjCNd5IbCafPs4G2Pjtqffi5OLyyqffZ3g1aLa4oA+yOSoI4ThLn29YzqzSRgJKwxWF
y76HCoQkVbLjnMx4ahxLBWnPhURIVhznQq/Oi9WzvjN5cMr1GmCIaF6UGluMwSQbbPD+8TYT8fA8
j5Qn+FG9s14X5pNWVrxseY99qZXXvCROEZ3oG53wYxSDIkgcPbOJTnGVjJtsYpCheJs0IeVlvotZ
ge1kPS2HvqPILHmw951lMX2qUfiHsz7Ur4WpMRgcmdVBQKFE6yhYLKw3G5OhHsrE9eb5eM1OLt8G
Hft8Q1hZ/Jluam6C2SzXOk5NdP+tNd23NMufGpdqScOXPocD4tGLq/N6Swaeo9y3OLWQYFBbW9xr
mh5dibWvX81iKlOibGx5GpuC4c36qsRqS1BMbpFwClOcS5naTBs0DKLS53xgPcJUkOhAA4mmO98i
NDCeLOn2390qmvYdv3pQyZwHN/Up/hrCxb6qsqXkkGopjlj6KR6bNLmYeCmGweZbW1zNOpJNyKOC
+3Sk8wRYWg2j/EJVkpEbPM0g9Aq99qlbeju9GzXc/8EoKSegPkIRnod5M/Rc8NkjojQ3GWV+/O3H
gwnkgSMGHkX7bo+cqcTcimOFgOx+MjXYzkmW7mvk0cBohDzF7hoiiLQ2vojGXWy0yOlyC7CPSnh0
592kiB4VS+1sE0Xj8DGgc1XzKkw6gnGtAuYJuOiGuIiezOiBT0ycb5GNh94TLwsO682yTsA7Gtlt
b7v8sLzuvRORuPXPFdH/Ve6xTvYN9N44dNClWmDyftmw97VVl00mu4NIGQ6HiGPsC0QCcxt3Y3Sa
Ba823CvNliyi6d5FK7rNlG0dYDu/xsADr1plyZOyhvkGH5380vdCXIbUnD7xSlh2/762Ntif/LKG
wNgDP2yFskEP+/WXxXSTu4NmqQORG3owqMp5BONjsx/NkosGJoTyei1EjYGmKIf0sdEZZZxyap63
DP5s8HGx//0v9QtccP0G0cybq8AVsYL4p91I3HMns3NUkLot8qLxOkYb5fXyvIyE4mHJTjZ078t2
tixmE1HPkC1ruLpusnZyYsiv2chNZRUOb4PIrr+hTXUfPBbgW96yFIZaW8tAduxf//1v/v/pVFbh
3Hr10SGj1/hl3dGasBuwM3SHWDPlKfKZ2zC5p3qUmWwfinX4ulhydQFTi6iZU6QaK/rCvrN/2738
d1X5J6tKF8rSH67aPyHyqcbq9u1b/cdN5c8/8zcFD8B7gbrNB1XIo+HRjv6u4FnFPWzSADfCY4J/
zdbut02lIHIDDScPERIvTFN/VPA4JGsYLMGAuTE4w7jwn2wqxT8qgMH3g81z16gOzG48K78q8PQy
aWB/LdoNy3gJgQ5NhDf3X5C2iKo9sb1xCe7MqfKSbI/ajZPkbPlFOW5j4Jm22wV2PYsGIrEfebl1
W2nwIUFbk6oWr9kW3kdeA1HRa3gDaXJ2mp4B0Q08aQv/FL9AJBH5CeS8HBbMluK+7KfkjH3Hnpc8
GD1Xg5CnkWo8OF5VnlC9Wn2YU5EDYpIRvKsXs2oxw9UO8L/5MYMjjVvFEyg8H7xk6hP/kqYdEhFf
IDUtPUatod1XqDuLHoP1HLjMgQgghPvKXP/jXvjvU/MnTw1L9pX8/q8X/Hffv7a/EoZ/+0O/PTe+
/ddV8Ca4JwFf2mBr//DcrFk15DqvFig81X9f8AsL4RvHD8+Gyx1tr6bW3xb83Pj/idLNW9+1f9iw
A7S3dZ5TuJ+65YBb/WWlv5IVdEqY4WyVC2ELt0vemibDdYtt91ydBzcVc1Me0yECjdNrHg8NOqgn
GxDqUS1d9FiUXrSQp2aZt62RORezVc55ynxTYOYh4GSF6oA8t1ptR5fSfxGqLO9az5XZZjD9fud3
XnpnTp4VomOKCYIcWLE2RqJCe7atu465H9toXe70wSvv81yv7rtx7K/kURNCkTL6fW4RwbC0aSHo
TnRUX3S2CM/kP2omqMDavxYk31xbs3t2KMGOTF6mPb7p+N6hbV97nPY6xURpWT6//hIx4NFGqzvl
DUnzE+uBcHAAjIuExQUaMFk89Sm5Va5bykOq6igOxOLQJspG3eNESD5LtlogROoMw0c8oMRKXOPR
tWUCPtIhLlwXaNY0vZpIchzNsyfVJwCjHfNntLEtk3XLDHXSx56qrs9XDdZXkj1a4tlwyh/QQKRn
CbAfGV5jq9e0WkY2D1zDT0WelXfeOCQ73lLLqS3ROgTJDLurGDyXmAp6iCCLtPTe9FV20Ir4MuZZ
Brlr4sBNbPR51D4HnQyL85RU/Zn+M71LjNJhIIEu/BF5RL/LgXuEnZObF4+Z9mE2ZXXrSn08C1XN
B6Za1hte6/qU+Ub3iFukQL9HqibL8YY42jYxvSOLiv4W/Ia+k7CXQPMU1YPW6dYjwKvuxfLN4sds
Kv3JRFZIWuJUXcAJaXcWGyHMKx2yeRR/hKZW/j0u2PIL5ohhZyCH3JCtqm9H8Jh7RiHaVrPa6Zsc
lboYXVOfM/hTYAPXyOaMGyfG2+b77+sArw1la/DuRvdVYeYsknwrnCp5qBTcwcDxZbedo5IFlV4P
O9LzlgAtzttgDt5NtfZQAuHbnQCxE/aVjoqMAjtE8o+Uw8Dush00Pzs3OEAPRdx4B31wiu9ZFWf3
esMGMs1JM8vRZjZBZkfau1evS7QoVjg85IggJMAC3N8Q/evy/kqSU5ozK2CGDWZNK/AuGshPWwQi
Z2LddWhRqr8Fa4nxo27k8EA3vbww8TJtlJbNdEOPET/R/9gXT4qgJTN6PwxudY+4v7uaWOS3uW11
yK6HJS+5J0lf5Qzpad07srcd1SG7VmOlYQD3iCuwsiw6mr7RHm0yBFGdSIPQ6mhihBQ40BWeeY00
93NVMCyLJVAo4l63mG70WzchAnydRDahy9oO5eEsL2Vcxpc2ESaLFcd6LQhhzwOe7emzihLyVwhu
mx/ho1hw86tC2y6ZkRxsJypP/TJgZyiJ3o7CAd3AsEMEoF+yCNN2qNlVXt5pRP89uwY6XAAydcSk
VUqUJTiVyKIr628FcFlyxJ1yurUWt5y5NHbK0mIetOd4UMrfZoiPo7DQSIi0UgN15gJA0NxNk1zK
oPGa6YFgZuNzq6KqB35oto3cFag/9ekWx5o3EfdixVQC5q4dGkoNdjiz4xE5q/dKf0STY87Op9gt
m+7aWSweDjWcIxKylsZc87I6LyunZiMGXNaP7UegFoNwEDFh4hZIJT+VeBqku/UaMi52Wt932TfU
G42R74FStO3bf+uA/0vMACxp6s1/XQb8Lpn/S/3jL1TSffk15Zv9GXl3/Pa///Pzz/8u+aPwZVNE
Bt2qTaUb4tz/rZJ23b+SKYU2DRP6z3iZv1XSlke5vGLYfRYVnnCdv5cE/CsUehAhqKXpEE3+1X9Q
Inx0Y3+oEFZ1nE2lTxQWMn2M2r8YR2ejyrExTfoBOCti5B8F1jimHkdWbWtfdkDkdVI6S9+o/0IW
c5BZ6k8aRv8fvSFrq4vu0aHNgHogeJf8IgOsbfy0HruhQ93O+l0kvsx+c1YDh0rJ7M7EXsnJtPGb
mDjGIrptmpii3iRlbTRfeFbCJdngmoxv9UUL0trbdbxTGte4k6tMGLnbSlHeaANTR715X0fAoC2D
vuI8yF8zhsPr/5yFCLDlflILgKtSBUrbzrZ/ECQ5MerOnbPUh2oOFr2rkbS3ykIVkqPxtapnJj9B
yz1xmDhJS4RnwrRu4n5EDJ4tOIGxTnsFoydPuyU3hEFvZykGo2eh9Q8EnPSsftb1lt89OP6LYWlb
FbtvC5DWLckhge9YoXBcQGJ+oCfJtq+LzTCVYdvn10nDDSDHdpurcjt0zSuxOPo+Lfr7WLmku1Zf
l7gPuywPpTMWe3ZVXjB2HS+pqnovJ6Hvc2jawayP75VAeOL06lypkRh3LKeNQ8p2zU4gt9jOZvFP
7ed/m4w/aTKwFK7m7H/9drnhRdK/5/Mf3yi//aHfXimeQYwJzbTto/v9aLJ/e6F4/l+x1QgB9Oqj
j1hJC38XEbMPwnhFp+E4Kzjgbz2G5aA85kVD7J1AqArg7z96ofwq6l1NNRBzaHGIcvpnuS3vmIRF
DGk/gxF1SQjDx32AdLfsMMF0+1S6/mnQv+KDmY6NFGIMstrzr0M9dAfciMPekobc6x17lD9RG2NQ
/8duCPktH47hgW46psBW+suLZlL0HDlN4NEd7Ka+kAqlX7zF6fkdtMhmp9zXj6kBunSbAnTtYlKp
tWbApzb5ffTNqyrjQXHOy3YL37t0Py+8de7mRKIzFYkyXsok6XCaFAN7iYUkSm9TAPbW1/rWUxqi
C8A6hzGPlg2I66pLNuBnwb+SfOvm7acEE8ahnjT4NqFvF/KKjqRAvAMip+RVVfknr2WlUptztp1a
HIZen7Q9ahzPul8Mp//k1w0alFYShQtPtohZwGbyazmX+lVE2LSDQbRNhtSm1knxwjps7IaItOtT
Z9VFvkOjXBQB627xUEm1ycd43DGjeJ6iWNvjQWlPkszvfd9b6h17UEssoD1tgO3dGHF9ampHPbkV
ZHvDn2aGLn13w3p7OE3aoG1Sd5FtUNCC3Ulhzecqpo1JsxwPeW/UV034L7pFRjW4uLpGwFMkqz6y
cQO9t8dbDarjA4MXfwpdsEvbMR2mc+wuj3ofF5d27lOC0HwqWajPOGa8XBNfyftDBtYkKpjgqywh
nJHUuepe3lwJRLNC5KjlvT0sLmFpFsrOW1oDZX3KYmK017XlZVnkVsyRuZN+MT7Nuk52Fhi74+Q0
9r4oymrXuFDgQ1RcfagYH22XyjUOBHU1iJR9JA6LLqn8mvoolm4MDUCZD3zr8oZY93aXUdGdYsPy
Tyt26pQYehFvokovvjSdoZ5qF3yjHElLDPNeax7JlFnurMqcztaAyzV2EwcdVye3peTTt+bQhcU8
4NhK6w4TUDKIHWq7CUBN3iRvObc9AIN2Ig0DcvgCPOmqu8N4Rx8/3Nij6rfsXP29YKS8RZJfretu
iw/UWdekK9sd6maTjW+acEtj44l2bNMUXngp4MryHwkRR2nEC/j91mZh+mbGeNbLbJ6/m0SP3cIH
ERuPNvcgWD+OHEmZ86LMeWlp/hPjaA5O1m7q0ZoT/PXr4mmoTfp/yHDKC0xZumZo+xKxGqaKeVPE
RbyibiPtyZ4URmABvPkIK9bAMm7XNicqm9zBXWirWSonZw7w6gb0CN+e6KMlFEPGwoFWuphNOwOH
Eol30OAj2RAoMp+WsUGOheOGr2+RoJfsjPlBTWtgsobk6ULSKhAyimgALFxYyDA7f3xwKz21925e
O8e8az/5ybh8dYdl2kajEkeAWfWaO+uXm8bQ6jvehOPLkKCZo7NwWIiUwPqNTZ62+do3VOMc1Kp1
X6vI9fsNe9UpC2oDQckdBGJxnAwWbkGJgCBjMQHT7TzXbkcY+Mzmp45pSjaKlwg+xsgrLnZdO20w
pLF5Aa8yPjjtYGA7rJJhCuZKFRfBg7EfWYUhmQT0pe1aZZDJ3bQL2ExeBzclcg2wK1FRPkddJa9p
b3WoVgrTuo3kKM+EVNVq41pSv6RQJJ/c2tSKjdHjYtJr/r3DPepvW2NOTsNit7ekvCX3qYmftymN
6glliRHGc1+SJT/mW17PvHxtlefvWYzRLkCfXYEnAuZ6r2AiaV8aCwxPOKH/u5oW0pUtRFns9HHT
Ou1O6KX/nSgD5GylMb7EXlKEA1HwV6Mb5GGqm82CtoyYq75ODroJFRhpaSJuEn9gYDIO7aNt1cC8
I8NJHiidzc81CsArYamlcVCtiu8ZtdHQD3OXwyB2E/Vazzp8UAEHxd63c1ZsI6fP3xLp4ze08c/c
dh5pLlg3RjbLs+XlRZDPHfulqdNybGyKH0cA4/CD97t/JZd+3EnXUa8OsTBFGKNgPwPLtQBDW9mx
zc1pK0dbbnk3TMfMzaMvQz4Y/IWbjvc8D3lOMBalXV0hxFkSSM56aVYh5kn3jA7Sj5kgm8kKUjPk
yQfgFh0HyuybDrrNx2U7aF5yA8wZrE1v8SEHw91ivHvPLH3cjJ4AYyUn6zll9nLMWAHfA/sz+Knl
uykVWmvfpnCcNCypEa/+xS7O8exFOBDqo+/2uBlsDUy6UZJAqVfNtmlEdjcTirEXNWieYFkm81Lx
oItgTL3xzu5NPTTN3tyUyWwGfctfCI7WXqHByYfWtKYbtskC6X6TVC9oUIf3wUI9mrNm27RlPe3X
uuRroeX1O3epTVWNiI5XR+YO3nZOouSMl2VImN1b7Y3lyQlhi5XAkDfU4ootPIpZbMayhTkxt1oK
e3bp9WcH/GCF2FXmX5EWocmd/cqaSLIFf7zJlIZpFQDI6hpM3JGABTD4+wa9GJTiQW9fUpXkz5Rw
XK7kTRPZcNF0gdJedx5zuM77LGNiskU94i5hpRLrVqWjAxSGwusS5ZU4UmLVr3Mddbuu18pN3elc
r0j/f+ydyXbkyJVEvwh1ADjGbSDmCAbJ4JwbHGaSiXlwOOav7wtqqqxuqbr22uiUpEomYwDg75nZ
tZTWQw3q8zdhy4KfmfQfJpMe0Q4sUTxEm+KGxaRxVtzOuIrUNKOss/Bace5i4MqRVfiCAJx7N3z3
TWmGs7Yng16kge6QY+qFmrviqtOslZjGMA6www/lRmOdcR1ivb0QppzuLcdIHsa81wV7JYPBqMF8
sO2UukY+0xGHIvsmtisysRWX2DkxQQjAgldKBeBUkDrswoo2PgvmNY0U7o8hHeV3z5d1v0IC8Y+u
RRyKA6ZtNoxKFWRZY27ZeVEzfKAR3YUiX3XOuS302Vohf3bmatRmV4K3SPH9GRA2VgP3EazZJXIX
eZa0wUKGsnLfky2xdh0P/Xuu2pmiUL4DDMEkuI592vAksMDbyj0GWGtckzqJQx6tFuevKhfeA1Y3
a11JV8OYmE7OySMhgjPdF4DvKydPb1iGZSNFG25xWfqFnxFN5dVA5v8mQy/dVU4E+odVvPbDMkLt
6BHaLXdS4bkMaB/XxSo2oDyupEvfcEIZ8h2NCXFx9OrEp2DdrX/C8LeSINcj/UDoNNeDsuq1lRKd
o5P1kbFoT443mZXz37Hub4udPxvrGKH+Yzj0UA2/LIkWfBF/4B+6kf6bYbvMbgvK418bIt/5zQFz
9QU7IcLItPfPgQ7RyNbxjyIcej4z5SLt/FM0+g2HMKEFpKZld/TXBjrEol/HJpZNaKyCXA6bmsXT
sfgnfocEmoq27YmPeEed4qGTlqp6PWQm6wfAbh9F2c+HISSvFLj50vtCNUV2EaAy3zjksfsIXaXd
Ud6nR6u4nvo7S7ThczaboXWSyTj+iNskjQ5L7DAMWKsKjdX/HG07OnY34Zi7zxO+ufuuqTFZERHH
DxWnXv7R95N97mXnPcdjlfK8yBvW6i0LuGldVlwnrRgOsW8lh97u800aC8nGmlqPZFUWwvlAyiB8
rbuHKM/nS4rB6IW6OOuahVo3r1lbhz9bMZPh0vqbLF8CRlOZpG8kFOQ7Xbb9yxhxuDIpu/ypQZpH
bYhsgpPN6N4R9ueQN05C3aV2NN7MbmMMxKys6adbaOSOynToIQgW0aXXTGg12H2oQEe5Sjh8Cets
xmlGO0c6IxFQeRS/z+y+9jlwgo2NUvdmoPqMATKCt1Muajtmeid/mIw4vgU0d7Crror2yZBHu2j2
vSOrv36nwwqA9Erv+0MRRzOAdGqI3NU0kaThXGkuCkBGQmJdWpX/MRl0xAWcTV09iPO+Ozl+0wbQ
IeSxC7Pl8Gw4eGI5VQa5BDPYzMAjbW51tDX4tXexpspPtmHvdtd+UdLA41b7TNPV91ijNQXPX5FX
+PkcJpt8aI+sSbWgMkfeHD8HtaWx/aeLFGVw5WHDvOXcXLFxt93+Ne+YXp3Oar2TAcwgXsXzNI4I
KiwWmMJCiPrFkG5yVTa3JS1OQTLitF0Jh/SUNYwxM0Si2mOb4mwEfDhGd15b/0T0mbq93s4yWWue
qH6Sr8l5ug20r3D4nNsfZSMcbR9ymn4OuzE99KKUm9mfUoE31unfa4AjgNlgGVZ1aW99zqqgdfDu
bI0KdgZdqQZdM62K0mepZ+HY388abl0wbqAR2x1p0uSKlTi+K0wfX/UHn645UERYIH+BN7PKWFNn
faZPI7nojluEl0hJf11QObEyrLZ/G+zBOXiApJ4ij78jhFNP182DRTEaohkbYBiKRl/uw9KggagK
oS1whQY926Tj1Fp4RIus4PLG7j7hIa4jiDxuaSBZ+laFZbUmXELsb5vGGU4JZo0NRLUFWiGIYWbG
iRnIuKl0w12NlXXVLX+fI9OdZ+CTWA8bnVkYCZH8LO97N45gmXrm63XpNXwDLUzCFw1XhrNWqqN7
Gibblv1pe6QLjh43nv8HMfrDuRNzsh4QYXfSRgBZVVixTo6S3dFMu+LKPttiWqgce+ekZXvVfHU/
x1yYGfM0FNAn0iAQT7zsg95ma506OJmrJFWPGgmEC0W2bqBKVr7JaBsPZEi4a3kFR2hfWexfnXQM
wgxSVzpEXtCbFv2AXXYnrPLZx+HLGYoLW6sErWTR1UFi3BSVkQYhrEISQXpPY67KvT1DVREAoFne
7Wp4RB6I13o/+Qe3suaNmTv9zjNT8+rUnSIgBO15shr74NpWsXFsH+kvWlRAe9EDqeYbz1Nhzy8C
XuqrW9jpOl4URErs4qPbte6ju+iL9ZfU6H/JjgBXuVcmixqpz0xDXPlolDpD8ipZdEt2V/knmVpv
Xy2qZrfom8OX1BktqicdRGyVFyV0UHYURKjmly+vKT303gmHwTv+aRTGCN12XHRVRvd2A+gGsVUs
uuuwKLDkJRBjnSjn3Ta/RFpv0WuTL+nW+5Jxk0XRjalPOSfkj25TmMgf/aL89osGTLW6vtEXXTi1
3I6BFa1YEqm+i78E5IiP/zX17K1pd9rFXnRmOl2S9UTr1CMYrfynWvRoFwzgg4vafE9EO+IIiW6d
Lwp2T4jykBLbwIm6KNz2l9hNnWL3kCwKuIcL810sqrgQEkl9Uco9o1b7UbONW6XsLCDi2XFVoa0z
5yziwKK4t73fnnUqas7M5+FeX5T5PlUZW0CPWyayvbHo98mi5GsEaL1Vtuj70aL0i7Qla8GZfz7q
eR1vi8UTkJh5+BR/GQWoJlLfCEvDX5sXJ4G5eAqUGUpmfYwGxeI4IKYyP4rFhVCHKYaE/Muc4GJT
kItfYY7DAY9htRDkHD3l+7Y4G5zOeCCEbwJaw/cwDbKdAofx9aVefBFicUjEX2YJbkxyzxN9fI8X
L4X4slV0i8NiWLwWuskqLuVbebSb9r7tJpXeRo0w2hZbB/q2CbCNkLn+OmlRXrINdZvkBRJlWLZB
S86XJ1Gme+ntXMU9oRPRFRvozeREBZrIptbH+cNre2cTZlMZNE3CLTjGTs7A0CzR03jqsA4UjwOK
7g6jS7ThSxoe+CjzdVeW+b2AW7QmOHvsiBusJU3S/z0f///Ox9iPOLz+e9lj/z68J8kvosff/sjf
T8iGbaF7IpUCZBU2e3ysTv9wJDr6b3ROAOIz8Dvxr2BW/LvsYZq/mQgMpk8GBROt6f1L9jCQWMEn
IwZAmF5YZMZfkT3sX0VMDvPC+zJ9weDj0E1X/K+HZO54+cxpz3xQqq479oYFoUAqsniSzktIrrai
5j5OcsLxLmGCOM60K0Mf2SBLw4meJwRScjUuByiQ1mvNMYLW1+qNPcIWAIvPz3G0iCCc1lfJXdpQ
Jc4pyRaHKsb031nmYqsiYmFqOKpjn5wD63UyjSb0jzkV896PMDgtYcjPctbAl8XWYLF9wg8/lvgw
VjFBgnfaKKd3ejenZB3FvG1kb3oiPE3WzFsW1vJoT8RwOg6o7/RqTNygJmNtUqH0NjUsc9FoMzcQ
09x+9k1krMw6tw4RgtF9FDv3RqslCQOyMp86Qej9T3TkL+zwv6Tsr4/AcbCF6gjKvkdVz68fQcGz
Ch1HOQ9zI/yDLTp7U5tYxlgDjLABhSkXQJdZ+HcQpsxzOZgL9cTxKjtIaHrczTGsTB6WLKjmrr+Z
Qzu+mJ1VkdnPtBeq5dQ1XmCedpKmNx0LS6jScZs/53no7aKYbEenRHXrec1TCytrb9fD2eWe+mjG
Jr5s/yNlT/T9dxfJ3d9e3e8ROj4z4+8cfrxoUBvLFxg6nr74Dv+gabE69iIiwMBhqyJ8I8Y93kWg
zV4N0xrvNAo/qHkUzQFRqcXkVhYmTyGQCEoswaFu1L/X2RLS8u1hvI0o9TkygdgP4cQ/SWGan3Tu
GSec3MNtzG38LCI53tle+Axd3CRDn+TPtCARiclyfU8ItdzFWqPtsl44a06R7WbWC77TotX7kz6L
D4KI56ExjX2LKX3PgAGKEnFqnYxTthlt0miYpuKtnbzltU8jkVUNPxCsxCpnnvtRU1V7cKe82Tct
N/UwRryp+25Lb/B45aLMLhj5uZhUluwz8aEXCZOhAxUcOSudqeS0CPcmoTd26wQOw6pyU3/HmRoW
c7IEqMtyvFLe5EAqZ9i7KRgaCXbk5svUlvWnxzq9WZUDFkjgej6L5Nk16DZSau+PdXKi1UK/CTFT
3Hml0d/YmeTFmQLG30bGc7qfmjj1g5nV4JUS9PFWcR4/CzY3W/j0836wl2tTy2ZWToN6QVGU333A
z2fLavxAj8bxTzoX/nDPsnXdA8m/VCAgM/FZ+n8Y7BeqDpOsq6Hx6PN96wOF16DPPQOXJdrldn4A
OYDvTlPNP9AG5kBhZpgIsE7xB7CC8VI7pNVkq8sXV1r1Oo9zfYcf+XVcAjgSp9UT8pQfZH1joywy
Me1yPvtzhTCIqYOUI+fHcTMVlXkd9SYj9j/xUqevrGAc0jhJY+gWSpK53FCr7NjYiGMbu9WYPfRO
8jPHfrw0WTXff31tiZzQBsaweNNI2zgbdRX+JPqkv3paoQBqExEttVleEpU0Sxw9JgovRJl8L3Xm
iarBZN0x01Bw0nXOzsLK7W4yL/ZuPZ06581/vnT/GPHg7Rc8d4hyI8jbNp1Rv96vBmkozHtNeMVH
5mjr1qD/dGqk9pAyVi52WzbejlTaY0pKlyqxsfZr4r5lPO48ZlhmWq7BbmXmMjx6IGjes95pppUv
hxr7nNGEb6wceDHwlY2DTDpt+9dfAF4Wfi0HKBlNOX/4/pRzphojjtwrIZN2M6bGeJF1FG0lPdOE
IEvuM2hD3C9Mh1tMGXNyxw1fv+uhbp+MwQl/cu0JbsxT9S5G1zg7FC4cY7Puwq3MvfAxdyUxzhgZ
wPubx/3fJpS+nsf/elgs331hwUzDdItZwsT79Ic3n7G6ma3BvladTbYHF2n4k29zyHSmmvzZmMle
paMab3PInru28HgFZlkyYddJf6wKLwkG32wOuT00EAul9khFo7/zB6ulzVJ2JSE2lZxdk9c/FOjx
q1YN6ifVdzUfUWJ9V+HQHfR59nqElHm866whK3du7zJ6p2QhR7PhNtR14YsZG/h5Pc07Up0DAslz
YdwoEv51Ho9vWKLnXTP04SGZ4mYRoUsvYEwYP+lB4H4FrVQjP16bxoajv4+OmX1fyiBRE0q5IjFf
H3KrD9+IWzcHzgTjnbVceqGvRR9NqMVAMzP+x67MQGWNjXnNTQX0uEgJefqmjD90MB7bFF7oG9+8
/tPKi+UOsrw1KUSkDgvzjYU1K4EHxJ2vThrIKLD1H3WCapilpJMwtaZgXooKEFY8HqiYgZWBXhho
Vm6eKbJXa9vNxwuUap4l//lLzCHxlyco3wRfsNjEdsY9ezkO/uHYwL2aqsWsl1egmC28Ip0LbPV1
b2YdIIGySeAwTKEJm6Y42nIUq98ds53vZ4N7EokSdYjB+6/jPM2PMsnVsMJykWAs19KkWEVRuSVy
t1yuhqt/nwgZP3H7b7+z3ek/Oyh02tp37MJdq9irCPJyHLvpCSRvQHMjH7H5EeRaRR7m29wAkbDy
YT7vvUgb19Ncu4fRKp7GoYL2hQ455diTk50vHe0eluA0rFWndx80QnOLzMqFTC6rPeKx2llLNMzN
l2ixvnyu9ZC0L2rM9phLSTWOZjJvfDG9GGAi1qLyaMPRp5i6yZQLwo8svqypqYDSENX5QcClWDdU
Hh9ZeBDM9ulIXTlilrtZ0kd8A5XBgtTSZfEzz4HkWWkpZpO5HoTH/qVIXwAc+NQsZtKJ9jHnFnzl
grvBSlEZ+aH5rnEl0LwccJqxOureyKNKFc56WTxGK7y07aYd40Ln5Wbc8nJay6GsDMTkGJc7LgP2
nHMYeI6yrHU+ozhHUasOIWqbxWyciu8xWLgJQdKpsxMLueX440/3UZtU2JCxNn9nY8l9tZWFt564
s+uBVs7GObKH7DjxRfDIj1fViY7BuApIRYpXoyKfzvepm+8Jn1LYbODFvzacLfdI2iiwSs3zT+IY
HtWPs7bBaZrBInZCaH96Mw9gpSCgespJSFA2obsaGo1vYSI5Za6IX69bNFZtZdehvk7EnP903eHa
VjJPAptjK/l3Kq+DfMAa7bpFfGcW7sAETinLSvnTfP91If3X0Pdnyo/Jwft395z/FbbbfVZN9KtD
2Pjbn/mHn0//jVM80G2Xm8+iAHGG/4ejz/7N0THF6lRvoOlwyv/naCuYMP+BAdV/Q8W2HNihnosB
zfwrkyxm4l9viEC78Svzw5CXLBgSzh9GWd+sMMRUXr4XXvQ2AIXh0ZVVG6A0r2CnH5pe28MKla9e
YbySzTG2HelkNfbHdnK9zaxJ8yCGYjqonCu6NMAq+12W44rQAS5rsgxYgTU/p7B3YPS5FPx4Sj+z
76m/kTvUr5o5mTt24t1a0Hwe1F7CWkwrAZRx0kiBY98NrIAzry0IB4PwapemZkHP7UZppslyymqO
ekvmoy9u6egDvtyyp03zEa6IO9/bKrTXlTu4gTEN3aOZEHiJELEPMQVkOImM+2EW9k610YtjFTz0
B6yzbpHHN62eGND0+J10vUzuDEc1G1tz5J0n3I3FJERcHK8EKOhJUgpRuP171VED0wsIQ41Vj98T
rvpTNpCgEP5M3XsunZ0NXGhDL7C7gyW5KN/5uMmF+KAMXUAhw0aQZI6FjNa9m/1EorDtSd9kxbZI
SKynM7wAGC/o5K6/GoC0XAuptu1XJ4J2Gy5OlE6T474W/rAa3cq4+rWZv7Y4IF8ApG0LjEuz0RbX
jADDOcnxGK5Sz82yIOzyG1S3aNiYXq8Hkmz9azdXCUAYUBNC0W7G2XkEOhxhmJFCCx9wXdonoDyz
u9IKm7K81pHnMK6TS1PlwyvVIuqD4Jz/PBaCkuKqghTkVOBTYhSzjRoyUJhd7t27A5VkZS64tedm
b+9bAQvBTVIXwqXb589lVtonO48Z3jjbXiwIMC538RwGTaTXzdmV5sJEEqB4Et+EhR53SADKrMsj
2Y0wXc2VXh6lNndEoOmplPi+QJlRtlMgrrTcxpc7/NaEQfbNNXuNQp+Q5kXbTMLn1MyrB0+EdOEW
SfVgZJVxEc5YnSy8EfByx/RbTRMrI7XhLqNdNhvbImVtQARqvJvsPrl0bYaXvWOE3ihGkd2MrWQv
SMbDCMGFCUHJs96lLjhHJZP+velccUBk7NIgUi3vakP1WYN1i6Z6mpNBRiegM3TdeOwruzyOLT/S
NTsOaRRdT3dmxFfThibHk131vHg5RdOVbQ6/Y1Hp45V+6+qksOFnrG74HGov5wcaPE/lhiBsuZn6
gvNAW8Cj4PrbJQ5FG6txZGKG+Mgw7C5bkNook8skwRwlZGN3RifqT5CM413Y0YPz9ZulYQqcru8M
fjzQIPc+WoxJid3YtHWHsXdvLXxQS2uLnzmOwWNpl92jSi04NM7kOPQ888JbUUzXifXLkzsW/Iv5
giG3e24iNFcypOm+6ndk39NvX9+01AYMsZojHxS9gdvvlIyDT9DWr24HNg3Ih1HaBfYs82fLH0xo
WXh7Nm1hufcwIK1DhVR3NThfrZumZU+Au8Lak2LkrtdZ5VErZj41E14bLMei/WiBsF1KvXJuEZin
kwwN84odx7sOkp7cmG8kq3nfDr8xO0jofEXMYBSO/CCW/PeNOwGjy6NYe6hmyUYKz+CDjKS/q/LW
R0zi0yqGApdyNCkvUNmyF8fT5gHq4Z2bXMs+G1JZ4crxFtuME/Hju6XnmeMz3/qZ/0g8MOoMhoEp
KwDD6XxRZXzp5XTXaeqxlzQC9Hb1rUw40ABJC3zvxmy7W32I7uJFwcnbeF+kzU978E+0hwKA0nzg
je51VGIr+njXOvNzxI5kTSzKOzsOPxCaAhkFjX3gRLWNWVbXlucYo6uoup2RGM7VqtMnRa/rxem5
h2eGF60dt8Z85ZZWkBTTBa1xPYwplPfqKEo3vGObON4ao5luvSqasC0CJdo5VZYS3uutzVQTb3Nr
2ez7Pq+D1stkvNYa46NEOu+l+SlLOpMlDIJTClaGAGNBn41p/2iMdl969j2PyZzNRSduFwvrG7vX
V6V50D2rAuOkKraU+7SrYir7jVYAWUyBjIBOWcaW2nGqB3zUVtDH6fxR9HYAPHSB2MVqW7fjQ5l2
9dF3sx2CThzY9swHnDjGdpRdiLY4ZZByjCdMoebK9eUhG6fiwDJH7AElgGTzOphOzGNo7d2xjuZF
zq3eJE0Dq7Gs9POU6S67EkBgKPI65sLwTTcKGVAntOqM6aeYauYwz/1MTDfZW4PUv7mORotllj22
hkrfp0kTG651ErGQGgJIWWoVKr9d8vKWXPXzzP1A9Pk+SmeBv5Ha3GCu1qYfPshCfcRTG2700psu
Y9wM4E2gu7RAW0yUeyrtuw1WM6jNhnNhWMru+VrRbcCxFyFpskj10O0bFJ2W7gH3EIdTWk9lg1l/
KsqzNjMQXTZG7HPr+r3LK3MtPeXTCNm/6hS7k8zlac9gau80p/sBh/0Nt9NOn2T4NBjM3tgiYbKJ
IQOnb2s3jWU/hVPJpoXLkOBoGb2yzla47QQbGd07D14XbTgkeB/Q6PqrayfGE9i55QxBN16gLGc6
DnTCwqox2SzCmkufULiINSqr+FShm362TZMffXzTqzJS4RonVr/lmT5smQpB2hZiw8Zcv7hhWt0L
S4zs3iUnK7i9+NMa71L3NaRUfcq/DaYhLk5rMWFwwlo1tHusseBW3MnbBDRWXNoShbrw/KXUKTr3
Y5sZRxRAA/uZwsuL5NBtPawrOpdE9Nw6o3brGI0HmwAwOh9ipVNqHCGx0ql5du0GCI5RYgaspF2b
ZKGx+dljV10qz3CPll2Em1DaxQa3Qfjsy6S9DtmcpBCz0bxXrV9qZLw9+8BJIdsZeiUxDdCYkQ92
ZW3iZvzJRtq8NWg9fRqaZNjXsStfHLzEAL6mco1/JQ4GlwWAZtVJAIj3kBWcwoq+1456xQ2sNky5
r0LahOqmTXE7T+G2SgyPXytneLfy7+AiQYA34XCbOZp+04Rls81F1ewYTPugI48RcGa4wUW0tTRt
h8aCqcWb39KmwSiclnR4jYNExjEyYwXOJt8Wlg65gX3lboZxjYQy7ZpK4zHQhWJr56q/mzPOePB4
FU+u3rtFMM0fZKqGvScy7U20/gWjsPocFkyFREjd+rWD5ykPYTQLiVOygWMK6IFLnCl+RdcnCRm7
ui1dcre1300rRR70WdTjbhzGCHD3/DA5wr2MgDtxQeEhnEpjB0xfBbnRbLB0R5+01+1EyyOvhwe1
6ZOU6Jk+jscEL3jQpSo8DDI8J5EkLmLbaxcn4mFC2j2FqRf7LXHkOFs4sPPVz7i7Gie305yk36RL
nUi9y7DdRPfUEcs1l7AaohUveAnD+xprzueIGRp8ua9HUxG4Qz7R2cL5d4aS1U1ZkEZFZm/Qg/v1
6NV4/20qcFOMF31HvWbhJGjDCo4jzboZKXiL5UJYmXuehi9jYd1rut9vi9LHJGR1w0PozvPGmGZ1
iVK72qa9bd2AeHuVs0g2c+1cE7/SAuwl7RWtzFzDDk9vJanq72oEY5Wa5fzdUEZ7MxSutk2M/rOJ
oJ4OttnfeH0v1i7GvKM1Mv3QiKLu/IFF1eA68hpxVNnQKCrWk+Z+IwsWrmTRpe9DG01BojWW4Hkf
HgstwfKVEnJCJSgDOn9wltRezKOypmCntZIdINBHX2vHlZ1ZJ+j1A1J9+sFCsWdpVjQX6JxBXlk/
YhZy67BN/OMEO7UkxLwc+qOpab/r1tB+0EqOfWMoFed4Ze0FMJRDk/oPeg+bfIWbdtbWWd9mhxkI
LEYByNNnK2m0+zov5pec6psbFRc/GECxIlem7HDNQiM7TWVYrZMy/iGLgqe+JosPl9AT96ywbbcU
RPbbxsDjzPHF2ZgYtK9tCHOBM9BVJKl9iwIVqZVh5uKIWUiu3WnmSqNC7plEVneiPBeMGmyDOpBT
m99mpVzYlTQnfiePgC8nTBOaP/GAYWL3G5euu8Qj5DTkvvdBmpQbRx/ZBkGFyHtpG7d+m0VBIpL0
E8b9UFgat3zXL4NOH0pgDFW1sY3ZO4VVW20VN8aNZ8zsVMMS+i5DVpXM2SWJuuHNoFed/LqLv94u
Y7a99MdUK5O//Faylbsl0AZCoEz89pE2jyYKNyxlypmlDafndp6CMRlYW62FarFPSdVToFAUe1e0
yb5heY+DpPzMxjlZKRohGB/VOWtwzNdR412dQu/vorit6XTwZ1JaktNtCibPjipC9iFQz9T3wiO/
2BODX7h2/bjaamnhHXIE5P+Wwfw9yP0nWx9MCEs35L/3MzwnLH3KX9c+f/9Df1/7uPbiWuDnmKi2
3hIN/9faR/wGCwZ9woeWtEQpf7f2oSeGwJrxfwc5+WkCl4QDF+mvJsPd/8VFYwhyYXjxI/ktEEx4
vb/3/Xq9U1XVFBl7zwPwMKyYsYIGS0Uwl5M8J4PgEBp+mzgsEzGBovikdyxILV1UpySOuouoHKbg
pueZ6FJ/tGlcG3PWFNUnNIv8sSq5g2Bd9A4ybB/DPhxZlnbyHThK1oCm5Q1+Uo1WPptcjHd1sYzH
vak1H1SFVacqjvyzNY32e6nLHJSLqex3UaM8rai28TnZVBoXEXjCDGVh/GQ94rvpMVHWcME2umkK
BRp0TE86KURv5/QhddHCimhMjrTOYkY3qZdida09ahay44oDfM9onJKLkPTNKtYv1pramfFiNGO+
brLY+5ZnOaxfxUDG20KCbc/gGJ3TmiY4gMMY3TCjVAg4w2BvMZqx1VHkRoq5PEUDxE3bm601R67s
tUkV5ywjpHAMf3eQh2J4JhA3UWVLF8wB9x83pLqo77ij6u6OCIYFWrfX3lqQmutOjeNTrKuYNFmK
i5V5XLrPtUpICbqc+PzN3Mwsu8Y0hLwT+hEbY2qqW/NWskeWWw2k/uPXEqKrwVzilxzqNyuCEQrG
wHiEmrO8y5nBexFXvvHoZzaTymQOxiOVxxVw1npBGYKW1HFe0RpxUZxiusBFPgZ0g7e32MCThF/D
uWKp5WokY+9QsoYwyIiI4OsfcwP7Kg9FBwcHehr/HuoDf8YWU+ae6wXXayKFwMWi6us5Rf1f9t5A
Y9veYrWRxxG36Wi0/WevyqBvlTx+no1OA8XTeOSN+WoCGiUyzMv4si8ObtXNPHt9cRBxa7/XnE+Q
SYAa44AZ1XzyS9y1iDtGdTIjI8PJZs28IHd5U0zZWOmpzeY8PoJu5RcYDInz1o1S3l067mgIGWCB
rqKwzwrSNI1IiUS6OcFIt3LMS9jnQ8iDJ9SjQ1v3LC2iKm0/0pSDCksk/rs1Lj82rmST7/I0XUpf
tbJX/YpjLf+HBWgMOruzvHhvblOeCzS+z0EDBjdZzTyvDpZTkBwcF+j0rNr6zYnYH1lazYsIyVfd
0VPknL/+RocJZtyy+RKHIacmcSWBkiQBvtfweWiy1gsoiI5cHNVmj/zYGNa7Pi07CStiFeboTf0m
TQNIvWQHtI943lv3LFr8TQausDokImnUEpETIpBmws+PRM7LmgrWGHGYOy9Wm07a89dvSWaqi/b5
RAQwwMbML2vXIFhXQNuMC80/BAPzTJEXUs6wUNaKXs4P7ZCxDYSDx0fKNn55T9JJV5d28quT7yhW
fE3Ff/enBKKphzHWwbmLLz6rNL4QPlyWHadU7lBuyhLBKnRj2iayzn/OxBchJztUAQYlxxdCffQy
F7uq64fq5BrFCB2IVvJgdDOIua1vzntGr+GqD95416dT/UajKR5nne2wx/e0BCnqWzAvWq8LqtoG
yWCbmmToNWHSdAX89mBid31x6GU+pf7kP/NhOot1AVksZdpmndao+q21OhUCfDLHh55vMVswr9gy
oAOc4ih03yWt+pFquEEIeHFZ5H4+PngOpgfXbPhim83Q8GJ4A86Obmm8uiLDeTOzVFRBOzS5WNt+
qWTAWwY0efRtdz+QD/tBdzPFLnjdPLGxwmGZhBSr3ChK2ROXy/s7jXH43MCLPDsdjFL+wmK4HfD8
oXExcG20VgzkfEMCD5D7a6zeiWDn5cVxQFQquseyXl7zvkKr7LOcIC3AXpPA++xutaGZPi23EMew
4QCV9p7xkdvu/OxF3eiCvaYMQjIofwo5Do+I/dOhLspiwyE5DKpEe2pSrXmOTUutWa4sg6fvJbvJ
oEWEPEJ+NsaSk7c/llvdK6ZNGenz58Il4woYyBdC6yaB23+VVrALFG9TRiKeXS6lFjjrjUM3N9lN
sXRe2F/1F+FXFQbsXRekoLwQVy0+UaapzJi/6jPGSU7Hsh093OjalXwkUU8dPbEJMq8nspdn3M3v
Z0vEh173d7hdR2ADol8ruK43A7uTVaZ14V3ZN9xNJnYO4Ji6q1GWr+zyYVi1vpqBQnWJONcZZPKn
sBbV8xDnzQM4grvYRgqnVyxaDZjFryEIm4eSpDvgwbH1biUjzT5xaUbScQi+RvgbTlboPc6R6bx0
EI521WgzXNtDWbEXNKD77vtmXC78YY+DBYdNbd4pxVbQwYBjb3I91mnj5OyP0t7q9yrmJD6a/8Pe
mSxHbqRL91X+F4AMcwDbnAcmyeRUxdrAWCUV5ikC89P/J9jS7RJ1u3S1742sZWoymUgkIsI/9+PC
3BaZhLOPew3tgoRzsyVPUJkboprjl6iZSmqIaGnJdpRm9+VhbouiXxsQmLeD0yIzTmb3ZENFe02p
HscABtz1rs/cHsyX0RwH3+Guppfly8TyfqY5pL9FoPoyyqDVxSQzKctxanya16PuRvkLQDvAG49z
aLjnGa/LNbf87vvgTvLLHMZ1+zZ1ZjFcUya18bmTS06yKK/WKJCfCbpH1wRm9Sb3Ue3YCk43Q8fA
HgD2ahA+EGrlGHcIzP5W0YYBkkWUvxUdefVWiymRN9vXLCXjEaQ+ZR9l4t+HTejdTf0YixVjfYQ9
2IPNrQAKeaGtxobi3pvG1c3JgQtOxAwrSPsMrj+dGlVWX9K+c9de3TxHfWOe6Kt/6VgS0fy4T1Vm
vlp2fMzGTN0Ys+d+HkdCHnznZrm2ImVtsYUkZ0XI9c4J6v7SC3kI+pHEorC7VWJaqJiibib3ZkwI
ZA4CZLOduOTk48buMVjPxq3vcquYaXJTjkF9YIrzKcLGT6jeL8EZUKlCJVS+8elc2VjNwH1gNwhG
k0+zmRNC0IgxjqwqnyV8F7oOcAbbbpxrELv+fRDK7rGWbs9Cj8jL+0m6db5MO0IrwwXdhpFgHz/7
ZmudK6K8G8vRePNqJrXTleVjmtVDtaJwptjZ4OhxQhSZ0uZyY9V3+OFpNiW7XgLA3uWOOT+ZUg7n
GQTEJ0PygwOK94UnEDUcE+OdTVeGV+1/3DdVn/CvttucwTHiN/HKYlgTvx+3fV2ljCJwcZx6Yt5X
PGzmRka4jeg8ualzWttMVUT4DkvKTPrkcxaVFJV6VsCGYhri56EBViDU1LHiKufkN+V0mMwYxQ5Y
wc7v0QxXlLBAOChLk1N4IHpy8jOlqnwTyi5fN5PX7ty0Z3VkrkbFGSPPfTO6wUsT8saHZpKP6JOC
QW8bZVuWQ8SsTKWbViPcggilCv7CQxL5aMUyg/ewzLE61+6M4mFivD9P0q13I8YkB3NXOF1EOSUB
nhVvwBjb+9+ZWIxbZp0ePP6wK/BJi/YQkrVlCMXWiuZlwgrD3ILUt8oatn3mQ5prG2qghnQd9EF/
GVEDN9FcdOt5aIdNLoR9JiIx3C7A1J1n1rec+vPCQfcrw6m8z7oUBTf36oe+nGL/oSC1taw9I4SV
0GVsC6rR/ZozzY93oV8BGEGppvQI5eUuZpGNh2K6qXKltvM7nCRTQXRVbAMudtE0PHlnJ8bbRIMQ
xGPoJlhgXmPNO1miEcpsCQSlzfv5xlOed9tWCTl5em2MTV97/YnRSneerHbeB+9UFa9TT8lYnoAt
nJtgmTYtIjdomVp983la0kPbypMFPnwv4+CFjdq4E0pu8JO51+wd7eJRq5fvsqmMixN5Nwb3aYiS
v2JgDhamLirUk9L2lwdYKbQD5SUIGR55xbBqqlJDo3ouiBMtN3mPU/LbPEzq3sBIcmcki0y3cZN6
/dega56anjGWWMm0dyN7Xxo83I7R5O8R4sVDbRWfaMmZkjNFLiK6cSrzrRu1sxGIH9Mp7gUcYGnE
55zhCQ7yLBEP2sFnfkpL/pccsaNX0X3dqBafcLGSRrHGav1pSZDFXUcGsbiP7aa9Z/U7diUr6Hj4
4ST/v5iuCS784LnWwDLHC5zQcuAyYZH42FtKer2nBZB9rZDSPY4OJ1EvTeynZRbMt6X1dw2mnnZc
/GBW5AUhtAXkNB1BsYntoRT8eBJnlDfDNVL1oYI/cNOh/pDJn723nFFpsrHrHhEQd/htPAS9c5QS
bXReK8tIykvm4XyAtcPW228rV96VcrCotfOX5oQXN3wZEiaLA1Nsre5XEdu20le/Ehx3Qg70NJ0/
4t6kC7ydcnlI+55tJv7Et9obxu4RiKWndgtG5pGRie877peF8wTmARxa0Pojz2Gvz5RolfPEeCqF
07wi/apfuWWq7zT9VI8OmQO16lBBKRO0zebVLN0JvA9nIzyxJUv3SlhGRFpS9WoXZhwc9kFcy8PM
/1HeuXVj+XuZWAh2ygrq1/ezcOm31t+4pbXa8efPQHh04gY0g2C5Fx+N9jk75MhXZn3wZn1eJgTA
2YDWMY5rP7+70Hb++kJEutkGgH+3P95doHddo6Vz4ICdmo+4Ccpy21Utnw/fPfdNpQFn67jWwYaF
Vfb1n756QBcvEHwsSZoJpu/9H8LejTFb2Pym+iCzxn7yR5zgaZvO7B9x3ZOj4FX9TnAIMKjS/J08
/R9dudYHLyY3OqNCG2XbtoQT/uW9j5lHQV8k6wP0GX77MMa9exF5az9VROTKjWvpIhZyo/WZkB97
VFNWPQe/KhYMI93Jenq/Gv81tf2NvMnJ2fopzuD2t/H/nX6T6rf5x8jW7z/2h8DpkLCyIRG4LgSB
EBXxfwROtE/ONE4gcLaR17L5LyShuoSOaAt4gcVJ0IYbhfj4A9dAQzH5ddAiwRiigMLJ/gfkSw7D
f/mi6WaigFx2YAuyYx/Qlyg2kAB6bEohGSdnTcAbDjBPlvycRIN3JpHQDo8xfrFTzUa1P8IN665J
Q7ci3ESLmRX7voI6qDxEPmPig4ZCqsBuJjKxceSm13BQJjyoylnFYZvRu2WMt/TyJs7GmqPoabIr
77NfDW+FhfGUX4X7IvIeOx1nUADesJtm66JqcKgCDaFpz7OIcKEbLZd+dDGtB1lgPSifM3rXdObn
EEUOEcNI7YeqwpWq5NBt353qfsMPjr4wtuTnpttyAtVkGRanu8UGM6mM8LuykUNWYJeYMw3lIo/M
sbHNulPevDmDRZBnVDq8QmPi+4XKFyocpEi+8vmna8PQftvRGuAEkxUL9qjdYb3Oyv645Jm7Fk7P
DypvVPbGBtybcfgLy/DTkC1tvK50REOU3XLxGxyvgP2WQ0mW89CNSh4HA3PvYiGaElgnD6LSLlyP
ae30MItD6cHtTKmLGZmB8tAKQEjZTWy89j05JrbPpS5OdqwbGajQ3I+ehasqL7AdDmzFPpNYRhrK
J5Pfhudouguawvi+JGO4niBSnHA/Yj8mmHeLLoNMrP8+fPzyyJ1N1oKIhjzaRceH8V4EhTJfjTtT
kqTpe+qC6gAUYAoKa6toqt1WCxWlK9GlNuub1ZM9xwqWjzcED5LkEBVoigcfi5ezSzxBJ7DD0Iip
UbQYq8og/7K49XGQCLWrLnuPPWFKaQwCJjucDYEJWYjSsr4ruReCJj9lsHY2vHq6Dskjp1sMDN4j
gfniRRpO8Zg0cv7cgsi7YVsXPmXLEOwSKHH+Biqxg/uqj8/UDSefkKyQjMLZOxsNH3bgZ/iU885L
10PNmyRZZWy9xVbV3sPMuoJx140rPwREN2XN8rrAMtsHrgrB5tnO99F3aLeMZFnWK8tZpmQT21ma
s7SbXXKbF8zhlpDq5Z2PLDrabOkGPuHVIElrURiTq4eI3kOKC7FwEGag77Mzo0vpl4xQh3gM9hYg
gp0sEoc68iDfl8FkoIn4SVhgYkuBZuSWqR672v1MnV1/U7KzhMEz06o4tNDWs558JDui4lLG1Oex
j/L9HXVsMH+E3TAuzKtTTC85/Kk+kHACi/oefaC8KsPxd+M8wxVMXQ5y9Pox3mxjjPy+e1iE323t
0F1Oidtq+pc9InQXnvM8Wb7JwW4OoFgQVVuNMD9wj+R8MWymqAzLo3xXdcO0tetOt6lEGTzDURl7
ZqTq0kO2v4Own5+hdnv3HSHULX2HYF5NoUxaYWGmcJQxQvemwKHRY6MyxWemvukFcYe+YuaXZHzr
o5z56JeGNugKMzJQTKsGBwfgwqc0k595W6CZBRuD8Gl1oLOnfWxDkxrKcbDg0ibY+jWmcnmevNmE
3N0mt4PTyNNiNvWL4Xvz3m4FPep0Ttcd2IjGNLbVvFis50VHt2LChJrWLI9+JR4U1qpH7tkMPi66
MWrqazItRLh4/8jYEUY2VLxaqI2/xMgnEbhBY6YgnUbaIMeWVemTgdn2PXRgTK+oOI1cM1tInnyB
ggcEXuZrmw68Mwe9nOIq2IYrM7OZWEEKIX4SDtM+MeNqPc7lW72AcpTpbB/rqBW3NQm1p5wm9nJF
FHbZhRjTSF9URUelVLDIexnk+UlUA95mlK2r7YNF3yi/j17fnyzIjNF3zp/5iZyC2qCTkyZ4/xY1
Pg+tCSfrixzJGfiGyWN1sGviX2JmhZEooPuJ0BjMkcJ2+TqM9oPl6Reiy2zaVDZ62boY6KIazXGA
7DAaYXXLaj/fKnJy86auiWqpnlCODDDr/ne79H8hhrNR19Ub/3kafKx+Td+qtx/3Sr//zB8ZAPcX
TWwiJsMI8E8MqCD4hf0wG3I2MEFoMi3+ca8kgACbHEc8iwC8ntD+EQkQvwj+g/4x2L7vLT3/YK/k
uh/3SvRjWfpUEHr6RGJ/ROf2tkrSJZk4x/PE3jhorW9AMfGF9akGxtGFBzxu1hw51RPUWecxOU8/
gTO3vCPnKBoA+aE5dKK3Sno4pupL+I6pi8OcYmp+CmSS5tiV1VJ9KT2CvuQT7DtMYT7u/UE6dEpg
y1qj5+BDUWHhY0QOHoXMiwc59cOdObyVmqSXaKYe/XfylcUB0N4yFCTkcrOZ3tQ7ii/l7Lzgs9KI
vukd1+e8o/saTfFLDMoHVo7UPXezLSPN201xYGoeYFSE/UVnBRyAqJzFmNXagbul0gpMIJlzcN1Z
kDn7ltZBKLII1TcOfvWAR55GDRpVAcwblkj9rVFN8wqsb7lFMqds1mGSEIdq/BagFr0SIfQAVgbx
fKaxsb3OTRa/ESJnxclsoJ9Y+HigNGtfMxEnTUdcvKm+ZzBakwEIJnSkmV7NfTGl+W3glNOVp+ay
02yLGfyiECPSKMrTeqh68tHuvB/tVNzjHA7tVQbBEUqNtXKmEqCRZzVABrPu0Zlx4aUKsYv8r0Ox
bEN7J3Hl6uR1DAKzeenPwTtHclEgJQcGoRhz3kmTqQd0MjA1f1Iac/ECwLR/7DWkMusteJW9Rlem
GmLZGeAsmxGwZVWFxs24YAQjiu2vapyh63FCfFpiq/9U5HPTgoQt5c0YyfacBMHwHa0QiGY8a6Cm
KlzdW1kV26YNqwyUfdjS4GaJ4VIYCJVw1cFztu9OKRRNbx+nJcZeOxvVl4xoWrEeKZ6mIa914vsq
CCvrgFiQPjDYcz7ZccnmfvF4NaL58tHCr7YDqueeLVuzRBONFTUcGshXMxZCuwM6Omr8KIw+kDdl
Nr0aFcuWozGloxyF3Pnv9FILpmK6JcoCATTz4ZuSQqmNz1ns+PfJOwF1AL1YQSNa8m/uOyO1T/DE
sqKVm9ADoUqJavXE55hjdlXJvZgydVEauiowJodbS6NYk6jCV+BTkbrhdq2fAgdoK8BBDgUG6uKN
VcfupR3cnt5KavwgFIo6ZVtS8i3/PFVW5mpUKSx/Ls9EZzVW5gFcd3Oq4Yd13WoKhznzH1QdTmZx
U5nmVJGDJy/Crn4Eth0NCz2Q8zg48ynxkuxADcq9FWT07LlwLimsjOHxyxB2JN+erZr64jWKIApZ
BUPyjejdUK3zxq4ZUCrvse89LGlzaoGIcecWD2xq3roI4DedhyWcpiNvhUqKmTufickwft8G7DPW
ku/LQ6TY2KxSPOLPUzQ6JfPJzszuRYqbO9y4DYzPR3dRBDQKSkUq79a2WuMw9vLFRa6+UjnCdolJ
wHh05HAa4sq/ULsu90jquAonTfvsy/kKl8gGxFC0qzrwYihdqriO0pEPBVDLtZtnRJwoKNsKuCEb
yiJWZURBPZ01t3QNr/qS8RtI9JshO5HS5Dc5RrvvRdRuw9R+9aPEA75mnLIMMGrLjgE2huLX0D82
kQZ4YfQCKVTJem1xWXYiDNRdarqvIX6dDWmncFuPg3GBNxcdOLhO2HDYEgN2haqGIzWff5VqOHcL
1zDqzHOW2t28tsLc3OExeZ4crO3MZF8CAaSrDJpvGISLLU7UB5M4P9bE4iV25J0/Ztl911afcZcy
rpnPgnDLjs6dxyFlulROoluP5lyuzDEfOCWyi4ET1gQHCNH5GrQcLqNBtQR9Ev/SppY6SYdJaxbF
uzkMhr3NOWFjqTlvVy6COMa3PDnJWLgpb49jSDIpdQmn0d357C5tbqOzz6d9Y8bSXplGXz2Y9Gfu
6ZIxdPSfu2mul9tZRlnE/WMNdCt7zbWd5/DBYabLsSXtimtuTOMddLxfRZ0wSEtj67yUYbs1FMP3
deNNeH+GivAHxPU5fhL4ATfgbepNO3n2dklVSe9CPN8WFMqv5sGSz0tOaQMttAqzdnr1pNHylcgZ
hA+Dui1lTvdDWZSPQxFFV8hI9FZo2cED6o6jcDiHEXxeWlCTt2KK3hJltle7EeO9PYXTGfHUefDT
sHrsx1ozEv2TEmWF7ZJbJzPMT55K2pVn8I8km6I1wWRs/Tns1WlQD5whxHoh5bYD8RLueqqbv0Ph
rm7Jqqp+gezRMeRbyV65tzxjjBvmK4KWLsaTD6S1ik0rqvyM+cFZe5Hd7GG9Jt/cAuMHiBaoryLv
H7gJi9uwNgvYiZEHsdEX29Rf0Css817gqWeAlsGkWBznvkCk3xj93NxxXvjiDdLftpaRP5YaJOV1
wv7EIa/dqRGvEndGwqmLfYFuzhbVDkyWxDXp+HurkemZor7w5KlxJvyRTke/Y4mc8sU/GgW03c1/
98n/l30yYVIb0MJ/3iff/1ZVZNSHtw/Oyd9/8A9h0f2FAu7AEpr2826d/B9hMTB/8SiftBAKbb1Z
1abKP5RFWFDkWuHkIFOGWpH89245/EWA8dYBW4vWCr2R/ge7ZdvXyuGPswLM30ietFzaLoQJpPQ/
i+hF6ailbMz54HHDzxtGfqm18YrRubWjCVBxaGdM/8syleVu7Pw2ZHmU0BeC2jLh9ssxg7ppkquC
IFN4mwSZHngvz4WNDL81QxfdjfpcXILp3DCznazVUgYcnBm1Ke3/ZvjqF2zLDYchEG0EM/5FOyGL
tmUyuwB5sesXSfXqadandKha5lYYy/Ic2QaHeJdu9a18P9qz/rePca4P/Ob74d961wHeJYH8XR6o
36UCU6sGZT/R4ppU2EOW9DfkxfjbqFWGiZ/57M11RomPViHYBCFIoGUiTjAFwAPRa82i1upFGMTF
edCKBiU93WXQKoel9Y7IjJA+aq2CBFoPyTDWDWtPqyST1ksYTOA7LBnr0voQcWjWykogucyWIfji
c1A3TxWGt22l1Rhb6zKEYULUQ7SacQnL+07rN6TXyisV6vV9ptUd2nQResi9sc3V6k+mdaCcnO0O
hCApEKCzF2ofYnM7Cx/xSObNkq0rJCU07u6mR2SCcdM9WkpVqKJQLSkLwGDG9FdrU5XsnZepyO0d
bPdgX6L4ImItUXRxtbI1O2a+LmsO657H85dWswAinx95J8cYze/KwO7vltaDGO5BjFQb8hbt3o3N
e7fv03qtatu5tZibQYxt4mdZOtPdoDKPFnOfBQoOq0d5n45vlnuSvGSUChndhE1WXT2zcy+5a39K
R9ff5DW92Mgr864iC/dI+rLd4vQvD8D0sLGx88qpGnyIejaSpAgFuVB3PFJCgFDuBNvSHcc1fpR6
Ey0kbMl01NEhCyNvByIo/x6O4zdov8audt2oRtQtrAducvgIYPqoobQI3BUhBjO8VhtySu6Gjdi1
5m4jHhieaxOaUBm0/sZI1OelTGnOZna4S2yfcMYc8FeqxFvHfYzbmOzpqRgS47MrRHwEoKJXpqa5
zK4HUDzQzFQjmekpmIZ14crk1hla7htuW9LTPpaVBlS8Lo/CZm+6NLA2PpgxlJSJDW2n+8pTt473
JMcxTj8HEUewnQqt0cHday2u32+yMYmT4GHE2uKD2DXCoH+07dwbHz2lK0VXXpsn1otFPW2G8StL
z740xbULOE5+mtyl7Jg6ZoWzq4iwYHP105nXJ1UcwvP+BGKc/V+RWXJYEwYACONateFBZHKq7DjW
NuOzgmoD3k0GFr3SwSU5sANL3ZHJQ9rDRKe8OXNusbYM2WueY2WqNsQVKgEh2FP2em58ggeDsiee
bH0ax6+llcbFOkuslM/HqEtuz5E+hO2EukfrlpVOvP1gnAVdlVkVBNu2dIhAH+YucF+xvozdN5GH
Vu6/co3CfsBq1tWntKscNopVlHcQ9Ss/ysFx1h7Hn8Tsu+ipynviqSaUMn9td5LDvG3AmfzvSv1/
WalZQIOfrtQ3dU80/aOm9a+f+kPTCn4h5ExRHUQLV2PI/x1wCOnCdUWAJy34V730v5dphzZcmxIp
Vmp8K6GtiXe/i1o2vzDEXxgKYGUmBoR/hGx09Cr8wyptWZYDvgokgVbPBO6KP6/S6SzHnoWZkRUg
/mCTZYb1YCbtQsIrbXZ1mwX0RDfC/KoMET0B8JMET6voZMg0YrhG0FcUQKtqE02WwcugOzKQhIMg
N54C7EobkdDGua1N5lUW2+k7q4LwlmkC2pTE5M0BEm4bTZJCF4hAJ7uJVnDFAAAAuyeLihz3XWks
B3oV/Me+6qe/8TR8MLJwBXCvYJ3hMnBNnY/D/gz+Hq4/CFAoItM9fPFwTwdLyNep0++Lv/uHzdz9
v67tj7RCpMoPV9yFGGcy1AVNz/ZIWx9+MBfw/TSnOM+b42hIB4RN8VUTkzWR73fO6n90EnzQK/U7
Ew4mAjCQXmjZug79x1daYBUutJUUoOnpsrKpo6AZxzP2gBvSx8Eu3P2cZNHDP357OrLDYJqbiX2m
fvs/vL3MtBEKaNM5MtmbwXPqc5kCqe9t+sljWvjPX40gELtLNmgkfj5czDgMxrQqs+JomaOXXypZ
LrvJBzV/1xfh089fy/qwo9XXkyySbl13GOGhXf/5rU15XCRlbqbHNpkK8NwJ3WSbti3rDXssFoaZ
0Wkve+tmBKV1WArRNVvQEOofv2cdRMJ9Y9JwJ3io/PnPKCwl5rKnAaftc5xPk5qZAMXM0kNfr3s/
f9N/vYc80+JYQJmdRrraH/wBkuIvp5M+kyZrWa51IDFvGnyDG0TA5DirFNS2qEiG/83r/vVbgi/B
5wzDYJGKP/PDcymPszGN/SY7VmPLCGfg0xydXo+/0z77Z6/lcnIgXBkSJ+PjtfCI/fmCuqnB0D4J
02NKPxmaxEz9b2PK+RyTP3/++fXUv+uH5+37a3kWirgL9NB9rzn/09ej7OhcoovmuMyYDzd1JMpT
kWIu2Pz8dTjH/fV1HJ9aDB4y3K72n99T7xdK+vWUQveCcEM7C/1IK3euIGcPjNeSNGUPNaF3korB
+QiqACfm5ed/w4d7R79XfCU86Cyf3g7z471D2VSethAYjtGgYgq/IE6s4oWS0siZy1MdB9isfWf+
m+e5bor/+NaxsvDGncBhDf148Bxin7aaSKTHJIicTzLzyxOevPmWLX2ylySvcNoZ9QTvcJ5isQZB
OA/H0a+mX6nDaGETw+E5QRVBBzSN8hSlNC9HS2b8ixX2H5/O/9vfiRWArQGpO0xf7wfoH56UuedE
4yIM42A6wv86z70rgXIUjB/I/oz+oTIy/LNzZghBq9CIp32wZ21BjaJjn9fuOezC6Mjow7kNDV+J
nT8kdQZOKhTD/uef5F/vWm2Ic0z28OxI/I9/qhkyGlfFmB6xIuL5yTEm5tAhVLf9+et8+NZzx/zL
+oYnOeAR93FtTA2bi2KolCIZRsZhysl5VWHfPxfK9R5//lofH+fvL6Y9VqyOHvPBj9anOVCecqeM
xzl2p00cRMMGoHy/LviqwPfX/NBpnM8WCZpXgwDSnoqm7m8urGW++1b//EQIHCYkZEbZFPDnfFhV
CtkYNt+M6CB6UjxHUdg8TLuQ48Ix7pvlyoHc/OppHGWa9hri1yQU0aZpLgMMREBEIQJEpxCrzX1H
j0W/Um3GnL8tuj5d23m5XIoE+1YCNvNhKZzo+4Ay/RLMxXKhLwanU9hK/xH6f36yEVDOgzR54ELs
tx/AD/iPmA3NQ4dodJNUoFQ3ZpMSBxXjcp3jSDuGKNDDUGt2b0UEqGkx2MYpo2G6SF4o+o63yGtO
VdnSgVDRKHNgMuYqpAsc/CtHSL1HqHPXXFEy7r4lYWR9q/rSeR4dp2lXUzSUxloBTvxeDJ07bsoO
qR0jUZZcGAiV0Dd4tHDQS7/2CQ/vWsXed8ZFgc1chG0j9VJmEOOUCuN+Zya+ux9dk80QDAn1K/5/
e1tlrXgNWiIvuLIz7je+/XG+y+uQl2eKYVwDW/HsNFUvXhdk+82Uh/FF6J9VFHcxC/Ucd9umI8xL
kRbGU1g784V1pnhp23m8e7+8kQ962q4S89qQ/QMQuYgiOQI59J2TbZbJJY/Dst+24LebrXh/WvXW
fJbdwhMqsCbjS1Xn3JHAj7BJFIWFxSltuHazF4C3kKaZPLlT6n7qQRUYEJrM6t7JbaF7Ifg9I1y3
i98x6WB2kH6VZjhW+GzkHO/DBWj7yoU3/8iIDbmIzJRNrJBrW8Jl/lrEpb2z6Al5y7yWVBtfGri2
UVpCkRsp7lt3KGP35tBOd+nsDglJGyv9Uvgdjybt4bBmkzSSo+/DcqyB9PbY8kmxBh2mpcliA0OQ
YdlBGOFeeve/xeNcRPgINd23UwMoaM+AEbGU7HMIjwBfzngDtFpmIzqU4gbbMoJp3pIxpj57Crh7
oUVM9zKiFenQJ5wYUPCNJ5/OFj2NdedLbBTZKQ+KbbgwJyWUMd3BLml3XUZ7aTwu9baFkIcwUUvo
l0l6NANZnYkTaA4T4WLfVubFcqrlhNrjH3B9Rk9xJ7a1qweqfpVfZl5tHUWeuCsXsc/TBYIDcB3S
PpnzGjAjXjVuSSERESsKLijSNqaFEkXbXls+bJZwYjLhyqrI11xV+yVMh7uUdM4ps8JdklCoQyVS
fULhxXdgMPoDPBIC2eBtFXkg1wnOnM08wFaATkqNr+e+SqGcC0PbO0mEbQW/Y9oMc+DS+GYTTm/T
Zz/ySQSqxj4XTN7NPvfWTVeN+zwElAPBjWzOYvqbsAHrkobJg0rmr3D03hrUrm0G/wl1jN4ZGxvE
ET/e51aPRSA3NKTapoBVjdDbl9JxT4sTWBh60tvE12KJ6z8NQ3SuKxF/7uDhbhMi7aekKHkAu3qP
VNrzrZ86zoXpW3u1oMtCCvPyzbL4N7lo5wBkYZkJBr76IRKr3+gWag6zhdiKcjKQophjJztZtVtb
q8iIxU3vkVGHwk9oajXM9vLskSXcTWMR9dtusMNzZ1ntHRslN9mMPs+LXECshVocP2M3GB/n2mP/
UKsmiFewQ+ZLLhZnG5W+2Lnkgn/NULUhu/jTMWlDkq0ons5FxuYD6t34IPDHbZ2l77d6/aEPp26G
ZJ02bUlcg+Gv4JtWHF0KgW0S5nW0ljN7kRxrHMw/X62JwKY8iohkxm7EiiDiUByajKNPz/23Kdnm
7YjE090HI6ZZy8Yu75TZvYhiaTcWxcG3brsEgPQwbWSbDrRxtvMymyaeRmGyy3Lv3uwntSP/HH/q
sng8O/206dJoPGVjbyKjB2P4xYEMHQH/sBUWSJ6TxyqUyYkaGCbX9hiowzKU3JgZeweOCIVxLWYp
tuUsP5OR9QgsEuWDHhd87/DX0mZFjPjJLj3xaUKIXvamlxrMYEf8gHXPfqya2kOzLOHtZLT+VRY0
7+ILbUBBtuLACTqEP2+RvGusXv7W2AhszZjNgNkdQlaueQkjORaw3K0bVM6KLUwlmB4X4bWIWrTT
yIkcDv9ktpAppPVkgKlZW10RnvhQmcJ7FKKxCEM7q4zB/TYtproKnBrHqa2A7tWtvQl8bgEKl5jD
R7G3H4VR7HyaWLb4GVxwWaq+jzvlMNa2smOUtbZma6cbpxzAdEbWfvA8buywuvjIB2v8nfZ93BZU
KLTCuQljjBSyWagl8FprUwZjvS9MqGfFooK3HsjUmgdNux4UpcXroKt1Rivygn0yVDYeFZwQtKtF
8UtlTs5tbwb1nYnEviX/UPurBhQxiEN0Sxd7zUC0Hqnz1ct9RJy6jc/U+QQI10wfjoi1828dx/Eb
4sr9tXONKQBngM17jQ+GNR2CoNRNi94tJ3ZNRBKCA4BVn3B4AygeOgK6WVncN77X3QXI2wenVQnI
+jA4lBOuvjGoyNpZUXCu2ym6ZD1DAzceyq+afuNvc1J+n9yYpJ6PB/d76JVptG4EFdOMr9GSskK+
CNV8KfnVW9nW1KGGGHMpRYWM9mZSsYr7wlDGMSailbO4MsFoYYZtXBh4ZyuaQWzVtIt7fbrNS/sb
5sFmk/YN0ELc/EDy4ni+UEdcfxVWNZxwYdLeGrIGkuxa9rNHnRcYhu7eMgf1NZM5z2xoxGTHolDm
cbceXNHm3nMHUE4QWyMC465Mt5qS74mBc6NLVZHwxe4qjkmd8b31k4pYWGPfpqPXPxugE766Mg0I
0YUSxzUWISy95hIgWntUAwrKHaqyOhhYmk7gMkKst/5AeQO1S2ZetjS7DRibslY3MY+5tWYXRYG7
PYtNV7SoGiTQac8rJhKLbjcd3CozL+6YFvSbjawZWMFgV5EUhkXJwymBKJmBVrUi3WAnMTVtOteu
eZzNSwwiNLNB/Xg2hXx4Pc21hTrEfUnLKBjPxXhKATHvwrzmc2NR2JO5607NkvbfGs5Guu212FRG
yVWQQfolsvWtjKJkXhLR2NVK2HI6+KYTvcye7bwZdmOAku7HmyjAZuBVTKEsGG37yZ3CZ9CcA3Qy
T5KbdlO2k6YeLabPbIyBE0U+lqW8ffAdIF10f88YtjmHRdxU5YvpVebKDAxmTNC4M1FBvxXBzqVA
mXQtPhA60srVpJOtQsAWs6r/z96ZLNetY1n0i5jBDmymt+W96i1Zkj1hSLbMvgPB9utrUfmqwr5S
SuEc1yAzwi9sQSRBEDhn77UlkWmcsUlnwo/nj8lzhuy2XGuck1ddrCo+lVGAtd6k+zO8KOQne87y
9rqRpr+D/OhCcHCOZluItQGabFWIhVjnR2vAxxpUMqazno7G2SSKfTcbhCPyg+Oq8/bm1GT4W6d8
j4JuvG0cM16bkGkucIj+0mpiU5u5KFdO35vHhMLutqWadUzklAe+TnnAHHv4gLXs9nWs9OdMgSPg
jM9Xh43QET2Uje4waXbFoIjiU2N6nhnjPoOyiTUrHpEKj84G1zbdWR3mrD06gZDQ4/Wih0DXEJDR
Qfgy2Qpej0ZL5nSe1jtPtQACtWpbg5/YG06yCPz873LSip2k13KmamoHM0GuaNNuUP48JY69q8gZ
YZ/iXyKBAibWfBuK+aoD0a8q52stwwuWXApGZHvRPpp/pU10b/j+F9cs9zW76XWZ5k++ngz7OaNI
6Sr/2RB6u54lPWZfM8TXKk+AMlbm8+gbbKzAX2682DzkjlQbOp/0K2sS1d0BjK3zo+j9mqABqtpo
RzgRREPXPczW/GPsk4OTduauATQ/rCd/ih70uo1mCHdedsR4imp0mgjsg/dgoLpvkscRXykmhvhc
NF91r+/uGq/xt3Gb3LpWFAfu4OO8afruUTOltx2HXgXo9uV5hys1kCP4Ofgr+lFYifsI7r0kILdx
POj6BDUkjUN5FPMtxwnAWOO+GmiQ68mSPTITaQk7RmhyFxfjF+QC/k/dIQ34qNX4jsm29ls8FmaP
cP9MeUWLo6WJofDmplx+ntlkkDMpOsP/T41QYaRUzGh3yGq5oqpppwqFeW7sjDYihTJjPxS4VudC
SOyUm2xarUqbleZTNHXagSPn4iuSAKC/eVEW/mpDhxeQUWkxCFIoJVsRDlKkLyEaWEdM+24DrJag
iWjpaZCXGX4DfaZh1m84Y1Sgb9NkJqGDb9y914TTBVwjTskJriA1NY5+mWoCmp9a0PBF57IsDYuY
vDSW0wk9vP4lnc3hKnUm41zHqbIzIklaRwaVPyo0itwRYogvRisUoXGSkwiJ0vpzVQ2OuFDxYnyx
fAVcL4bg8gB9la1DrjmYVgyCJ9jb86PpZ2toDjmgwwiIiJwyXM5XCIC/O3lhbhLJ9m9lx/W1kAiB
jb48lItHauaTfzAz/ElJa4VHKxYUBVoO+V7nUiNYOjWv4/W1rW2nypGHEPrDnnMCuaiuXTy+/hXf
K1CsORz7MZr4e7wyc2CSj/HUFoozGBEJVAk8C24J+FdQsvrS65lL59bPuJmJRISnx6rZvRaK63yk
jTJW3qbLqBvneCX1VZJArNZ8fsUixp/lwO3eO4VoH6pEcQGwmgoyjcb5pqXwgokkNx6LTueplwAa
DuEwyoMU5Xidjex3Zy0mZyHrAFDW06TWo8512QW18Fpw7Gv6uIYSisADNF/N2b7rchc7eBaC1k5m
qiIUL1kMOnyloY5Mr7J7AWo21IuC+U9gx7lfRfUTxT9QhFlKRdGDgCRlS9xo7hNywrcDWWIZzdVO
ZcOAuwR8x6UwBnFWpTMdsllQvApnfEjLvNMIAtn1kOrY/qMIRPQ138SqXYguI541Pg1E7moYcZZc
M3u+oQe8WKs6umwGf+RZjZeVS8DEqwfLNur5AjpDuUc49o+hwZ1gfJLXihkCWN/OsZkByl7QPwCB
+YF56txGpq9t/RjDRI33YqPc2tuMpas/ktgx7zIM0odX30ZdKe6WAdcbpaPlThc9PwhMq/TFphk0
/TEGXpNuMpX5+6Rl3sca22sCHojYeC08GST7/poNm6JSymyyMFdtUoxIT5QSSwt5o9l/VeZonCMO
CI99HFZPYUx41xTGvDpazCtsWx29Sdiyx7A2qqfMbdXBb0bNQmjfv6K18tD4wuGAKyzRQ3XINaOM
HTBZ7Hu/xGTGuUU+KPib8GH1PDvSa58vemQhUFoX0NnywoLqiX8WyJWeGvBPQMG6tj/magoPipIr
DhdPa59gOawjnYqcavh3vkyyMxbf5w6gOCFNCUcPVf8o8TGQ7EsYWtvL8Kgrno5SIS/7yBsYdhPW
ORCde7X4EiM4mRcWJfCLGjjWNzmICbCcMxtnOdaBq9JywqPILX5zxclHbEqWw72OqKtd0Rb1NoJS
9XqoKc0JRJbDStg2QTqe4kw4+B2zxJ3150hPSRtyPK2CM1HzTldSwN/ldIqAn/URVUe5R36p3cG+
DH+5sDeLla+WOSh1nG0u2RrHJDLhanlIHgPNXVLCPJdjH7Tp/sVzOCdDKjHGx7ZKxu9j79GFatmQ
S0qpdbSN2VbwZSSX6txo+/IyHlR3lwCC+ln3dvgrqUb/2Is4nwgP4ctkJ0Ozm4Q7AaAqmQG934Tf
UmcJKGpRCwNzrChwb/I6+d80qv93On/udF6CBP+zJHFxOl+8jMmP6nf3DhLC5Z/9o3QgQ+1fum4D
c+R46jh0t/9PkGjo/r90VKQYlnE0LyqI/xMkWi7/CJmgTx3ePbE644I26f95KBXd11SQvxEkipMe
BjYghgckaUOEQRVpn3Qym5SlcIjK9FyaXTI92ZCv21Vpu8re6rFPFs3KwoaQTkFiVW2hHRaZkCDO
EfliUA2Jvne0FhG4FXXA+vRarMd06uezEXHuCzQ6d5M4UIzmJihV5GSQ1LJ8mOxbDcoI9OxV35lm
3f7M3RKlrz5FngsOfp7T2L/SE025N33V9Ya1rR1FnenWKmWo1g4bO/1bDmQrmUC+aPADZUxsQ3FM
vEXY7rnw5PtCENLGTkNkY3zuILSuvdvYdOcKCSURYNgNjQKGBU6TEkXGXethPt96KTJlcCKNq+Zu
X9a9ZxbrVi9K/Swh6xE+ud78IG5b7tymnq6FmZfonqch5Z86kzZ/rwmOT/7dMfz/F/CTF5A26TIf
//MLePGUlC+/v3v//It/3j3H+ZdPUqztWIiEPT4ATP5/0nNcA+scGzhfYOzh4EjL7X+1wC4UVegD
6Id19mymjtbpH5GRzassMNTRljJ4bRb90V9ogU+7emgVWBL4OTSDyVpcmLG/97wnsscsxZQBUb6d
/K2YLkgv/u1uXH8qqqGZjsoKTCznN35lpEx/DkEPdzmdYZkHarzKZm+lTaABHG7p/93z/2KU5UJ/
69giXB1HETOKW35vte/V+KLE36mD3lzIibjDTSqb2hlDEJjl6jdk0Dbz88dXcdofRyxONgkJMzZ5
v1AfToZAc2mWvebJALAVOQYaVYUEb3FRNHsR05T4eLQ3D/91NDhBOPAFn4WTJ+OOYlSiAo42VRGH
A/pzKxBGxPtEdb75+6GQOfEtEWRJUjj78/HorVOP7Ca5sNiL7sbUbqCL98aFrnDRfDzUqbRhuYcG
7RjOBz5QD//kHhrAXqfcYqgS9sp5lqsscGQ6rcNxHldNNELC7GGdfzzoe7fSxINqISUU6AZOBhUJ
4nUNF1owZdxFkxroypFUD0ON//t4qFP5yHJ9wJN5c5EZOfYpfyeztHqua00GxRRb4SoPCaLQGlj4
mQlmDrdKc11P5CnAVo0vunwcPxl/mRW/N8Vfx2dbgIzDW5amk1kzRXYd61nUBl5BapBTcoFOM3z9
+CKX+XA6iEXytbfoqfAPm3/Ol9Go1KR8UwZKNcbeHeIhWUWuFV7mpj4H82SOfLX9cVvJQu4+Hvq9
+YMmVyDxZM0yTjcjbE9GIzItGaRDNlH7FCi94Xq4a1fTMchR4xGrKSZB5ONh2ZMtk+TPizaQynGx
Jh8FwzgVfLa5hpG2b2SAiFj+qJBeAZzTyRympjQHIsRJjCWTk0vecTxu9W5Hpg2PgGrjfhr7YZ/U
Ut7j+LeMNUfodCPZu5iCfJcNdaDh3AczSmVO6htLjf3OIF73NtHNBflBBMDdtLSx3NRNz1qnp7Vd
Uaj3SJjwvBYPsdEHXSrX5ArHOlUgA9W95sYXiNMnXKgduEzijyjmdRzF9dw9073ZQZvhllQaxRRf
6I3mcHbKp/Ws05SMNYFlL8KTgUlT5ZuZXMTzzi/mr4nij6QqmuvUbWDHFS46HzJIPJCzGxLSir1t
tud2ZqqvYznZN0PYGXuNftG2smRKiWEJAeoMe9dmrKHuWBsXHtX1bWrZI6mlY//FcjEU2BzGzl0Y
bttq9kyy0KfWuAixjwcVhfl1VHXxTZj2ww9fYZDsZwgxayccmQZ9ynjJ/DKg+X6Ma1SUG9wN81eE
QcLCr2i8SAmZdY2ERf3SGnuM2Y/m6t43QWMhgVT2Td/r/KDlBqOgvKgokcOEIMBq7UzC2RQ1SM/c
ocewSpZQg1CULlL8FpshJlp33eWpdplG9otqNRuplOp+pvP41Z7NF7/0xbfRFHDOOy15VGRUHPSJ
putKxrxI8AJflmqUD3ihmYO0YcVIEdYQ4hDO6h4kp43Rkd8jBQ58LICn3SfL1M/Hxj0rvC7mNDyE
W0tIY9+1Q3xDrkR6iErwrr6s5W5AO7QHLM6elw9OtPaJO9nCLtEpguVeRDy7bQYUMhnAnJ1106Rq
D0giC8DA9beAhbpbVYf8Zem3TAwcjTd5NFUrPQ+zI5IyzIRa1W17VFtXns/tXDVLiFpBH3Vjsm26
VIOfpgc4GcWO9DrSS0acmOG6k1Qi7C6MEMYk+m1aQo8mNiERV5A9030cRfresGX4HLqcoZglWnhp
Dj793SxGTrKyDeCC8ATsKzJsyfCLJmc9zpF9nGrZnDfaUlgs5v7g+LVzHWqWtm/r2LoGthydg0K6
D4uG2gT5pxwMRK+jfKD4f2gkEJSuG/NxnSVx+KxQ/+AOGsCPWFqn7SukGL/sNPN+0VoC9IJn80y6
hv8c+7qxjbrGxidO8DpeGeXTi/WX+xHqmbMx5vEncHDuZNuP+TYGZhIY+KwDknfM8zyK7DvqdvM2
nLBmMJgw9h6nH6i49vDomWH/vSRd/kYvGj3oEzN3NnY3UlJzk54mKR3GH0bWqmNTdMVlB5LpSVpW
eVF2kX9Fdqt1RwEOPUfbUt4dGzAeg0nQmwX2YxfV0rsGklc+TbEYbuREHPkIAPVybBsHmDGlrLbx
xVlGvMbeaARpVZNybuvJ8jYKYSZmbLpka6GbDNAYy+KVm6G6kXDmyxXGbcCOgP7EBu1dtetDbEh2
4igwWHkV3zayT3+K2WkDo2cRyojd3jM1EA5xLAVAULd7VZF4tGlryKhsKO1tp9vNWT4A2F3Q5vHd
TLUlWoHD4meKMHaIs3BD5CEITvhtozuTWNXjRALTGX37aZ2LMGnWqVPqeGCL1D9wwhO7Kk0d1DiR
fxCtT32SOt621iMNUGCWFFwAAMo1HTpKzL6utviU5eHfFd248aZdSNzvFqQX2ENTz/11T4YsQIeK
DY5JhfIaFl7zPDRKsYz12Q0pLDSbU31aK1aB7wlYTRJ3XDfAqtq/uDqFTxPF59lrvXKoCFkEx0Nl
ilRN41m5OCKhKyWU+MEe3U8thmIEuxSbl/KmWTriljA8KvojcqTVLNylAo2b4JUo1XtAXbbM4Ve8
g7exjWhRRSxDoruhq0EHhJCjyaRuZuVLUytT7YM7qnZD3Ym/aktL275Gpr+W0s02Mr/QkaXsZMfV
fZ8Uxf41GJ5qeLhNANUsNuFiPTS0EPVxKbRV3ZPnW+rgYdfkKN6lYuOFmb583qFyTbK/9Gn4UimO
wURJw08unGzsLwxA/P4KpcoYVPTVyQKgEXCQuLih+nl9cUxbgzqcW2HFXfrT0MA4wtNJGYkt9uHE
3hpjqz++qqQSe+mKvFopRO0RTDw4FA7numPYhAbFcZxJtjEkxeTXqO46AWy40iBEgwIgxLdyaUF0
cGF/vlZjIYw7t4V0xFloVFginAXS00RAeBr2m3sOovJg1Vp2P/iJvy/Lhh4AgctbYZNe7ymq+tFr
72b52GH+glSf0scYFv6aZVC2rHykEJByx2tLTvYT0Wz5tqyZ4KBSgHwxo9cIqBW+Ob18IRipO6C5
oniROfM9Eym6dmItulJp55Mkh4TCWdhaiaxLDIaW86g4i2ISS8zwPB9IgPx31dUMtfGaXGNyqzW9
f+nLUPtauHVI90SlxsbTnH+eU6bG8Nek88uOtgXMzK6NS3oR2l0UZiwy1tLVz81uq4kx+VZ2rXfj
Vz2IUb0TD1Y32Q+91OyHVNTTJV8qZxc3sbaZkkTbUNenfxeG1cUcafJLFRfl1gTCt4W5MkL+4q4r
EhFRMnrelbngBUrQub5s0zMh0S81FdHKZQcXo2Ii7uCM62cu+oVt6afqUEyKEhIADFo1us1L7PrT
saOGfRV6ZGYgt0Py8DqXZ5J9buB4e+wrPLKVMHxfum0ZbpEQRLjD4XWsqLlmV3qTFgeHru6jH4b9
nmwGW4AB4GOId47HP2MWyloywBZ0yjoafAs7JFBllkBjaQkgN8ym8ZJFYTqYdVheuXKeIbJBVqOG
X0/3OrpaQSbeQGJaN7U0vDIfShd8vC5z0yts/9qus2g82V1B/26Yx2vDHejpyXokr6rl0+3Gpdq7
TUVbYJwLNwMnJUPSDowYrOuY9wdfIhGCPdwiPlF5aaxJiK/uOlTgu44Fhz0QYowzwzYV8UW4mGTn
9DiSaJ5Mg1EfG/SbO6w22gQyptTuWgLQ5RpODTtm28Jz29OB01+j5pWoCZl89UV4fUO3vSYpnC5A
fq/T5twWNV0hy0+M51chok1Q7QZnKJnoVEi71QjSb6XZi14XxdY2wZmBwgStrYTjfHQGG5+jmiTw
DJM2hTX1iFQL3+mJJ+5R0a5KAIA3uoMUAd9zTt8m5A93sFQj8gDpqpx3SkvXIX/1OrXAEcGUaUJA
o6m9T3RrPqRe6OwHYh+WK7py49Fc03jAHj0n5NF3SXFrgsDdohsriRCLtT1neyVXFnD271M5eaAf
y+bW6i2E6lminaFWue5qAPwwCAixS7UXr1HuzrAB8XfIUPJ0gn48EQQF7JWVU0QUHD1PDtuKFsg+
DNFslOxLwOsLiTS70d0tO8QYkYgA3RCT7EofYE25tfjhltoP+m1Xo0kIpzkOxbJvaw5eDH4BM/bd
UMUEgXhaFLBa7bkR/RozCPl6aOjQoHiPWonjTKULbjAhym/jDVG0yiya/bqn0LcJ6Ou5W3O9ZS0w
YncmmcRejTynDi/qMo6IyiQh10lyXBWV1Xf7pb77PepI781GA5nt1I39dvTm6rbGk0ZiRYQYGd50
fBanTn1dEvX4qEWkAvNVL8Ab1whhYOPfugYS1U0Oz/DQ9dN8NMliJLs+7gLi6ASinKixr21Pztdp
5MjbOkqyLeo7F+3NKAv4cI6zHV0ZQhyM4z2R1OmubzKqcXqeHKPUmGhuq+bZl3NxZsD/pqeaC19u
hiqySHX1ujHLztryme298W3kOH5h+J3S19IU1U3fpEAkADAP1+E8VQc10eHFQUwCs4cc0QS2jj7V
1xBGSMlTJEdYPNsAAId1H8/TlW2o9KYUJI5Rl5ffHMn+ajUasXk5eb76luWxe8wA/zyEk7skyZXY
xfXlC+kYRU272YuDsSy7szjx7Iu4aNVDqSwRjKoZjrmI+rNBm7Ifyk6R+cUGD7fCOXvdu3Xxs2hd
fd07BLcgZKhMXpHaPRqZaZ/DaaW6glePRmNf2px1W7vbTpqyv1qlW2zR1hn0kPs+vqy06SWD7/9o
Vm6JoG72QJ/m8w6hNFmMxAav2OPNyBjiArVUBytl40ySlSzN0yCt+3xVA3zl8fK1PU6cKrBwWDMg
UW8TtfW8aZPiTsvRhJSKghar/IqarbcpfTQjmVE/AEO1CFWgp4piy206IAu+2le+U9xVWVGdqzk3
D1KinmI/X6BNtNAr1V6nBVY7aIRG2MCtX4iXQ605SHGAyendE2WHx7hGUMQphlgSLQm/0olU53wU
82u2iunTaFjV17TJmse6q0d3X2sCgQjQ8iTb99UCLgE2BFBbU+UNaO+hxItPfzCTDpi0jlbLsTe7
F2CV6Geo7J6PvleeWexsf5S17pCEsZANtexyrnryZeCn53uF3HeNIqM6z4gDjbEu1OqSQmB0CTyT
PBp7CSkAXt0gtnXQhsvU/ML7/1OVOphRvmn+qnPhpFqhmo/gVrrrDCPjxsbYdz/KljiayTUIcSlA
2BMI8kwZ7LudtsN3FMm3MwA4e+fS89xotDv3aTOzsteateZVy2893x3UGm22/CL0vC3WkLJ3Do7/
3dyTu4yU2A40r7L3cey452YGe2pFpJ17iEG1BGCLomfav7SkWAlXwtIiBF+je8dRh+8J7oDvYQHQ
p478BxuwwJkO5n/PTyH6dWzULQSHny7B5YRMq+k5msN+14OBBCpnTemF78/DvodUC2MGgmsDYUFS
X+GmWKH74PaxfZf0lUTQlPDCSj9eDSV7qil2/J3QxF5ZsXnNGeSeBTm7GuvZOTbIu1cKcMe2JiDo
qfKJgsppSlMmtNJLB0oZWb8apxiYumMwtmSyRv1QfinnNmKHq1FvLtRBeVNxEyaac+02OnHHKSFQ
Rtxbv4yoLAl0JjhXYq8/hmXcXZWC/lYuMnFLUrJf4iKYQ637lpYaipGs3Rcst9u+tmpoqKN+E4ad
E5DaRZ4QOOH91IN7Vay4q24s663v9/pe5t1d1AEdGl3dOVpRNe3J+Pke+6UbpBHBO0gExiMLqRYU
lt+fs5Vzj4ONYLKNmoz9b1X+6sDQJhuwl88Wxptvrac6FHgRLo/nSk9T/cyou/AMXke6oVoyMNla
864ztXFaa0AL/cskl5G5rsqmGVcWcati15SUkddeLJG2TTK/Kwu/RAI4+fs4WZx0lLDusCC8jCMC
f31mqyIbSx71efhBPG+BZoBeHpsqDkkNaj5CW9NDkfjGluNEoCEKPfL+C2jDzn2BmnUNcSIK2BXm
G8odP1oTPiokJSJhU76v0zAE3eg8uRxBxnQ+F1K/YQ+1pNBTJtI6z/hh+/lwZlfC2joNCY+AQuRV
FBpB72vhrxic57XQNfOmHf1fzWhr9xGv3lfTdGW8EW3VLAF5UFNaYDfwAUW11/2x25pJU24cFcGc
whD0iUnwbRXUpOuk84GmxA0Dg9bX750cq/Wdyk2ov7pNmh+Nov/qIPkKIofTLRF5/03lHqc+5jaw
OuB1TirNkWx0A0Eew7VK3DVms+cEMG6bkMyKzyq8b+q7XJmP95ptOB0X/aTNTZjFP0VtZ+6GH+1r
kX4Ku5+jokivwTTEsITgzPFm/SkOlxPlQD3u41/iveo9yE363baFCfxN94AUT1rtusQYE9k3AhLg
RR1RJ/14lPfaITzCpYat0/g8tbfbmMI6wC90lpZ2SA8DDXn/NK4MO60/6by8d0E2yh3PJr6SFuPy
q/zW+MtIZCU9ZKCzRIjxBvHqd8ervn98OZ+NcdLdSYQyHd5WGeBiABgq97ZXfGY5XR7+n8V/4Moe
zAfcjlDO30wOP/UGCSckqPmAXUSdbh5NIijBgw7JY6zRakEjqMNBpNZaW8htcdB+1tp5++pZUAGo
o/L++ZxfTlo7tqjR71Z+E0TkHK5UpZz1YGTNea6lSO9qv9z87X1lPKixPospGpPTd69hb+VNuO6C
ohxZpZzpBpae+8l68nYuIqOALiWo75go1U9ecD8iDxcIaxMkCnBdWxPKjann3E0paH58Oe+MxEV4
wrUdA2OhezJN/DZJ5mkiLoqlDdmg1p4BVr2rZXr/8TjvPCbDtU0dx+rSJn6F4f425Z26yCxfulUw
J/pW5k+aB92GLC8Uj8ePRzLfNhutP4Y66dtyUHUW6xRevd6nelfaZFEO7r8hmngie3DaBHAVe6RF
odw0tvI2ukQUBv0M2e5sqm1KC2hvtpylC2lRBStsFJfCS+ujsuD1RkM8X4Q5m0G7IYjgVRHM5kpt
cxOq69ElwuhyqDrKWBPG+TVnbSKUiZX/5ELt02SP11YmxX2dF8DAPHayNuf5rFk+CZ94YGP14KO1
uTR678vkOMlTMXfusctzmig5UkBgEzsXwCuNK+fgYMxLBO0ZoyFWxuy+FiG7I+XE+GyKL/XgXcwh
p8uiypptmw0UHRLLxd+ZEpseDaR8yt50j1pKnOGI7imgwUUmo8IkyzjphnO8e57ZaBnSzA/hIFbx
xo+G9exG4wbCau5vvcjU2DzOrf7sLsrKj2fAO3ONdQlIHOIsj+/+0i39ba6FhFXShp24L6nWnveA
6w489TGIUolLBdTwZ+FFbzu/ZK3CpxNY6EDonHZ+MQX1/VAXVeB7ijDQpCq2DfDXc8eq1T70InUe
U3+5s7EN/5sO/h9d/++8vrS10cdhO8fsffr6kqDea3HnlNh3p+mxd2A2NhR979CspS8f39V3LpIu
L6sRBx7+d9pDpznCpnPqyqDoJaVRHFWSmk2HbDst5cFps8Rbt3TZCL8iY/Pvlyn2VRZhRYhOkRKc
THUXTh9nz7IM2rBK9g3p4tECWyB/9J/07b+4o/aySBk46AGiiFN+DwdBchSBgQV4/h6mqRw2pjeS
KZ5b1l9PU7YbCKYQRiHDeANsqNuq6qK+y2kudgN0QaovVno1DIJohMz5+fHTeztRCInmwkzDBoEC
cfzPdyJK8rq084bLEoUV4Kcn03KYKOy2uZV9hpR5+wIyGFsbtgaCrtbp56uhQRw7XcGVafZdbGkP
+EN/pqN1hyL3kz3I8i7/uQVhKPQ5zgKGZHacXFdhxclUanRj8QVvLQomfkV0tpv3RPUudjqI/p/s
E98fEQAXMrblpTv9vNi160EEyILG6I+ZXz9Vk3FnyaxBbu/kgKrN879/dGy8gTqw62DE5W7/tpwJ
cEfY390s0LruCOgzsO3sijDDT4Z5u2G0dQEyArIYhBfzVFnVe/oIsc7Ogl4zFyJDaR/qkS/ixxfz
dhVhFAPMPCuz7ryhZGBRG8s0NbJAWhxrOe4h6u5+uaVzkzaKrho0eoskqo8HNd9+KRmVhQODiQCN
cgocCYsZC06MqspH27oacp+zOCFA+Dx8WnVzSSernXx8PjhWwQK7M96rsiUFXI1NdMhpJu1A7d3N
k2i+oIQH71HXbA6WbUGzuIDQxjhffRPKCpbcfxIg/uOK9O6DgbzDjDMw7Z0+GPqScU55Mw8oUZXb
dPLTozZS7Pj4Hr23QGA4Zc2DU4f88fRFshs+I1GVozd2gYJWfaBnxp3nqs92Le+8sALGMapKyC9v
EqKEm1tl3ZQsRGNt0c0O48Po6OPu46t5bwVy2ALAP+FQzr37852Z4YaNBHFnKAiwlPUunykcuJha
2vwZw8zf76I5Mwp4XjxoIGWnJ1TgE06P6iLj7Bj+XO6dTJybQoYPH1/Vey+Px9vuIsnlYHA6jcc2
K4254uXJE+FdZ5NBnT0UP6m4VjsZCe/HkIO4QsXSfvKpem/NQxFrs69+jZE7mRzUT/TYsvssiCLz
SpUaFqZoV6f3dTrfslx/Mtp7E55jj8lk52T5Ri0IjQQdGeyAoCaPbl84wr0ZTGzRH9/MN8AkAGQ6
N9E1+RxZyJxP1lW/M0cguU0WkLOr3yexXu00FMerMLX6nAK9O3xNST9cdxByr5qpzC5F7lr72EPY
Bf6X4NgorTdGA+QBgxRN2a5LPzvdLglxb75vnssJmzcTmODpxkeGrS6GouBrM9rUClXzZChSwJCW
tIfE9R464qDWbh1TySyt5D4b+vYQ+tX3mLbu7Cz256GwD1SR/BUy+3rlx1zHxzfynXeNxhZbUPwW
wD1OP4i5y++QjGy3h3L+Wc+G2uk1iqowp4k9PX081ju3w3gVGopFscqu+8/32gT/otvgCII5NH7q
FBw2hdCfwF+XgUsmBS5JR32yw3jnpYODbuD7RjjKRZ5Mk17m0yijistLxWOcROBwaN1TzJTzysIe
/bWRQ7OhJdsHf3+tQAIhb7OzMaxToJStLcGcHgmlnNUuMdkSKyLzG2TJEdby6H4i9eCTrc17T5It
G2UA0+D0e0ok5F3BhW03VaDpEZH0RM8BBLDUzQB1JCgcDtIfX+E73xwukD3UEoTDZvHk1hahtOOk
4tYSt4yE25bDRm+qZmMhi/tvhvLBT3hYiRDdnXwQaiILFBH1VWD4VXkt8ga7tKucs6QzjE+Wr/fm
qMULtfgQFsnzyRzt0cWUM5WBoC26O7A6L0I0d3nL80ui5saDKvHXhyMWMEwXJiRAdOSnL6AxUnA3
27kMZnNG6OMOX2QnNzV1gE8GemdhRluM9cqi8oyNY3mev+1E6xm7rB5yBMwj8RCN496bm7tPpoT1
dsH7Y4yTOeFrKeGGNmOg6jWWHML6CCNKfDE7B4pTPrTcRR1v4iBrcH9p9LUapItigIYNcPGM4l+H
JKpMaPfYIzIYcrogpoAjSCxFcJptxzemH43rcsIiGdZ6uS9aFBqcbqc1WrjwEAsPtbY+4hY2FpxY
Sg/vCyxzFBelAdCmKlq514mVJBcI/dhVmuvsDquFzpAl0M1HN94bkOAPuUCn1VtxcdHDgw68zL9L
qqxdc4ezXUGtiFwl1EIBCqViVQ1zvQ27WKAYJL2wsq0EzFja7T6+ve/NTb7irsE8wZZ1un7CHmrU
5DA30Qo+NaN6Ivj2yra0nVVUuNqH6r947dhzs9mjfI8y/uRdEPFUkvYzlYFq4qXmdEluxGFQ5Seb
17clvwU5bFoU/qgREGTw58SE+BNbcvTLACXpTV0nEuGQ96PJvtKJuqArve6E+T2S5SdHJuv9canS
ckc5XJ9uyPwaDl09CGoi1TQ/xqOOS0ja2g1qdz3f0jjnjNOIAiBI1jebvEQpBFWGhbwx+4NA6ivS
QTtYeqftDGWX6xB1GBOu3mP8oI3lp8/C6Dmoj+iBYEJFG1+RzJz07ryJjPDWzABpeLNoVliP7Qxb
L/7YlN8H9kr9gvDbuE69JS9nxAOLo4v/XsxiHbcq3brAQ+4bS3z2KN5b0x0I0GCmKTPgtfzzUSR6
K4oy6wk3UE8TvozVNOikQ6r+k5n13lr02zinG6O+7ou8gjsXeCLX1yX1hnURx9uPX5f3PogOuEz6
CvTb3oRO6I1ZVw3ctICmk7eeFs+wbj5UGRmOcTt9Yjp7dzDqlZxZFnPp6SHCkSxGZc67osVOwUl0
3oPb2iEDQ1Cpkk9u33sLgUPZn68Flr03m998miwnRUpBvKu8gUhIgks4PVS5fFHJ/7B3Hst1I1uX
fpWOnkOBTPiI7h7g+EPvJU4QlIpMeO+fvj+wSvdKpFqsuv+oI/5JmZBInAOT2Ln3Wt/CvBXaH5xJ
8av7wmGXxAYWL5Xzdk4zN2XK+aVOi8cUnM8sxdGd6+Eg6cWvC0ML92ZZgVwoPeM6In5gPymUzaqI
8jNXuUSZFuZ05+ALQKMdKJhxv7/Sv/x4LIi0kejfem8XRmLQGi0JKXOGqnw2PHUfyv4mNRgm/wfH
cVx2imx/F9/Mz49H02tTWCLK2bMTLenmtE/5pA3roqs/eJH+qmxd2NK0WJZ/OG+eQ2PwkHEjwNq3
CMfDBp3bkF/VhXUk4PgiLarbLPU+aLP86gb+4ZBvC9Z4NlOEOnq214Zxp7ri2TNTFK72sS76D/Yc
74Km2bzBCLUXjjS8e3pJP5/HdnAJEhudjGVGTo9tWL4A5bRXsKjcFe1btVoAHauMFXkTVYvgWBOL
PKtG+QNb7MGkqfIQVGDlOolsGWsLZoOwrW/U7MHfzgmrIy7M3Y7O4N67FqsmRLkG1YTWjOs5WVqb
hXzRB1KIHYAkY6k/xkV3jiex3LSUfJHbD342GdGGqDJ5U6K85GUvrQ/upl89xd7i1KXFwX37dgCb
piUZKIiU93M5H+Z2Fn6rmw/QG07omT600TR8cMBfXeLFnoFj0KHZ+va0l7FQU0UxtI8qoB992dXl
9hUPYijoVn6zCFN//8D84ivyXl/cxgQhULkv9/kPNadnkzbSSiPdg0k1N2E92Wd5SIU2xUXzEANK
36ND+vr7Y77qNd50ldHeSE4qjyhb2zd3l9KmlMlsmu3tbPZW4dDZN2Yo+lVuENgcFml6DwQR+IiJ
ZOtVp+yG8FeyjhzYFi3RThvgaX5w6sUvmpioEuj6LKu2827vq0ZrLsn5Y+mYA/RshjK3qNKMbRPU
zQ5MguFzpyCfsuCQqjok3q1JkF+bH7HAjV+slYsvHDkG0HoGbfLnS6IjjbAzUp/xLcdwjF7FzZEB
ewaBZW6dcLmcQxsjScRnASYwpYksNPLVfIA+/eVgDPp2mgJ4L68BD+2sf6YszncEhL/aJpItyh5r
hy73eUKRyZLdb0w7DjcIBs11reXtPrQrZzOGnbN21YksEuMmIWzngscWJwo5c/ND6HbeMdWdLzpU
vg825r/6/kzA8KA7y4T+beOIdlucNq3B90+T8QZOMII0e4weIqGF29/fib86FOpLtAa40XltLFXQ
D3c/QycCAZbXEhTgcF1W7mLpGckh98JUPfz+WK/X7e1dv3R/DXavvAbfbv9zzU67IYvYHPTQsPyW
gTGOj9kUO8KieyDHqTgRRANdtqMczqXU1JVsSdSC/FDu4DfUh9cP9I/wDWfRt7poipf2fy0/9q0o
pzpSYfuKD/j3/90WiE+z3/6V3XNx/pQ9N2//0k+/tvk/r3+snov1U/v00/9sXiNerrrnerp+btDw
fycYLH/z7/7h/3j+O0Exy5CTbfG/UALLEf76yeUr/O//eYZ++Olb2EGxa5sfMQ5//eR3jIP3iTWT
1APGHgYblB8xDsYnC5UTXTTXwkRPqNu/OQ7yE2UDtwA/Ri+NavTfHAfxif4exSkdG3uxGdv/JY4D
R+ARYm23ONi7TAHPmJDjllq5d6P0JSwUy6ZbBH7ksr3/4exc/nkL/yYjhS8hHEljkB4qyq53u940
RwQCHJojSWwb6MehjRSjPwRh90GH5P3zyuaafGgaJJS4prv8+Q/Pq2q1gPwDcMHtQBZw0OkXTZ/F
7PfmD16LvzgQmiekassCpL8rp3ueRa+oZ7jETfKSpMlLoEUvMf/+x2eOw1gUW2ysaZ+9WerRhKAt
scZyT2+AjD23qvwlAmaVjNF/cOq4V1l1mLozf3rbDMTumZlYKkqYG0QQjwCjsYdK97TO4w++lM1F
+HmdoxtBp4w9ncFQ422ig9PD+G69odyHA+A2ItiuJzXe48a5L3uQYr8/g+/rcA5mMOpCnmF73ls9
AdzHgmezKPde1QC6ajJM+qACfYLGnmDJg1fFLuiLCbPs7w/8qzuEmSECw9cS5u2ls+uik2mYl/uy
ioqbDkmvb3kY7NDFGR88X+/34nxH+i+sCtSgPNU/3/VzF3cTopeSCTUkADDN0yaWenDzH3yhH46y
1Ec/PFsupUivdSlH8UaMn/V432dDfnwlG/3XjvTmrh/IwSn6nCOFaTet7TF+muG5rz5+vMRyZn66
FdkHQr0kKwZRBnEVb6pb1aHjNjVGXS2tTATuTeHDQCVhwDA/V2AkkYSA83TjUG4tOHkrVEUfzGOt
1wilnz7DIkR1XW5OxzORSy2Pyw/ntQgyy82KMuO1L4t1qfcaOQBlO17OJO4R7kzGoPBqscXibO31
eizWROV5G6My82NfMW1cDQUEFpeB66omee6bE0YZ1HHi5he6zrZzkpcJKexBzaI/Kx0w35CnIVpJ
r6j8ouSvEACYbfRkkKuOl9beGavsipxj+ZA4sjhYxAU/9lk/rYdstPaBg1W/mKDeDTGPVOKMuPab
qSMPGKy3u+4rZR7alll5l6T5hmo0v8GmZh7x0gzfqoAXjWhtPjuGn6spNosT8OI98aCOGxabyUz1
rzEmQSaAfB6NOukpI2F0nYCa3haeKi+UnIt1i/iM/aYRLLmbpEPBaTFasLvYCLeVjho7rgDbacRx
rDKdbzdnrJ1g5duV0+ZyFTisb6GK8Hdh6sA/OIotu9gCoDOd26OZ9dGOCVNxInTwvm6Gh871CKBw
UhpQKuytk1GJ+FG5RXpvDwmaqMYov1R2Jh8CvnvpOxgNv5SZ2c18pj5AmOKUXrsyjInlZrRNzLya
Waf3ZCpbJ/AIsyuQhu1jwKnBPVaVF3YXv+iCa9rhonggUu1lbIbghjDP4jAsq3PYNMXJlFJ+b+sU
ugrLi5eGGOXt8RqhqnngpdKuSNyIdr1KDZ9KJFqc710O/w89r292KjpXRukBQFX5iw2h4xzKPiex
S+lhSm1wXf/1yUsbuAUY5d1TGP/5JoEA8kCzHOiCCbM3q0p1686YiuCtRMmjh8UR4O8AYpwo9Awz
BQk++FtrO91FudTLM9H1pbe2w6D/HAal5m2k6BsX+SPJCr6t5/UpYJz5wcU+cDvmSfYiHeIR+I4T
lSCLNwCYam8CWL0veLhvDRhL8QonA/DX2rTAAyEw6TGgjZl3WqNzoJUruQRtMCbw+cmCKXx8eRpD
RNu7b6qax84ED7rqTd6yM95NLDLl4vLBbxLeM3BXPdONPH7y6Dhs4Rj2ZwhchfIjD7p60wfj9VB7
/ee5npMdiuiWiYRWy2gbw4KZN3PsIk+qGzV0PsRb8RV9S/OHnHm2TC2YxDodrOauJ2Dsi4rBazpT
yjI+FnzYutOMIyS+aMJXCkJfJFwJK1TJY6VkfhwDHIr1SIQlzOMX6YbeaSAIIeGDAOXFHrbWpqYa
1mFmh+c4uMdNp9LFzscV6gzevoi301Xo1tAnCWu5ifsaj19YjuFzXnrWPk9saMZ2CEbYFN3nspn6
HaMKPOtex40wA3fHQBNB8qWZXml4CBuR7rDnPrdd7azDZrwhw2HfFv3XLpyiY5bbctMFIKB5GztX
YcdDKXI+li7S/qxva2+jEp5zZsyBT8Z38uBCRT3BQbKFh5+u1DyW7SobkibBkBpHvtGm3NSsiuNl
mJbTOu9i78Kgrt1WGk990qXTuienxjcasC1zzeoG6rrfieXVX5p8b5nFT1GjuRcuA2YCxjF/G30r
6CUN4jY2A+M4dtxRiIiDx84LmDynU7HumXBtrGbmMSKn1UOUsdgztBqGMS4/bRXCirkSdk1wu54+
WRYLZV2zfmBzd67mCAqAJK9lHTjEiGAP69wrXLz1qRggFEGA4jaEB1+RCZARr0po1CqTXbG2Bw5d
F0W9jzAmrTBTDN9CRghlnuZ4CRvcj2geN3WUXiB9LbbhAAIjbLLyoqmW0r6QxUkqSm6moQo7CKrC
ZK7B2YkCjzAeuxMk3LHqEjDzpU1c8awPrFb9co9Y+izOk6CNzmNrVNuerEHWOIoZX9NaC7SMtW1A
GqzwncmVZcysiG2xBP/axV00coZmJ8gh2zv1ihfugNKsZeVO9bpGs2Xnt32pAgikeU44V5ddNR1r
j6ZYPQaPhz7pieXrvaLbGqRp+ConHNYIpP7VE1170msknCRFd+EmTbpvbL3fxSFNx8xT2llbRxcG
kWyftThuLqaRCGbClx/wRw8P5Ne7a3dC0mrOwtrPRFRt8rDKLmBlBZdp8sWp8NtGRvhSqMWP0kZ3
PM/3da+De0eFCCUlg/GvGwzxpgaafUEED4v7V80qyGpxeOktbbODFoXEB+WsvHXOiqNnrgCZKqAZ
z1zS8s9FFuQBzTyuwZbtH1h9G3AQ7+18hVdl7PZ0L816l4cEa4uwHPy28WLA9mnKYhazz6y4RWIv
WzI2kyVmTwf0XjrLVBTeFeExFcTItDRo0BiqanVAJEO1ACbkXZPJ7DhUBiFuTquXq8LtqqORNt26
E3RP03VQjSiCTqZBQmnm5ZPWrH+ZMwTXlRzwwMFSxjtuRn0WHofYM/CvQzzp3aPZg+f1A7szHGPF
doBWlT9jQ3hppjiEGNIn2XNpIaggbdc5jK5TCojz0BGobiyd1J6RdX1yl0YIHJK2vYTOie04NnH5
rxqXNOG2DGuiwY1O9PAuRfPoJnrSruDh3gyxMWLGFbaiQpgCM/JLZ+qPeRona9DVX023I2YljoEL
GplvWjSPpM3zxcLRX1lWrC2RQBqJKk6G1cqU047nVBp+EQM36VK33csKSdtYBU9JaCUQt2QCW4V2
NEAOMNegkM873tHCHxX8rNyUnbYiOWY+53FV31TqoB9LRKP5qQNZO0417RCNlu5uHZWxvpk2y7ep
qE7YsJHVPODLs9YlX3if0CfKVu5kfZQM9763uBTEUPcsRqqoRN/uAkvE8+DnumQfZpl57PomeykM
DKb+0A7gRJeIGpQicKfpg8WiPe9tKguRMMUuBWUV6e9PvLjyoysrdz1JtjpNVOYkTBCwfWJidD/N
mXidJnbjER5SRaXfdoG1V4us3AC8VGxMJwtuMBuZT4ZNg9L3+MfO1YRzNQWC5TaYRqQAURQ/vq6B
eQ6TbTXMifyw4btsM34qzAnkpRWj62S5Acd99X/8UJg3M7SmrtHTPUh81l459GfYgcC1uzU1E2im
6HxicEb8AQnd5CrBMmPxs05oTaoIV/dH++Z3rfjl89CwQQWItvudQthREJHQ1KX7OhNwt8gTS3i/
DA6Rxml3HUy88n+/D3u3UedmQHLFkUD20nZ6sztqzN7K1FCmhBFQkObAg3hZU5rkeVicaCZwgN8f
7/2QcjmgQ3wfgciG8U5yldcUe6adLOJ/mE0LG6BYRw05c+uYG4uYR2+TkA12YVvucPn6CiZYkIl8
KAexDQVRaQDvrCcoGP1uBDr0T/fZWDGZdSFh5gnhvLw5Hyg3BptRUrT32G/vLE0VJ6U5fPQMvutY
cBQaFdgtMGwhbHizH+yirg/svIiwhFG52sho0UrbpNpIjyLfTkCKTDGVO/Tw/vPvL4B8vx+mPjCW
/g+yt/d2NCI+TQR3A8PgZlDBPjUL71QLAu8x66hLyd+wpgtPs7x7sgPvE2+qyCCxhk079eDj2oIM
+WWxq1u/IhfE2Ki2pJYzk3pP8eudxkXe/FEFS5CEFqCj+7Pj8o/61X+jE/33Wtr/P/Wrl0nIDxf6
Xb964X3vn7KyCaP6+ad+9Z8/+Ve/2tE/seIvOmMeetpZ35HD8pNF24fpHzMXPBALCfw7c9j6hHEG
reKyKv3Vxv7OHJaf4J/x1/FHicVsYPyTXvW7DtfCHEbNt6i7WRzeajNMzR5V5TrzPsmtcGXMaNGk
re5/OCl/p029HASfM30Uvuc7FRObFK30PGabXSKhADrNvA4dqJYwxz5KRl2m/z+9WjjUgi93cA0y
yH0rdyjoaFTkM84oL0kaiNIlfEBCZqVRmYGRido9TmhtN86WCa5vKja//6bvTif+Apr+zM8WuSkp
sD+3nGRKvtRgy2of58MttMwHUic/6Lsuv+Knb7gcwsLK4AEtfa+Vr2tt6vRAVHtLDLejZdxDDUPL
jaUXxEHFXfqv8csvrhwWmfeHw34EDh5Rx6u64+dvRElr2qPXNHtzMKqjSjJBHeuR95tY5P2mvXln
vta75p+1r1HE8IQg59R+9lofNwWAKUcq4pFCduuHbnCopUmS96rV+FpjN6/1tqwEtTcjQapQTx5k
nBlfZTzsVN+0L7np0gOpW12CvPMIs5u8LoN5mhvnYdV5ayNMjDUv7vF+ioP6NLLVoNAwL+AEE4nv
rW0xVIwmp/A9jK9XgSqsC6vNk2vb0nBRmDXRFapV510PIVVlHrkPlOo+Lcdq23fzfEgIhupirUdO
mL2YTnpdROY3e3av2poAygEL+rHUx0dFn4NDxDbAM35nBjRwnZRztUuqpYOSCzgO8fBch151cOLw
Aimrto6Yd2xMSazpQP7N+TgaoEU1Ii2kMu4dTQTHOIx4SxEVsYB0ng36STRviMSbRByfz16lblsC
TFadm6x0r1ckPyhQHUNAuHqUBptYH8OzvLFWXUiHh8yv4cRShNdshlojlEsNE+zD1o27cRuRdHRb
OQwLQlzcK+lGzmn5SufISxGIbT7WtX1n5o72ECZ9fZEXgt/jjqO8xb7Rn6R11O3xtSFm5WWV+bKy
whOAm/VZkeoWya4VCtHB4xbJqviyKiBvxQO8nX4i96mPUv3eLBLq274aV1oYye5LF+mVUABnxKmG
0fY2Ciu2ktGSUGln5hp2JxX9EAnvMLO1PA2CsL4q57y+zOrmNPAm4wsevfbW7AysBkSlnInRsPG4
cy9UMwjers3HXZ4ZX8KktgAFRZ0idNcYeVFH3pXOHmdHq7peKHTF5dL0kE1HMOpYlNXKK1N9C6Cn
+lLYFgysyC7ZcY1WtKs9szshCJJRzxzal5HTbMHZFkT2tA6cUKEe445ceH7sAYk4XdGgQmszXBFV
izejUb7Wx2z8shwub2MDUAr7BsiyGq60AKSONCJkPToF5JRhzLXKpjqZGGCTmKCs4iIj7VZyRwOu
9kHL6FdGUE1PZEYRictDcwqzTIP3a0t2Bl64tlONrmSMunGbBJWzrvSKo5EOAwOKPBiDuKox2AZl
OB1HzSViKmlRdBKztlNBMJyMbPXg53bDygZeRdMO+FSWZKCuTF35ZtCNq8xKiI0AvXScZbgQjAx3
GywtQjTy8SpLIggmTvhEtuSDJ+aJ8qbVr7Fe6HvZG48AuU6x1SuYtLrpC4czbWA6b82ig7aZ1Evi
Q7sOBuholSvCFXjQM62pSpx3Abl41fxHpNzG9SFlT74bqP5AuGmHdEO/Gqdu245QXfB8xz5ZxkvI
Gb8WcVd1VwvNyfwGmS0ChZqupyyMJ9J0aNKHpb1pxi39WePWskqP5KukJmHK6ZvLTiuNJ9Qu7iHK
BmOnizBdjX0oN2HYcYUs9F3nQZq0EqhQOd0Vwk1PWZDmgxg94m6l9aUuUINLz9X8wQ2KVVoGct3o
4akCVxnyAvCzXu9bXymyZtJM5OeE+x7SXt4x39F9GYh8pdyaxDRXI/xVC9ZBorlnIBmRzpIoOFfN
hlhm8wmcavk17oz+ojSbzKMry7PHkmATURyPp2QUpAca7/BJXHhHKLmHz8WIbZ5qiCPrXjzBVLV5
gMDRjPGLF2vpg6BBcsskw7wyZriqRuqJlUizuPHxrxo7UsiI/CLQi+fEHv8giUy7SHDNcZoJG62d
+N6i77afvKhIV8SFdCAWR3MVMy/epG6VkuLnkB5lEH5D+t5MojZc2z1uvAVg7HzDcATBr6ebuK4C
Kz64setgUYDJnVtRtqmlOa2cfor2KIyJ+7C9EIN5wfYSx9Teai3rwo6woYHMVI+utWG7Oe3SKeT0
9+F4J1i51tL03C0nKb01XCVo34mSsMU2kTdmZW9s+gcPWMpN8n3oDNu1PT80ZDjRgIc7RuB4fd6J
st0mGRL4dnLivZnQ2iTIXltbRvGSJ2RmBVWdbG0VNAd6UMOhB0EIwuu1VdT+2TiSSxPp9VX/30X+
B5kiFEYuVeS/qqJ3Rf5ZkSNWffqpvP/zZ/4q7zGJfWJzR/CkXKbENDX+VeLT5/lEngcmZ1Ic8XdJ
WiHfS3yyfuiA6NgeXYvyahmRfi/xzU+0YDAqYczCqI8c7R+V+Ivm5ceSUbds9hKLK8Jg3afUX6rW
H/ot5VwkMgim8MIpSx7HlKRQ+k6htFZWZSfT3kFoBuAzUSGN/8goz5Rkx5+iV/qjCaAwkpycyXLl
6mFFUvNckYtZoKz+NtfS22R5tKDAs3I6LaqkTh8iPEKnRTPrf8SGGj2GiHCB/IVMMK0zjUDtHRyz
4s5pW0ce4Ev3/XE0ono4q0s732BmJjKa5ijv4slOzkqUFSvRBa1vTdoporeSQrAkq17E+QzUbaof
iQyCvSxDsqD7EbDyhBL4GeRTRzbAIib03IDVFxwHOxzTDqMz1LwDCN/O2WsYig59kcWlX0f5CKNR
28m4k+tCeg9DPuKK1IBLrzIFApX0yTl+GK2mXBkd9LRuGk9DT0QIH2ZRC7EmJjZo112REljsgwm2
QBDmErQb8nPyMrWAdHBegyZnWZ87cRnJyDrS228um3KI7ZMB5dI3zsh0klATB/UtRsf50NYmaPkT
p1ZjskEY6tMascdyV7tlmG4kkrWzAqJfZKbo9iYsf/mWyjTr6fiaYdgae0yM0LLHVZMwenNOZrhu
tTevRINBb9wMYdLFIe1AVY+YN0SWCI9CDnZ7ZLfwJfG6JweyIR2nXPNyMr/0KJGumwZWeIpWdvwD
CFy5LP6ieUH8SODluaTYzMQN/UaxtdvIKRo6xIHzuRzSzqT0gxA3qAQcdN6VnKg6CRB1poQVRKaX
G1B0kishKIr1iHkYyLrhAiNk7y+9SW7LMSEWtkxQQjOmObpxUmxAxhNyGAFUJGn3QkTleN3anRmt
Ay0lCtKryZQlcVAdXbd1THR9nO2VBOK613PepAgwJ+uAprreEqndPBWyTL9Jwi4MeKeNzbCwmkO/
dUnS9BUCUAMPvSeOjdEOvmmo9EiOeSyIAO4ew9js29VMaNblYnO0ALqWCoeOqZ8wgcy2zPm1XW+A
U3U43FlqGyVZpmK8yotWoBRNiPwxReAw5nUZahIjwgZWqIoutWz6tZvY+aEfdOs8Ysoj/bFNzVPb
jedjHsy6jz18Widd+MRnjLeuniFSSNW5HTYMHzvTPtUdp8HOkwSPIZsQLF+0gMuYFNYEXu+xE055
FzfzORkH1tVyZ18EZM+uHd1gnF+Jszl2Jt7+TApdA/7eQjeGCm6U+kuBgfWisBL1WZXRfFJXJl6v
noZjk9oEfbMj28Vxn+yCCJVEUC1TWmaNu9KuvRtlaqjQacyeuolzP0udRL+4WjlaQG793FunZVRp
kB+b4cGqCnCWMajN0zEy5Bdgf+DaumkuFPQD3bhG+ExllzfGi4bqAfQtZ2ObzCCfmR1/ow/ireoI
Afxa66bK85PeNm9KYyAWQjp98c10J3VrxSb0Q6aG1tc2o32es/3ld5TaIXVTidKgpIPa9SkDG7s4
Jmg64LXE8Sbo43Fr5MrdjxZ9lKHMifLtUNlsW0tB9na6NjoRXtjdtiGGvpTzc9uM1RW3dXFN7MWp
N6DOsJLA22tEEDLGMSrn6NZa5NGsT90/IMqGl17qRkjJivwPJ9I9eMAToM4yQ4hDXKmp+5MuiCyN
r9usdg8TI6N1wt19I7SlAyKGSdJkNYLV0M53rg7Mexot5fiOUzGATHtW9k43HqEKL5vxTluPA5w4
xou29YXeMFttxsbXRBFGK9Oph4ckxDxgGXFxJtMS3krvjN+0Me83vTTaF5VgUUssdmxFGjbkS0vj
s8zn7GIWkXfRQ/i9nAAZbkWq2ktZ1+UJE1r9xhGM+1fIBxISUotGbYAf6k8uovy1CXXpGmURepJp
CI1VGHeaDxlXvRABoe/znjx2Q7YzhS+3FhwfwuxDuqi276pwWOdEzB5c9r2+4/b2maxmRQiEZmxN
JeSdqrwSAqUVHgsSNC4rCJvrttJ7zqwXTs9Qd9sbrJRVTMs4CCnJJzJoQrEwTMfK9oXo5WEmRaFb
mbJ6zrLI2IixYOdjyeIMP3u80oyqPp3zYrhKgVyj4PbOqh7bte9MhE4c2NonZ6EuqrWQVfyYNr28
jfHTnDmlO93ogyCIQ7ND79r0RpKM3XY8FGMQmX4RmAslONIv6r5MHjIESA/sFurLvEuD+zIJopNu
hJsZDu58ByR5Im2yiHcA9ydyJ+Dl6rhAaJbwbYvV2Eq9PeTp3JPL63R3JsZOYpfNJl9rkZWvsG0U
m0oP9Ut6EsrYOGxSjjl4RAQEyTCRtTBlCRMrITduYRqcx3b4bI6O5Vt9aJOOk/Xhir3ZfBSRsL8x
JdG1VRHk0SXR2ewiY917mGar2evmzIvezXWiOBrVRFsbftCpE5UlO4ye7HC6LGyOVeBGJhTq8bSr
gLM2JS7b/+6A/z3FthBLfNZviuPoG2iAp/zn6vj1h/6qjl35CScFYy7alq+ZlpTAfzXAPf0TpAoK
ZlL3cH+YNnX49+rY/YR1HrG+jQ2IhtEyrPleHYulAQ7QZxHvMjaCMvldsv5XRxO1+/8TQvMWRIG2
k7rYNDB9gP7CQv+mZVuN2thWaSNO8pJXd7XqVRaN+9pCp0bIbo5jsQgn8NBxIrQBxQX4IEKUQ3K6
6URaT6Sw5JJVVI+X6bwV2zPkLohUZnyiZKWRIRPkTJeqvMHM8sOZ/kVz9k0nmEp+4aQu9ihGZxg5
33xyt+mGFCdcfQKBcrwWYc7LA5XA6dQ7+jkwb5oNvz8gr9yfdxIcEojYMialyW1zNd/sJLQo5eXX
FerEtr1TYo+B5Kc9m6Ad1nZV6YRPadVe1Hr5xYOtQM3Zmb1j7j2b0dvWUmDFD4ETLXkbPegzn9Am
ZHyyJd3CzSPH2BQ5YdYQWcRtKkFF7swgL06g8YJkQ1LI0FokQW37VV1l88oCN5ps1ZBzrjW7H6/T
mdm4FLP1RPwHRWdcLW1jDzWc2tROsGheLLLhYBZqiOJsrgjajrbpui0myelssiN5WwuDm2AwmHbW
BtPnCVwFPLiWYIvaZRe/cugJqA2mvEFt0BSOl3popuAWQyVvhSCLyqfbx3cDql190ULKZMXmnvEd
iVMjaU2y/CL7AQq0TQp8eDGGGZ/ImyzjwJyZJkNNyxSPdEV1eytj3i74gNDkn+Oed7QtGfN2+Vka
XR4e27rh/lOEl1MKAzS+nutc3oKJlOND6YpRe+RNyJmLGiiJ/oRqqDiwdULg0MPgnAFvaxw6LXv+
tOwIHNsQQYOkYJx55/kabd/wMugFgtaC4A3eDoPB9wduaT3FDDHvu4kOXt/V/Lg3CPQ8FXAg/Mr8
ar2pOEnRZHIVbBOzx+dwYNq8N2ciw3krJEa3sqIlsTnSUmR0o9VW8w1lHJeV96EUJ/gV0/BIh1be
OsvJ8cClc/2gjZ94lYa0L0pbjaRVAIVnoSL5QWN7SoDWyMPLpg8ofEXaFGCkeuIhpAvFp6zhgDjr
opfpxgwctU6tSpDEMIzTrd3K9pz5K9KgLCb/guycrnhScWudTZOy77XeEedDX6aXhJqoJ4k2b490
2nRXkcydp1wl/UNp6BSAgtf7STgQz90PfetSoSySkozQrOkoR9saN8Q8evcayIL2SkazZq+t3uG2
6WuH0ztEmV1f6C2TnW1jKS3HsNlVhiAUwXTD2UC0ZmryG4Jhrh17dXN4meKpK7/wn1n8giN+vI4y
HYWdjWlsVSjukUbmJOIi3BK3FItcHrrA1Cu0krm2yTCnqHgJQPvCmeHhIpechzIpiyHYNrpWNp+b
wBqvGXrxINCD5wRHspT2LoHAfmLJGVFuMDbIzfoYyWwcyPES+X6170gtGE8N8r0U0TwdR0GjGc+g
nRqUqeMYc14YHNJK7IhsOSG1W9a3ZP1q2j0RcnN12spaqy8n2qLBNkURMtzNGSqmu8jUs+Sacrve
j5lWV2hxDeMw94uqZZ4yziWSJs7lqA/oYDxPcSJKHYNCQAE/MjcHk34sK7gLTB+4kZNR48KRLMRz
bPfLQ8Gem99Cr5M1NDcLeRt1miAtXbih/XlM3U5exIHHQkELMCm+OcYgzkP2YcrHXMkxtUTFI/E1
qo4fa1EPqvTJcWn/MAK3TR5qVgj61LDfrfqiyPKcPv2otMDbOClhNxuZYPT1dW6nY1M5XPM2rcV5
3M7G+OB2QZU8E7YsGaWaU6VIotF7KS8y3j9z5cuOaItDkEuXAKiisHX9EEqDcRz9F+TlGpCRx2ic
GdDQFD/PmWN/tvouWFJybhxoNcNKZEV3NxWTtklaakJujIZ+hwoP9HKDNbrwKPGzCBuwMMREmqGT
WXuEh/YC94jJl0fFjbpna6I/y+mpl1OQs8gUh7J09fvGKtlBZfqjhtLQb3Oa6cmUM6kNh9HdEymh
vqZN4DyPiqEtseb5BQj1026oq2lDo3S8gkeuHi2jzzcZL6k1wgfjGttJ/ijMMNvKXEftSC4hEaqt
U196ihwfp0yQS5GDl55FpUrvZNw4vqc37XbWWgrqfoSaQvANUSBDedGnc3ZqIbDbMKpMr1jWy8fY
68Kb3kwvB0cf411dEXBQTdTTOsqLXR8V0Y1q7PQOJFWjtnWb56dA95AfJ9V8TDUv2UJ5jvwevich
OA7iwag3ilteOuXn3MrKcE0TKGc/rRcPoW0vpxYOve/aFpWs7XTjeWmPhq8QAhLD4jQvUe3Ua5op
5l4uxDKS/+Q5mTAOAzHdyknSmCgH1v+XvTNZjhvZtuwX4RoaRzcFog9GsBFJiZrASDXoGwcc7dfX
Au/LeinpmvSyrCZlVpY5UFqKjEAE4H78nL3X7lpzQA9c1nuvkPPq87Dq4xpWs4tt4z6L6mbPaLDf
wNVvPmV5ywCWFpBzrBCEDdu5dPurVCL64DeU7Vq35Dtbw4sOIHfxcLo6zlVLlDyzYM80Uqr5OGrr
HE7l43buWjJiOIyHsp+zQ1J1zuOQDstXXS+ys+/59AjoQv0p2vanaTX1Cawu/nmXVSE5+ElIJOvS
8shQJMRLNaj5qlVVPJJTTroGiuRMH+pzxFN++H1dtFY9fxvJv7/q6mOFyEfYLSS5H/urghmfm4y2
f5IFq2gKkUmGjTKpMX7/OkhFfnkdsG5w/6j2Vt/fj68zJLXTd34cnQQybdZUvWXNrqbmxZ4iFox/
/mJrO5uPE0bXL6ZZg2dYiykCTx69wG1dJ+L47pDT0t7/g2ri10IWWRqtF2pxHQf4z6oJGftuQ8Aa
yRLObFyrntLbBvOAEFXV527lEPz+0v7D6yHNoPFPAAx9du8nWxfsOx7borSJjEqi539vQRXTwTS0
q1XU36Wg8v/wca533o/3CBe3IitMiy7HL8X6XMZC+a0Sp5b4wSEgv5bihwWVHbiaEPWiSuWnQq0c
1tEakurpH9+k+FBsPmd6fBC1fkYq1JUgYLTInVPf07EeR806Tsb4JyLpr48Cr4IuyQeBaTMO+ekB
LCJzrOjxOSeO8iQOpFW6dxEc/OHD/E+vwoGSucnqPPzFXeYoC2GBxrW8ew+dFAMD1M3/g9uEhHgL
NgOnHY6bP90mORqFlNQs+2RGbUpmHnA6kmlHLGGYGo2raqZh+cOR7tf1izWdNYzLgrHGy/74hFfp
EM1j4YiTVkfOJ6MnpnXRB0qRHibQtvJm3QycbuEW+f0T8evKwvAK0yi4ZlCHvzwREF5TfWkIUct7
nu6oZp1UDioQRrjeH9hS/+ESuTkw91KDg6D4ebF0iYfgpUrzNBH0FEJqrs9Lh0GnEKv+ej3BTetd
88+vbxW5Ye1mnvaLLGzQ08pKmGefCgcjZ1Vi2it0L9lz0Pnjk/6uI/3xUUeahQBNCNd3vV+ftNX1
o7OeYBbqfC/IjNKG6+bqxUMzLO21znCvoramTJ5G6jqsJ3N3HeSAyAIHh+BwUeOXic3uK3wbi6pz
qbCf0fpv/gQk/XUhhMdkgQViRcL3bv60oVSpPaazFnGHl6iGwzRKm5ds0tgvYclyq2U+Zf3vvwnj
12d3hclSVyLGxYL9syszpsdsRuxxJ83TqHUnz+L8QOiK+uq1Bltm0kTr/Z6lxlX2hXwZBnsxNlbq
Tw+yM1EASJKI5I4qKd2r2SiSze/f4H/6TFjD3uM/+O7elbx/G5bqskuWweOpLxePolu3s89GjFcM
nniVBqPU/9TG+eXZcxA/8zTQyuEWRWz34zMv024t+kmrG0REwJqeYQqYZcVtOq0C/99f3X96MfpG
iEuZ27Ed/PRimAl9EJiEXU5gDu+yighJvfNWWQpqoj/Rg3/5qrkyeCLCWBGjLGfmj1dW5prRdJE+
k1VKo5byVXFn8SBySvz9Vf3MwQYGwXK5Fg84+tnSf66MSGNNJ6dxRyqINunudM5wfah5nYKUB3Cs
OzfZQCdExAKn5ZjgOykaBrQoFddtkOHoQ5Lm9Ak0puIWdpeleVlcHFS65tDKoutl7XR48hzPZc7h
eFwjlFVV+yi6fn8lv34/K20Zowj7GviDn0uhlGzIxi277mQuOKhGdPrnEtPYPtbnf1x1AXbmHhCo
Emjp/eIJULFuqmFK2lOrO9bRA0RckJoq/S0o8/osyPX9U/9w3b3+tjAKtjVgAas02jNAcPz8LTH4
sQzZ2uLkAP39Bnh3OLUi8p/fGyKO29HVkUthP9XoCf+wAZg/3yKoV9ecBQdR7irEZw/48WYUBRY7
nJ7ZyTDoJC0bPfMcJpAz+U8Wxrwp8t4cI8/FZqg7o7v6MWZAgi5jtEJqxktIHNj8oPclXcQlX/s1
ktQXDhZ9y58Xl/uoLZ0u2/f8/jtXzVrFbyLV/ODjiMUolZOBfW8zXX2G7cR2p7EZ7GfVEps6tIRd
o7vuQHOOE62xLsK+dM5pHOEglEO84oAwQV2IB8vbjW7k5f1It+HaOgotM5nad7D6tWVPsCL2pkFV
C7RUaeqkEGY6eYKu3SO/FW1zo3LhGpitQZ5uaohXHKCX9EQAnhGKobAZtPRGIolR6yVJS/S+9WGs
X5FyrVwR4tlpHvWNURhfx5Y06ZtMy3hefKSLNEPnOE/uhnniz64mcVM7ZJ5CcGpJVD3AEedUhBiP
/7tI97+KzyGP6Lz4xVrXyIZnLakKe/5Otzwdw9yIWw7uczv57wqE6aEhtTa5wydbkGwYy0Hdd9hP
0WQhLyBt1Sib/KFeMFRu2l4ZcocJZ3rICau4iR2nzh/cxui+kgTNVYz4HRe0tFUvLq001lbUSEBf
MOkpP8il26/2yNv9sApQcMeYmbgZ+DQHOho9vbk0R6iyc5qZl6cPQudKLQmNcK+cHWuLfZ7f2GPE
xpM8WtVRTlmvfZjI815CmS/sWr6OcY3xYWF15m01DrZ6MFLSQDc5t0tyx3mV6Fxjdkfkzhqm82Fo
OxJ7ezVo4dJUDemY5spyXWLuoApFHdwBd0SvK4bIGI/JpMEtU5OBobNuC3pazE+7ZT/BzTID/GJ0
GfFcTe2jUdltsfdSmxsMAhnJglrasje81wH07Ln7ltih1ZA4+FBOhuNa85lEtomkMnJMp+++WqI7
bxkAK7y34Oyi581YyWQ8isy0X9MoSaJt13eQSf79WDmraZzUaOs4ulbmvSLOo/U22gROGJOR4ANi
V5ShqbD2ha1jcxdJz1nt1oXN52p2a8/cyrr+bU7rcdhNWPPv/j2aIaLpNbKttZCIBbWdV7twDoxs
7cQi6MSrCHz6MJGZvoTv25/r9DQZE3pX7o1NjvsS5HrKzJ6YXb0743TlMS0bjUlDMQs+WBENwtqh
UY/T+66SvBFDp3eyawqzI7XRkNPnfnItbaDRY+f5g1dDmb/YU2E8OllWibAncnn+5mlMMrYQU0xx
PxsNXeBkpjYmdckY3ZL9mDFAUpP8TRt84wumOYAJhLLcjxTmuQJK0KoaG1ORDg1qrijCKheyhNvZ
CbER3fq5oCm5o4O2eLQk8Fuf0AiQjUp28qQ8GmRLP2Tj/5+T/g/npDw1f9vpfxURplX1ravVTzLC
95/6a1Dq/4tjJgcHxqErvme1A/01KHXf+VTYc95nofQu/ntQ6v8L6jfOMkFPiKOby6b716DU+pcA
1m3D1cDA4fOb/9GgFOb2j/s3MXQcgsnQ4MCw8kTfoS9/K41xWfjIzSv9XOlajfECbS7+hcmoIvLc
jKnZ5sJSNaK7oWl3E4Rqgi4bZZG/WbjENy9pxZxp7i4TpmEf/T32iI/TUgjxbPhUV5uxM95iz4yf
yql3wzRGHT8IoS5Enqq7BYpehEEhgw5fY/a/xCP/k1TiyW/2WpaQvKKy6uxm0wLiwb4vWmW9aaOI
5jPTqMmjwWKqmyHzRfVk5VHv3nREsuthj/a2x6ZcWv3X7H14a3YTs7FaD/wM3/jckWGUd/PGanX0
Jq7Vv8AzGJk19UOpXXIrtddaoHSbXc53+wFeZOmElglzA2ZhlD4ZyYyxnvkXqdppRntVOHb3FWKn
/OCIHgmkq5K9OWVfkdPN29RN07DTZYovhbb+PjPTxzm38jsnY4J54K9YF2TDUblRqCYPCox9G7T4
WrfK0F6nXEwBsp5yPLJbsFFUvrUlNMwHGOChZqFRKe0tevnuwdAL+zL4zKMM1bvGsfd9yal/8aPn
pfTcD41rR4+tmk3v2EbK0jZZ19jFuegEKzOS/OzTMLbJVrNMN8wxPfMZNAO6qKk6OX5dnFXjMgjv
S2TPVDYRs+EZ44nqVeyFWtwkWzd1lgdZxSLV91HMdCbHS8LkhW6RqUY4mOOCSs6bEYuISCJnm6Po
IOrS/NQs1lwSHq8tj37hFiJQ8eimB6HpXvFMtEBfPcXw611927PHTtqWHFY0XHtmI7PeHZPYrjDn
ZIWdGq9xt7Qx3xwh6zZc623ZidCUjbgu+Pi3kx6hfINLcqR3/eAlkbP1GfeGeV6PWZjaaFBEjf4r
cXwFUkThMljD64gTts1xWxAvTHScR+aO5j7mk70pbfMY9+3FXiPgl3EJ3LS+CrlIQN4klU9ldHLz
aldRmT5pWnI/4VkOWl5mB6BDofufXwx9XHaMEHBkDGiCSHI+StLKt4sjsxtZavqxsUW+U5E0Tz5M
ySCnnN12GliJUkzpSdBK2o1enZ61Yl6OuuTRNJ3CfPLJpq+UJ0L8Nm6QJUoLBZm9u7pCqnsCiZ0d
qcreWqqJU5uK+ExkZI+/oCT3sJn3jM/CTjT9TiwNn48mN2mpYUSQmq8BC8iSkKDgb/YiP4EEypBF
1A34OH1B2tbmXgixb9xg/41viC8GR53OzV6SwqJSDa9AnRoBY4YoFG1m3PHus3OGHhh1KI3+IwKP
/luzUko8EsFx+SfjQTYDBCU2yCpe1KGWEnSD/UFaxUPupTeLEVGX9nqYmcsjOtd9rXf+yY3Hh85P
jxxUzI2n40PJ+PRj8gM9fG6dlHtvni4ZmcSBb+OWaptCbYeIYVociWcHNseaB91tjLL4Vgi9Dcxq
dIBKJf2HVAP3LA0j9JXTBZKx8jSn3kU0KFyzEg2jTrpkAEJb3Os9hKdyaiuGo8PIvdVAn+X7cPbU
PR22KL8/eG3xZUEzFlDk+yeH5fLUt0zMyADMromvsgMu4WTDU2Hcx4m8H8j71jwuaqmr6+SJ7LVY
V7O8jzCVeVmnnZvGFA+pKZ1T3agk5AujpJkaH1JH8knXOsoZc/qeqNI4xG7HESWVRUAMEuECDC5P
+Latbceyfq+sEdnY4vjHPHMfIqe9Zwyu71gmvHOdaaOLDtlRH1lX+o05uNEQNJbKrpnZD6FUudrr
fFE7vZY9Ey07ebCmyb+0k466AZePyMqXLjbNkJEczJFyRxx0EqCtc4lF6x46p2J1gRwQ9Xq2y6zc
4u3V4jUR6TW3EnYHSXAjCud9mqnHAgrPziyX6MOYj5dGk204GSp7QtbyZMc+/XlteO0W/5MT40js
bYf7uG+IOChQ0pnjrhtbLFzZ3jeziE9Riusq1d2PXvulIqN8a7cLIjZlPjaknHED50wyyqQYzrYc
9WtiWA+939wUXfLs5OYS4B7d6rWYA1baLSa/z8IfGb0KO8zXtbTRvDuvs/Zdmk0PE18dkBHEiCHL
qPc5j2LjU0HS8aa1XB41TXBidYcLYI7tIPMTp2O1swdpnlsn8wI5oKkNydNJwnwuvD0clOWY1OoA
5fc0pFG+V4WehrGvrZ5DbcdmVoRL5INogJbBsVD04ovQ+L5IptW867zo4j4phcZJuJWXooeoNI9D
vW0yO3lrJkeEo9mj2ZXsCWPxZIjhUEX1xR8WNtbMB1SFtnKgDwocrvwyTBWRk/OnzM2L7cD1IByo
8xB2c3oeZuuI2MTYiSQimTO27eU62RC6Aa9IRPmcws52ase7WbPmoOtj6yWq++aB7lFeBRrD2Wbr
4YILh9Kq7mJtwD9Yt4kTKva1JgW8P9d2tjEMo9mhT+9vzLiKUHmYHF56PQ0iS3tKtHHdnsd4Uzt+
oHn2dQRl+YxYo7rV4wbNrZgLAasCw0D/UGWad/S7fDlNg/UkJr15IzdDiw9RiTZiZ7uj1QVWYRCk
IkQ9Dwf2WXM7KP8Ldok7I3FhtIhRPXR2dTdWmsYBklj4OelvoVV+7Fqr3fUTSmT8jB+9DjT5lOYn
U0P8QuNy2JhVIT+zvIrDCK3ldfUqbNFBtUciX81tVg/J3imcNPA8QlPLXHCx3fDix/D5K93TLjFq
pWcQazhbh8777pAttekZ4wd2YhWvtefOH9xRQ0jSey9Wbjdh6ZXus+su6QYFtx6CGMseq7jS0VPQ
PPVdgMmWBXhuEutDxBeWBRam151k/s1zzduLOcFsy+xr0+Zvs665D75fDR+tbtjqTOKvQNlsPKJs
2W7WGKivU/J2OBS3Imj0tjgDGKkPWY/XgKl6fDHM4qDyKA812222DDhQW5emxJfhJf29Ji3vsLiO
/Kgt/qFW8/Q4QGXbGX6KyNlf8vSmUuqrzL0vrM4FtEDH33CG65/Q/J+dyvL3jQ9xykbktQXAxQbB
4XoD2nsIE9uk/aLVmYnSguATIvXkDUaJJShUN9+UYvQPY21MGzeRX4qY1Mp+KlLjrmkG4wMLZIdg
rLcKL3DUmBR7UcXoKkqRs3l1WvUiGV2eY2e2dwW14LM+ttYMZKjwEDWI2fpQJpbxRkPFeRNpleB3
VTEpYAlkKdrmW/pe+c4E6IbWCSaUKIeT2y9akPYwdSzzNuKgYvHcVm0fnRJG9SWVB0izdIiTEGsH
fclzi0YCL9sQf/A1ClHjQqEV4lp9xmByBOzylTGWs5cNuR4l8zIIZfEqTqnNYJlsP2CT3POtnVDc
q8DnJLspMIQGk+g/Dwo5sbk0fVA1kbWxCzBbbSTZ//L6kIgKU0HUqACdW3GwEBoESZvBINLHbdRa
1yzJLGRCpIMXjeOd06RERqiYN+Wuj8ws2RWDbB+gdgv8mW99kVAwoYcgIDl6ousEKkCamEeEBUuv
IY/HbmEqZRHD27nauhJKfsV9VwKICxisGWGtVQ3AUwwaxSRZTjB+IKAcgk4CuVzy5PPok5pLgb/T
PT7i0m+egPnUWzjCKIPS8kyM8rzJDA8R3URpiLZN4DVxG/bEoj7WtXjwEZfsndj6UlT9E6oa+1Zz
lnsMCjg+lT3vJnSQYduoTSPmJMCe0V60dhp27aKZzwzdukAVZfk0KeTq9DLZ6mYC7TNoCIGF1zJL
GKgGZlbTWSuXJ9CDKKLQaYUpBv6veWtsjMldIKxxl0+Fg82AcB9n8qIn1yhugJ6JayvgMPay+k7x
2wU4A7ZGttRhouUYVcSA1LFLgOr35VOLBWpTCKzWsDb9rSCJhKLbw6+lZcUlj1lc5jEvdz4G/Kvj
RW9615IRk08QacZ8upczUki/cwxsQy5VjwE2SG+yazXN/dVEwl7Wklzmrl17Jvp8hd910jCJQgWr
LQygAwN43x1vmPp+rTlvFIb2YnrLa9w4e9fo+huOuTMfRo6yZjlGXj5sUaXti+S75kmyCZ1OvzG6
rDlgeLsjRPpcTQnLYyK9EPGCvsNmV1OvttbeUsPerG1sX1l29hBbUCfoABe9J9tNANuny+vk9l+i
Pn6r65z7p7bue3Vx6+ipHhYVcJyKP2uaSYKoKI4qXZYwttybxfc+eQ3IOt+v9zmbY2DGXnONIhPq
VqUbN0JgfyYeKtS6TA9Vv3RpAMRAhzRXj5Rn2l3vSOwpeTktbAlZxOWyE0ikB02ymz1S+Fru4M9z
m3yzcHHgVR6x/lhm1wajADwZJHb5UkB7qLdpapRECJpkl0y1VVDg1SAKzaSt7kdklYdBm+RKhMz3
WarFbdiYrZ6ENTjCF3M0kOnR/OSQ08insfcKGp3JcKSqzqGsJtUeS5jYNfMSn4FzOru26h/ndkFR
Xfu3vtdnd1WqGd/ttOvPS5I6p8by2gP2wfzU19G8s0fRPooK/JjXmq+c4bNLXgkO+LF+C4dqCIeu
jm8sOnZhj4L9QstYbOVCBphVw1zNBk5Lgyu0nWKqsYHhTgFQofmqLLGJ0Q1i1GJel3Yq3tDb0Bhv
6bfQrZAX46vaYkqMbh1kwqs1780racOXpotot+ATo6i94M9Yo2rmo92S7NuOwxX5HWVFlyBEzf3P
+EdTXO0uus8Skx5QoIoyqF3wGvLrOx/eH89O7EyUe5z6dyD8CUOazJAZSrZLar04Ujce3bJCqV2U
w25F8m9ZzbFXlna1LSCsZoCfOEx5DxAuxJ6jMB0Xa8pehtz3qaSFnl/YqtmFRk4LVwAcZxJDvKAh
z2xjRtg6+rwMNVreQY1tBchmp0NXKtJDlwsjxNWTEePU6WeVS3Xqauu7XPoLqbRtsJ4tzCW9Gqzu
Www85V3W8jXWucPoOcegXRRjqKEqC5w6VZscPfd5FBnGScSNeV1eYsd9rj2/21NfwxNpuP27adpV
hr4nzH6AkIrnsyGtC3crEwUN4SbCR/VtqRuUhOoy078P2jmiw22hCZacs0yrCksNi+uoEi4PU6lj
dSHaYlZlW48OpGSgB88bm6JlPo08qSG2fjQ7vWKNtI2WDN3hbXCzt9S1j56QdxPK62PazbjIpTyz
RD8Td1HtRD9tOWpxJ9PlD9XQ4fEzUv1Kara596aRNsrCpkvPF9W28QCrEjt7v10GJw+lBO7JQWep
PkoYPhAwxtHbmfSYWTsfzDmeuSKMjbkzcvLyRvjKHAeVhkVwaYKejsDGiNLxlACbgUhQvVWq9u+z
WOOL9Oy9HCVYiMnCImaIO1KDFXQKw9xYnb5THRmGom1xUFIoa9Aj3DnggJM9llHyzTPktVvMc+45
r5Zh0hV/xbK+75X3Ha9RwzE3hTppLFkIcGAjswofb5Nt4Ip9b9RqitPyzwmcjq1cW/8r8DM3wVDA
1aFXsmR+vKkqegGJgSGTVYtwmuyuTVigw65vnQmZr3Bvy34wTxo1fYOslvDjceBQPmAV5i+xkyN4
L9F/NnJbdVhhN4lymes756Y0zqBuMSBNzG6mvOh3dHFQ4BQ4ibHuupIdepY9DN2l3QuwlH6ARaI9
poVkAMKqpvBFG61dUhpLMIwTFbl61OANdrvSQ+25a7V8bEOLEVt9djgjzCwfZg/OVviGNIOKz8iO
8CLDJpv1mx4LzFuXT26uoM/6HR2Lf4+b/2+b/v9fYnat893fd+K7LuVf0vJ+NC29/9xfvXjsRzqS
jBXYuOY4rA33v3rx2I8E/VQ2g//dhLf443813S39X7iSUBb6JoJGx7W9f9J0/3li7ttrrx2fk0t1
8mvkZq8rL1FDEjM/rJaLXrbz3iJZLw1E4TMt1+Ok/QJFV35pjDb6A0Cd4cKP/X50CADIAJchrbB8
lFPrPOBv/X5a0dLOySs+llm9XNw4X3aa2fFcLiViO1sl+kFJG1ozXh02QUPCvQiG2qxQgtfz0xL1
UIhxIGCBZ0lv8UIZM0PNPEL6RAcx37gk974sTd4uZtBlab+co9Sde57LxtxaGIAuvourk3fJAjsn
xCFeh6QavrmZx5RcpumyaxPLx+mDPOQBW4gbtllEfOc4Mox0eb+Nlcx7F2XNqbYnPjenmqob3iaJ
dwABmlfLrxaM0n4O4Jhx5IxYmc0mEdTzh2Ju4r79YMDN1U4eFZ5Bfcq39HWIrdjZjb5LZa0PUZxu
yz6eWra5RLNfEt0HfIslxlfJuVYWg/9gpJ4e76Tpkp7kxt4Yg23SEm9Xk3UdP4zQmNCX5KUUhICW
gErxeit9oyW6ZR8Nsf7N2Eh899PU5k21p22KmkbLOWU482olxqWNncXA3Gl5kKwdI06LoHQi3cUr
VcVv5TLHt4ML7qzWl4LutDvLJqBX5X2CBqA0VuQREkAl3X3vLBvFf62T//aLncnh6lKydmGux9YB
v7rBGQCc/hjBGG+JQvb8Yl+2pX5BvMUY2d817eBlBJY57HVUJFJIrLR4O7hhGlcHS5rWIQCv6H5w
5umJjTT/pCfkkbpFBYEO202o0tz+tiJlHlDwwJ/3J7mpfM3fJZWRQqryrZfMXrFPTEg3qQt4J/Ur
dRIRfEvDKB4SSLT3w4QMH51t7IZAe/eaMToUH9Vx8udHl4W2DTTf797s2ogeSjLONxMn9GMeOwD7
R1We0evRNsdUE2LHKqjGnSqQmpHsYT/5X5w4p//ZRm12N2DleY0Htn4KkFm/+rO30gIyQzuR3shP
zUAG7tuOHvkoyUuxzOIx0xrzxXHiJg5NkX9Jga0/Ox4PlSAgYUc5IY6g1gYa5FN5bK3xW4Rn/XWh
c7n1mxo3LmuCeqW9uM0WxtlGMoogb8bzIBL7tgDWvLOGBfguEJn60DIIP2L+cS5R7Rovk9l7V8Ot
RkrGUR39LC+OUCd9Thh199jh7ru1Rrs+5FZpnUcMbFdcM8zU4sYmgjQxoKQ12SdZJdkL32ixn6be
Ovf1Uhz6qmquOWl5X5pYOVEYtbF7SltruZO2GjhUIe7EHWMMQdR4LhWNYtANYIplxZrSizfDZvMX
3QFOwiNxKKY2YnTgpemp4uB729MQuRlaK/2IhGMaAmse9UuTD+lFJbl87IH3fkhhcJ1waFVbbUr9
F7qp2XM7OOqsbKh1Wxrl2Ulf3MXcGWVS3qGXjo7k7Y17tegxmiDYPq0c7O/2ACQcQdP8ccrMfEMj
9FjlTXlUdnTB9lRtoPTrwfg+Pqvio4lxfLZhj0S+RWEs+q99NSJRyKvioKO0Cyqb05phdMMezoi7
MxOduL3JkW9NZPdnXY7prhDAmJ1KjPdZzbE3Ibj3ULc9uLp5nD/1cPu/4F4c7vlAolv4Y/1HJgBG
OIix3PCcqE1dTtlhxHm6b0TmEMrQ1/kTmbEFuiCDp0Vbw1LdvPlqaUw8QITQvZgi3dpOzrRiOVp1
5xqoM+mMzg6TkSEJPI7y32F2McLR8WpyK3OQouHx2Ez5cCHc4q6hT3k1azP+ZHo8/4vty91kzcgf
9DnVLzi29Yuvcv+qMbm7n6cBzpbRzbhHawOgfTHdFrKHoGTwoCJNj2FO02DGUT9ibk+RAJ2amiMN
TgQAer1VXXpJq8i1WGrotuL7RPBgSmF8cGaGa6FOUBHkAGf+gu9u4qyqeW1KwZtlhw5g/xuTSoZ6
WX5iL0HoLGsTEtuQHovORllKKvOj0WbdQ+wq94rui0ZajyQNwkQun7qq92k1u8tloDB9beqeEbFh
jA9FWtNN5Olxb6pxnL/OdPzmEIESnP/KHk9aXA77qDOG66Ba62QW5ur1kfJ5hF9/N9mcP2aBzMQC
1HLPzta8OH5fv3mqcr/PCI0YtCiYcBjZvtL9yLZ40+jjQfMfwRSe56mzN66hKxqNvE/YgR0nBSPP
xkDviuG1AYpe4KrE0woaTUMfkgj5TNq12tYuvixSINMotJ0sh7OI9okcSfnRiyvH2Yo6Lt+sOPb2
lZyiS29E3nnwKsDa09IeE9+jJZ5DZ59N9je6eaq4KqH7t5lXdpfcmNW2J+f9JGsNNrxC45KJnF55
4XKSHar+I2mMqJYa+sqMDjVm9J019vdN3Hk3i+bP33QLSs+aiMB2DdIgBkujtMcksZ0XiNYsPTnD
HWpuLavWRbsBgr5EhBLrXn3LHNW6ErhasSyRsJJ7sHGCLLK9vato0HFPjCnsdF/DA2wkUA9q13vN
kabv9NR6xf1SX7S4sj94NMKR+EzWzah8wTI4m3cI53QYcdVl/QJx/VjGflHA6OYq3fiZNC9A+LNj
DC8uAD1T39WxaT25nhq2k6vRQpa1vdecjCYmyuAtOkQTqxikUK22GmzAenfv2rH4opK2ACGkmmXT
j4P/wbARJFSyM3c6WqZH4mMSwVm1EXdw+yJw2cPk3xdx5e6RjNbhqFs3XtRCwHBKoaOioD0rnOnk
K9PbojWT34gqMBWYdtrQkZLugcFXE3ZFN4dVNHd3zVI0d/ncgDNNTPMwEaocLjajnXGEk7OPjNb9
SC1gPk4WLDhcnJb73Su1/qWsPXsX5c0nWxbuVsv8e8tsu4zr0xV1B7E0IN5HeimZyiDbN612dCqz
w1xNyzZi05bLl7RpS0K5gCiezH7a2DXbG2HmMbem4DiV5fZdRG26M1I2697JRcZUG4DcxgL4mDHk
E/3VinvJobt9JsOvvMWPK5oQTo7Ys99VuwEcOx0CjmVaargHKE3erWu4E7uCm75QoDl0mzOa6XKO
Dn2TRUywc98MwJMY+RGkqBFyZ2MKrBs0Cq2YMhtPVk35OnS4FTnqPThtmwTjYo1HR5/xMuaS4WiB
SJmbw3dpqy4J3c/c3Oc6ywrCG4rpiUq1CmBwjB8GvYif9LwunoRJDSgQK4iQMZe8bXLln5fcoVqJ
7eiouw0alhgIATqLmh2MdnV0BHhNpwgrZXbKFPIORnlG2lNi+vWBc2fcfbMI7ul8PJgo6ZEpWNK7
iQY736AQa092weQYq7x1oUE7X31JE9jPU3jUsZxOSTUu25jC/9NChz0TzmPsEFnQm+kVX4HBVYpT
mbvG5xQBMj0WkmdlhJQicEucLQuolFlzq2CA4rKRvdZtG2t5bZOZtol27zU0E/1kcDYFpnja6EyG
alWNe52oTIgyEBU5IpzTwii3RRY/8bVYux6Ie8gpuYc6SHGjFentIFLr0gGtMjoGotOgeriWefG/
2Duz5biNdOu+ynkBOAAkxtsqoCbOFEmJukFIpowxMSeAxNOfBcrukOVu9+mI/+qPvlF0WyyxBlQi
c397rx2VZYAOKSveGHCkQBSRJvBmtTvcgvWFiblg9hccsrTWFwYed5l27BfRE1fdBwvEV3Ap/cEi
ZwXVayFJXyoRrY3m/O9IAk8A0te8EK/asBdETwwRkuqbMHH9u8XLyj2gM7yWXH5fDAqMye4nT3AI
vFNLac0F8dy8yWSVR1M6O/s16LnNQaA+561P7HIY1z2uenevHQUusgFbW5Ohh1RV6DvX5MUVQRXn
6yg5J7T9iBCJw+OHE/P9d8v2j72Dfz2WejaGD2aGcDMCzod/PhhmCdJFroL8XMiBY52x+IxG1oBV
2lWl98Exa06k7KVqbtlm+W8CGj9Z5DmVetAzbXvLZQG12/gkP55KcZExhVnbHF5m0/+6Fn0NIKrK
6CgJy8e/f50/BRi2XyVogKPsndPvX4OJOS4sD0ADv6q1uzrmO6LJg+u0+fb3v+cvDaXbL8KIv3XO
AkTxfsZwl43WuGD89KxaNGsCRM7ZU4sdV3U+3sNBIqYxhRkTee3IL+1WWMCqkmZ3BmQ7DtfM9Or4
/Sn9v1aG/n9kvm9qzr8m3tx+m768/dnGSWiOh/wuHVkWNEjhOIJaBzJVP9o4+XD/IRk5NvhHkso+
RDKX/IUF++YPCcnlr+ghNmmjhg6/sW9+Atr8LeDG3pINP8QuYD/idfNshCSCRiwmP31hstFZJsq0
xY2fDP6Lnh0XLpiFecpdKzPSGQVuyLvNhe9aZ+0aq2PMvjL9J2IAb9Ueums3MZX9CS5Jedv4VZ9d
dTgZ8Mm1HZ42BU7qRUzO9GksKcQZU73uspZ42z6cggm0yFggH3voNkc1a+tRiaF5radkultJBiz7
wKhnSHdr7+OjZLtyyJlwn/y+QITtS8rC/FaPR4+QQbNrs2Ip92mKWzuiXQbQhNa+d8gWJJUT365V
RSAm6LlTbGJ2DIHKt47dxF2eupPkVCmXuySBKLaDm8Brl61EeIAZUvrnRvcOEEFLgVZEq+dvxQYr
uJDB1OgXbqfP0DhwhsCsXdCDeIKkZJKVdj4cgFI82AzkHkKnSB/XopzuuorVuWCYEpE3AmOVDA3t
SXPvn2RY1R1I22ZNT3ix0cICVcLWcnrMbDeitJ9pdxj9tUVkMZuxOyWWm6ujTGxGf0dW2TI9+D2B
TTOCodHX5r6sg+VWgD2orT2wM+PsDFZDk12bdhhbCsJudV3GeVAZ1fJxaCsHaMJUkhXpWWC587l5
Mi23ZTc5ITiJKu9DbiyMwQ8tmkS6U/CTKJWgyKdIIAJq4wB/zqJryqUtmvWnU5M/Xg+mMWVRijbl
NydzmK3kyu6Zf0WdM0zbhUPLwMoeidP+UkDGLqU3V9NlHJVqzVtLy2IUWFmHYZpXGg9nGzvwp5QF
zl5fl7zSdf82zt0oUdeBhFTJw38XvP9TKTMfMcDYv1nwmn7M/mf/pW+q/CcM7veH/r7w+e4veNA9
n7EwqrXtbevM75p5ANDW3iztJo7wbdfAhuJ30JfwfsFdYnEvD0xh8zAe9cc6KH7hR8GAYWx3TTBh
/1HTBe0Pf14HGaGQvKc1lv1DQCTR/ykB5m+kxr4aihO7WzKnVripfuuQkiuxp56uvHFqzQb7tJ9h
UmGI5pxru6YEyVsHOBz2zGDoINZFlnHjNml3MqrGwrTVAk0yd2YmhjeZu8G1TmAlsDGzbkFe09jp
MFjmiAwOCjOKOE+5Rfplppaq2pUVW0XJNP8aShWr4hC0r625kgzBsQlHBjZ+cG1lsLpRLK1bSVNm
vW/q1PN2ig7h9mhXftbHQ2lsD3kPHZVFru/tbgxfFHlvhl/tRhrAmbw8pnhuXmRuLY89Y85zUm75
MtEuPlEguy4bNPK+CZg7+sPbEJhAuGpJhOadLGbV7xQdB54VrWmo7+XW2bdrce9yhLdTspKWsJ4Y
qsCk2oJJTWOok5gy8bzOwXJfC/J0gzCJzDEOs26/w9HYyiQv30lF4JoIwflhgVG7hcL6VvQ578B3
+g4MxFcg9qSvFtHzY85iEYxsXPeLTnkcrHuegGvNPNsZ+9O9KaBxFUnGVl0Jup533D541c6W8QxK
QfyuMHnt9H6BDFIclG89BxdODcfjVpRGcc3xyWIcn+PmSvLpLBoiaBDKeMx3cgMDd4gbcpGIGlzX
vMPfP9DKTEnopdT+vdhq+4RpNlju+UiH4RMdaPCQZnZ4FncpxvUR+kyZPxjS5iU0DHhJJ00ZfwZD
RU6MHBWR3BnaCm6L9zjXDPvJBYwKg+zISuhiFSxlZn7svYFMUiVXA9vJvP6WJRtzyZzq8EVX8+O4
Du5BI0Y7ewIJ+PvtoXhgKBI6CDmdgdlX2k+1wwW4DTm4aiUXeokLKzkwAuFfWhObP/2MLm6eCRfR
aHLvzd65Zv44cTVwvOeTDcUIxO0dZkYqmGQdrJuNhZIOXHwGrc1RMtl89Qi1jW9sh8kCIgiATkIY
nyM/XPiAm5YMCq6qdMBSWLQcwGq8APm+DPEvxBOXKKRNvpbXTRt6zum9jtcowI1iOBU873xVBDJl
SXWoMLFu4jelwGeXWIro3+LwK2tEMEgO23Wi2VW8qu0jCgRzdumivQXWwD8GCTM/wmGByeSAI9DT
FMatY7Wv2BmSl/dLODfgeOmSsthm+7JvoM7XxINDN2PaU/v3kPB7zFpSSHrlZMTNDhvchQlAyBu5
xbfEvq0CLhiFbnBV1d52BWxfCdqg8yOWMN48fJ582FtEl4Ks7nssuXNbEl6e8qwnZ24Sqq/NCaV8
oJxxV3QUcFbg7lANG0LDKyUeOJfcedrBFuPlmIQJvyPhOnNjBLIP5QIzqOTDmY2nFQOdYz1N9sir
Jkpp74isC7BBNFbNTRVerx2euN34zkhp8IljZkRkxfnkD5m4Z2BEYNDo4UPHIxC3yCRpfSLCZzLh
KsJrF+BiJADd9ggdJa9XLH06H1Z6jrMYIzXfMLsHS7xjlLU8Shve76MelvYmLSBT5Jq+YAHz9/G9
/jGoS0hikn4yJqKIXOeyBFpRjEhSJh05TyOVsbyD5B4eWy50kigMCl5LM+lOIS0bx2TMwMuRk7ul
Gw3IWJAV/fphIJvtnBbFEilWXvBSbu25RmjzQVX4ap8SExfFJW18wjOilnDqZFLgozEp51SOTbKQ
aEx/qvItz59DD4ktcA+CzgyHC5zEMR9rP0AYNKHc4H+qLesJTBLMNhepPyp7nMk7yZQBdWsYge9s
jJ8ZldRjqNdZt/lGcpOSyglcQdR7xlO4XTkY8RoNT7znn7dpD3hLS+jFeeZydaNTP0EeD1+wJlrF
FTmN/gTu2ewO79e8Y4N+RTznNWPE265/5XtMevKJdDbkMF6nud1GptnqxgfKscm+mpS7MgIbxiCq
MrFdj6Emdtl2AXQ7sTFKvi9p4BtzGbX+zKXkJkGvzkUwdCCUmVz0cWsZ1r3j8e2qqpJyCjXz9goo
be/fODkFzstcE2PdL53bZ4f3lRUYEUnbOQu6FyvHjfUyp3C+PrrvfMLK2VYpawIP4WSj+yXc8EWF
onjbypQNsK1+q7MlPPdtu90MUEW5OTPDRYtFa7qdV5eFrGL/oPZBE7SUTGaMHbM7W2f6xPIj5BzR
Hs0WYpdi4bTgOK7hlayHEQHWTxYwgzTHVA9rUX0rzLzygz0aY/rCrZRA+ehKPqLa5FtTqoW1lu8k
DhSWGJqTZ9st9hCCvbemli9NavUXDkjKnHc6mBf2IaJ/sp2AWd52IyLrUD3BomyxxKvg3qp9M+G7
OwkmWCSQCJuMt64JL3GAAU78K82ec79zUevr5HM32uT8m45dO+3r/ejvTZ9BIOXF0pLGfBpHfR4y
1ZKYCCn72CCXzT4Mx491p7A3Dt3B8PzwvnWmXSGJeXDINT9qr2qNjfXH6PkMwV2yqsK6F47n0STK
EZIS9pa0tmevhFsGqNgMOJ1i3za2PFlWl2a73GkJcDilOJS1PeGvYcRvKsxQLgk/HNz+rCdiNXTR
HLSH+fMUcln2+xRjD92ofhZSEumsd8Ey+pehCLnN0ZHLKcvAKyxn69mxJnR95Lu7fC2Di28nXL0W
vEcvC+DIB0VL6XG7gD4pfXWFf9a88cGr0rZpuMsXavuKZ+3LZ8LCXXVddYPz0JXEdYxxmIO9w4H2
EExiooa1D79mAZObYUYxXrnI4o70AiZE3ZNMKMKTOXVTpJcRo3vQwh93nGJrjR6Km6DPCn3D++W9
EVuuD6uaE+7juQkDdX4Ot1RiydT76CfzZxqyAWkW/lckWf2YubqOLLzLB1H6kC1Ht38YMImw/am9
2F3k8muh7CeDKCEq/DDcBHm2PuAOcPeNr+QB6J9zTMLJv27D3InTbnjqQoXJsffYGcWD7Jobwt4s
UXiEgc1mbZyyb7go2VsXe+gNrBrNcC5D5Vw3ghkJb1odT7RffSCg0GCI6oLYwFOPvc8ziHXJ8t7p
ChiDwcVYS+uOm4Bmy4c7jsYB71xhaH9IseyKWtQn2xj6Y7DdIYQm3bWkBKHwpyAPA7F5HRJcAkXb
h1Dq3QeVE+HCAGA+ln0RXDe6Gp/txTautWyBdhuBz+Owhnpfx6miAynhlHkZl7pDrh2bT8WmqzJA
pa2e69sun+w+CU4ENYxbE/cFyX7LZ6TkHJSP9RrspTyTAPG/GKX8tBhdyTyTmMN+6vvhYJBQJBTr
z7DZmRIdzaTM9m5Q0h9FxUa0Mkgg/5iN56l231pS67GNAWNvtWa1rVbWWRe9+JL0GNYitIvlEzxK
eGxGz04wN+tIU8wbj9S0PSUdKworfy/jvLFyYI+2z0mcFgtSRzoabPp63JmgyTVkd3qoWkGpt2Ih
CXreu9E1H4l6VBYTharX7MWxwRaPeWJR32EVcuuXWIcpfWPxTw9ZYXcRhJwWm/yE+T3NEiCTDdjG
40gXNwtTn3ungJn8i1EOdsBtD+oP4QIri7BAcgLJutj3+uYmH/he5HQpvGDVr84rlpYdgYrysK7j
GjNm5/8WPvBvNJnnOV0CLnEQEI5xyWlvmzCCKmCJv5KETq/TTt5m0zh83FJyVxDwb7yyJkPFbuCD
VLb5iUSV1+/IgCTjpew6TX7Ga5V5liUJzovRWatNuk4U4UGEQnVzXEB9nnYYwwXSxwjVeN9SXrdb
3LwJXpOuYlFPimJuNcu3xk0AZ7NfxdEvsEy5e7silEpxuWHOKVElU4nXIJPcdbcoqkdwJRBoOXPi
yqvO7PnvVFxBrzBdCa9gol6lj13FHjR7h4/V88BGxJsc7k1511b6Ylrr8qhxUT+xF4UU2+F7YljP
/uyHE/8/EfzFTxoiZ2fO81TSIE1bnvmO4/5RdPcnk3Fc32Wn1ku5YVJL1GyT2Rk9a2GRFkP9gTaS
wDnrhrsoXppmKC+TY0+PypkwaGXTHL6AkWfzjsWF7bw1sqt+ZwmmzspuIk8pLq4S5mm7fjt61iFt
2JGBp5Q7pd8vOIbRKd6+75Ep1loe1bodSmrdAu9JcvxnU7Eu99tt5Uu+cY3qdQjKEvBWy4bs79+O
v+r1loslz/VJ3KPiWv5PzrgpTHND0ElGiG0iwRnqRQ2EgEv633o3dAGdtJLg8DJ0XxAz9WM3cuh+
R0TnzdI/SvS/f/OM/tkHhOyMVc/xCee/P+MfvHqG2xmr4gaImRxcyM6j2PNxRFt5GdAqSKkAoeFs
bAMVw20ozu3ERrmeyfIeLWZzRM6HdjtMsEP/+yf2l1GRRSoPtBXSi+0jwGx//8PzonKwoi8kL05J
g+M7kk0DxHZ1VjV8cvQKyMuRIfvYpqZ8zNuRw/x36Ld/8lk5gbA29Yd6d57FNuT54RnMmWc1qz2m
J3cJETOTekjzSIVWYt9azNVSjilJe8xFnqWE1pO1jlvy6rdpPVpPgamsWyoJOY/8x29LKAKB59RD
EYPI+OcnVQuVNBk9I6fa4NCAuWJJ460iPGQvD7R0pBpIRkqCu4mMKW1f//63/4yo294Mfj1s/cDj
8MaQ4qdfr/0SVwT6s6uhDZ4Kq9N4cIYukAUfSKZdgpxiDsRT6SfG2doObt+Z9hNuPvvO8fRUwhiC
Q5Kdxk17abu0Ln57B0XP9YZ0/vsnbP9EDdzWHx+0KoFiXLneX2ikmWV0uZ584ygylzXQblZQNIHa
jjr1wnLBwh9ekymejA+1vSKeLDJjHdB4Sj8socfylIqNLueuxsbBdfifrE78uRDMSIn4c6QUNq1C
u5k0Bk0Ss4L81KQoYPucGFYapyTGTt/p0pByEG9ozqLGjhmlfHt/sf8dvf27JjbBLOyH6+IvEBVA
RSjR0ZfyZ47K9wf+rkOHKMrcrLab1IZFsbfJ2u86NJ5u6tgoajNhXFL79mPj8nsdmwcPkdmyicOD
hep3HdpxfwlZUgWNuxBqt+/LfzKPc3x+/w/zOAdQ+jY2Zzm0LXB11s8dxfQHtoO3+Pb1arpOuh7z
IdUjlbO2uZPQUYwR3lQrmRztpgAD7g6RfH1FPfMoZM2t0wDw55ppkop1Z8hDqruG+s11uGnS+pT1
Ql3oePcjHOLeVaNq4wM0LTp765TOzzzY6sOk92HizPFcBOEI6YtU/tFqu2YnB2qXPKq9OMLReW8j
yeK7mhJxLLow2fO8yb276anMsxtPyP5ih067y7rkYV67u2Voou3WtKMLzjp1A+yFwKOS1q+8i+VQ
QqnKMMrS7k0h1EaqaIe9nPpi34ta32AVpVQBzzMnrl8zgzgynRxGzNbKOqBCrUd3s9jVqX1kBld/
DPVUYM4t8wh8TIxR9K4vtRNzk8MVa49oob5EinCBQAvp8fsl/Uu8Uw5ngiA86UHlj2Aimkha1oqI
aof7udFbZ1M7naj4uut1aO47MtsxEFhrxx6MjYvZijgzXYG+S2PVLNWC270aLpzGbjKLvR/70sfQ
lPS2J/4xlOrUOlsFLH6/nabld09ZmEmmyGTjU1AdmekXfLF6P9HiFVOfNEYj1UxRpVW6713Do/FS
fZUDpUvLQsEw5uerts/1XlDb1qw+tqWqPUDUqCNcFwR32bPsOtc7hQAZRvpg90Fpk99fE+NFCwQG
jpRuPCCw7oQiJWU7xIENzJ5nm3vRE1nq9TxYwRT5Pk5RSjNdfOgG54bFdPBfY9Vzg/S4KA+zKFpS
HFrF53ZpnauOhBmiArlSV3SRGvqZOHt6zISCs95xbKkqYPJF99QM3kuwrNeFPfu7lO6tg1FzrLXM
NTv6rfyyAtssQI4fiybpUb5nbH1hYVw6O/zmoNpGI8CaiGviqaIJyZu5JII+fQjhOR9UWupN9gLO
ko7IHda6d4bKxD7nnju7sD5rZ7X2ZT9cLUb5ddXOEi9Z0MZFXuiTWyOariupNgrjyLzWRRf5aQvz
bKVPzMEEvUe97KLS6j8Zw0j3tL8kEZ1J5I7A6B3pcHXihhDFwWMie4DC8dzbXnpTm0DpRfA1DQcT
5Kbf7d3WM55gsEHyAA/nRH6V549ygoACIt1EdiCv0NJY92TWxA+JmpSPKzGgaBjWm2HsqwOFd3NM
/ZR3WDn4RCTM/bhe8I2NtmHe514PRGItZczdLtuoMjb5JgGH3y+8s8UxFq5SMJ2Y2OBlnuwrjiYq
MhDln7Hv8S4GhK1t5I29l4YzoXY8eKbbsD90C/MZbhMGfsPy+OZ262HMWn8fqpVJyVrWH0qAC3jy
lHmxkENcvI2ULe5no8zAQEF3QevwwC0xiRYa4x5PVV37dHjzg8Z1DRrvSErkFvHna053KnS2LQza
+cyfua1H/sr72TLJOPn4+6m+MH9bkgxaMLTcCyxFJBtv/EC+7MzOxrsEFFUQU3MfvaToYiY8DanH
BWIdeOXIcYDp2F34K6VwjzkjLaYD9xWOWID+uXXUufFNOqs+VD2Y+tG/zmd+fvDr4+zpTZ+oayAz
Rk8AfGgjnbANgAsV7Cwn/9I1NKelASpyYy8nf8MLV6W/NfmqcW+ZgY7tvLGjHkPt3ky9/kbb/kFJ
+0vYYT8LcI1hvx7cD4mdpXvph5SE4b3mqwbnsfs2DUh0/qoT0qMF3cIVDYi0EtK6UdlTjFVzoOel
xDgQyuCUEUVtKvuz5w3XReqA73GXl2Cm/AD00rinUcM7Q7Son8Jw+kiT0By1rf/Ny2aqxBIax+e0
erItdeU7Y3/bBvYlb0jGu01TMdcBW27291WWYIUXWbDHlPhbj9uLtkWcdu6qmqPjKBoYXV3EHQCm
ayZRpOaWPqAvjoq7qoDyI7LPxCXCJ+3gda9q62r16MWdbN0dxqBC4wn4jfW6PiEW5/eAY6AncBNa
jGTBIUCXKQbx6tArl74H6X7YpmGRN3b5le6Gc9pjSp4mYVDaSO6T5mEzwuzivVbl8mlOlDr5mvy3
shmvpVV2UPY4H5d6MQ6MjRBX5BTSPjHdm6kPPMFxticOJqYbkv3o0ocqk8eGgDs+mfywdPm8Y0Gr
zlZmfFQhmdeObkyRE2UXlVLnAPQza03eAw9PvBPrb34BP0DBvcEqNwfM9VQfSPpDbHHMV+EeUuQm
Ip2t2C9Oax1Tv/g4T7l7Xo3gSY/D1VACU0Fv/U0YrX+p6irZpKZ157SedXBxM8eWI81L0DJOawBA
kJdskkOP5BIRDF9F/bViXzw+U1eQEKZBcIP7eVpmYJMtHXBd0MwvI8db8CtFB9kUOixXnwwAQ/Qh
NlY/Y9LBl4wMuDuIU2c32Esp2wDu+CwUpwBiqVr3Q5DG7tCwepcQKNo5L3cAoN1H4UjkHzpnSLbV
l15Mgx/uiybAhreriyo3Mqx2bb/2/c1/t9f/F6MHm+QNx/+vjR4fvw3j/8BHo0kr/5PB7fdH/uHz
8H+hg8Lj8GiB+Edy4B/9w+dh/+IxEg04p3HCNDGJ/sPn4Zi/eCB22FfT2caxczvx/uHz8H/ZQMQI
Kdv2m51U+J/sr73gZ58HflTiksgOPl48nuVPfrdUO5BcCwprBhpMrpqgdqGA2e1wBTXOATsxoodg
2LUeB8vYUcwAijRf4FGY1nwqs96gyRM84KGnr+FDGPAzIc03Lzlq/hFtbSufByFDZbjbHZQnxxKv
eeaeh2T1AfEUKkEZN6jo3YWBW8EBKV0vmkJdRgxtl1OXOJcaWXTCEp32uxRr2LNFnWyym1xuzqFX
oFHOL9ZQJew4k4EY5TixlZkrfYDEZEajU6iHFGrMZWzqHPZVPWz7TaOa8CIn3aPLiPSah6DM9qY/
HdvGeMiTthgiIuzzqRdo+Ous692CG+MjX6/pCte4fqKLXhz4umb3NmSNbheu2yvnbj3EtvRQaIH/
Hsi7UhGazVp+SDOX/aFY2n0x8NeMEq0rKmOfm7JxWUzG6SZwNNOQilwKrZJRimxKK1rujB9KfHH3
OMiINgGKJ2roMXFm+KB4xVVgrHDgEtpvcCjENiQcQo5dFfGcSyx5I/W9DQQqm0Ji6G/ioyrL9mTl
2bXvaPtoqeyOu+80RrY2nSryp8wGmEA8rq7S1bkeIS8xOqupNg6Yw+4SOZ5CBozPzqCLYkd3rRUb
kDv2TqGFZJRXu3werrpeA/s0FuZrDtE2UryWuEzGl6TW5iWc+2fN8WMfkvT73M+FvljsjDjMBVnk
lmDk2ING2NTTx8FhkBFNPrdQBhndLZFHNlhhJTN/18rGA8k7ePelMBLCn/70mvQJoamuKWI39ZZr
bM/fRluk7EH06hFfylO4mMVwWUJk08JjUELv23XllQkjTC+JOP4lD5YYP6VEH/fu6JfnjIQFLI3R
rKaHBRxv94Wj1/DZnDv1G3hK68GTrXtVpJ34UFJVHRlura7dgUwVjALJWza3sr9BS/884xC5Jcho
xPZsfnNq+dmf54ZTnVt3lNY7CjgtWxCmdOAGiC4Hr8wg1dNqEPEEx15RKZxUW5hYKXkyHeUWB7Cb
FJ5VpKg+Z+namJGlVd5CL+zY75db+fXKpxy7PmOznN23+TARPNyXlJFetx2xMABummRpa9/PrvW6
DuGrSWi+p/WCBkBTwvDy8jbcOwCX+iMxDftoprb3kbn0EyrgN9NWkFBwbbZxT1/kya3QSe+yimMu
RjAAu5lnn1LWnEf+BSadYshuCSdcIbXN1KkA/+NidrJlr9Jhtm+GcFjTY5BgceDu3r7K3GjVYz9q
sILmcCgMldxPqm52fVe2N5rJYTQAND0oM6R4UGT4Gdape7BXO5AnBXIp3AcklK9KqsHwcw5tXe0W
s3GJOIgk9kWTnTPITHHXQuvyfMOILGYqH51eanc3rnBbfYPj7ZAdiUMhhXq2cXATJqqhqecDPYr5
LqUj5tPiCrrai26+CnL/4NQjqDlcSwpjkoNxs2fAhrUKvqlXklHF3wogsXTYJsjuUpQCqjiezuPk
kOiZLJneAHhh/qGKbSNXme7ZJV5ys5DVY3IfZaq6IiWQRrLCmko6pQli4LHyULRXJIQ/2cniRU0/
2OdlTdbY5aeuIHE0N1Yluhx6hUHOD3C9bUbuFkE6l94UsFL13YMIe/GE8zDbe5xAoswlKLvX7aqP
iUEWlgFcWb5ClVAYyvz5ynUAU7JAfK6o4WZkoTIaPWm9O9iuhw9gnW6rNdW/0WvHjnHy/QNiCJgm
CmnVcUmGX53E6yKPITTYIa+2NkVHnRNJ81bDefY6r9Rnbiwkx9lVnuq1I6SyTTzW3djOM2cqmY+/
4mwSFZ4jf7h2ZBIeptT6kBLCOAlDmle56bf7vg6KY+VjPM5WPHX4pXbUuAZx7Td6b9UGpztMwWdT
Q3pPMDmevZnDrgfb98obmULizAwOA9tCABNWeLXUPkgnu4LVuGrG8inxsTaEZJr0+W8q12obXgbO
TrasvbM1VVEo7O7chZZcdwU56MhcxH1vkepuFpsJI1/Rm6xNc9J3mBZKPAF7vaL9uKhXFyxNyWFW
3dUiZcdJdRne3KZf9qlsGbZVFYh6IXCcKSc792v4FYlKnlO3f+vClEq2cv4qJUdy09IWKDduN1af
nYN+SE+0oYpIJsHtRKJ7HEj/CYnwEqjJfaCuUQLfGG5TXTwqczAe5qy4X3hfL8niEk8yq9vUl+th
8UoiSgt+cRg20+Ahrwy0TuM2ItsycYQj5qWfGeno3ax4Xx87Baf4QsG4ZkLFrL2Jbe6c/c7OF85z
+OQ043dMWtqMYVOuZgzRu10/SLq7jU/zYC+aBLsfrFHuDsRXcWVjgyfnXSEo+KNl6VPr5h9cH2xj
tE4rW5mhrJzbCSWCy8q1KLaje7zZmTARv2lYcpyEFGocsTwji1r8TB9Fq5aPcMKWi08q/QpCFzh1
bcyoJNJfvL2ly+lieuXM0l+BQ1imbDxpaa6xJVkxgSV6X3QRFBH7OeiQIPjEzrV9+RhgtYMqDlxF
CDf2/XA+IMGnbyBNjOMwzu79oIOOWF5nHcRGZ95JcoWUxAreoFIz9cvMNH1xILlFfiEh6FIhzqZD
CueU9ys4NZMazt3cKGvmdC/WmYNMK0DoKJnFo923qHq2VpTscOcyDy6zXUCcOiP/N/iKltkSb5YG
n8qYPRgmdQY0oK6gvRlno+s8Nn4EG8odc7XwzkJwGwmZrV1+oLIc1xUldVhzhPJA8nfmKwpIxmSz
MIuHIOu7R9wlM5ZHj9R2g3kZLmcCEjYwvdPW4woKuUTLJAXd+4zSez1+rMIwjJIhtK4lAVl3A6rq
T6vIEY0G9yhGcBmIdaPSu6AGBN+VxHLBJSFI5tsM2kAnjsViyFtHexgY2QF1jHwxO58dGjE/JklW
7NPWTMB/KhGUQLOcGgRdOZqUcY/jJxbvlQLaAVk4tL46PsNR7bumRF5QSYdMYZJ3DnvkmnlkPL3j
WG3vx9EjvuZ4mbwjeRpgdyozFYNVumnduT1ApRuvZ1wQZww0LblRjN4PQ9WrMgZXuSELvT5GJRYM
a4DhRRXJyze6Njj3s+d+trXnXyVOVnv7bbyDG4mtWQTLNA1vJErr3tb+p1GK4SP8e9xCqescKoPS
dntxzXNv6xWmT1F4rwIn0rzHPt2fcpzf3Evs8KYqtP5mGwmJRUTcL6yn+SWfDQvh3PE+TRNUbwRB
6XNw7nKkpNFERUpHBDwqKcWjshoRu95cY2TzS+DmeXgMF6kw0kzT1epPMzCsdH6klgGIbz0v+wK5
DdRJm33RTOIp4wTcd7DyZtzIsW0fd/ZER3qz4IkibxtT5Q5/djL9Nwpal+uW6f5twBn5Qztbvrtn
PS9+w1k6PIW1WX1KLdKgEXJKeGk0JYC0nkGSa5Pu4HO9whBIvQexjjO5X1Ld9mryC1YGedQ5t7Gu
fYu9v4kLyE0Ubh+QCSzNsj7MXuseMaNDxjDZi7f45Z4YC4uDYfbx2HYF4RlCrEUhp9uCQeYVi8TE
aDLjy+JPMK1wnxFa6XNAfx0IeFl4MUUJstmXE+DzhoQgOwYqmtucPUqF+YEN1Fj9mpWeu4JFy+Y4
75T32zQ285sn0WTxxIbLDfDzRRzm3mkO/z3//1/O/4zgQ1wD//r8f1dWX9i2/eno//uD/hitOb8Q
yODas4lEsqaHjOv+MVoTpNY8DoC+TTUAIY9/HP2Fv/0NvgSmcpsi8MexX/ziWVttJlM/e3vcf0RK
wnX6p7Gaa9Eo5oc2wCKeAVGDn7s/ezT0evGs7uKMxhIJUK0jVqCDwErz4GZ11pzdkATXju3v6sZl
T+/HMwZRuPuE55AEFqNv8SVKGebJ0YAG1D8pDp5XASTo4n4k8ft56nP/1V29+pKhO16Nc2FH4VbJ
g1k8lxd7ScoDG4iJOUVRXxdtZ5DpyNrmhu9IS42IRsab12mfrpkNR3qa+/B1yjUAWsqrsY6MnWZd
mhfsnNp2fXxxnGsLuxmdWHjT/7J3JttxG+nWfZX/BeCFJtD9wwSyJZlkshOlCRZFiegDPQLA098N
yr5XVrnKVfOqSXnZopKZCQS+5px9pAz8GPrH69hrycuAlaUEEFLhBqs7FkDXCLiSPt5p3GOkjBBn
SfkKft+z1Bnkg+O5O68plvpcdatWP5m61g1cORMNcsB8bLXTFmymrpUnaROaybjPjIAFhvmA2vTs
meCcFLssPk8eU3M5IIWKbF9nlTcSjh0YZN3ob0oVHb7wPCFaDiu67GxUYZLBI2jhARTpvHEGWuCN
9ExYcxNEBRToibdA8AihG4gloHqP0ZO1cW0mbg4uE7RM9g3R4dzZedDDX7AxRlep2LimGOO9mU9R
e3bLXjvqsGrvyHWKNpj3gS6NgnO5S+Qx0bRxH+PmY0fhUBfAsSNv25DqYhTAxh2/nl/dmpZKYbkI
6OWTMK3QuI5emV+3Wmrtq06UYFiR7+VyhEDSyMrZFGOxDnanAKxTvitLWYWYTeJbRmTgpZNiCh0R
56HoqdoyJ64OsMSjS1uq8lMktb7e5BFUxUUb69sic54AGsYXC9HlHehC98JCcPyMdXCCPmPgr66T
6cL1UKGMrtJnFmDRXWFW86c8qTUCrAb46RF61hCIoHv2/Tx6TurJOkyJo91qCEzYYLQwlEa3ta4j
Jyr25PimCysmVqfPqLaBF0SF89Q4hnxAvQ+wHPFVjLw0gwYZIFN2p6BCsnOUrLaYbgGSpQKX/VEB
A9mrIo+frbqyrvzFXd1VlAePyDpYJvNQjjJWlG3xbihB1YVTEbUu6mm5he5HsjmstTtitNxjq+zH
rHHDLhuEtRFgOa8NLCiAItKlANnVDuMtXh/zypim6iAEnVufzXzX+D3bS1I48rmF6bcfIVV+VWby
yWjaMegLzzvxTZfbuca2OtMy3Sy4mC6R0yUnaKDtY2xYy8uAah3orJrMt6xq9Sttkahom8ZyT6qY
/J3I6u+j30QHGHTNNpmQwOSADx/83BtewBYVn+Z8ST9Zqk/twG68/FOjSR9UJ3eYo/XtHimZufVd
1e/S2rlSFQzF0mPvhcBzvpW+tE9qgunJdAfnCyBXX7s1Mgbmi71kyQbNQ3onCcw6IWeeWrLdc4ur
GOVbYnsTnXOvdSFQ9nlbqaEOVKSS9XPpNy5PWZDwOgvxTp0q3ZehNdvmsyCB6ZaJ2FO6tA9Zrbnf
JruigtH9UUc4p0iUCcx6YTXcZuKqxC1yrfeMQpysi0I3jY++6NybWbUNt8bQPSyAokKcHtWbM+gA
QtVS3bHqWb42CM0aED9w8/1S1Vcx66gnYsJhLTZwY1c8GsDKxY9vkHMMn3uwkrJCtI5DDWZvzo4+
yKb2xCgofmVnlH4voMkH3dhcM69Ra402hbTr1ouJEpBO2TWBLyo1X5vTytSCggn9mP0od5xI8Jri
Qdm1laGhLAUVc8nxnK2JzQYKxFWUP3YpviGsUjp9fqmI4jWTfrqv1CobymNlPYw9cXG5KlErDumA
XeIjJJkKfL4XWoTeGC3v64Cb7sp3IjSPc796/obVNRUTl4NhzUtoXRRYFne1ZpDe1p1dBM3zhtod
g4GFBJdhaXKsSg8Ncg164FozzOoM2zDnErWhpOnTG1RyeQ/ZbPUmR13AX4rMNIu6I7pof48oeLrW
ehOMOT7eN1G19nuliW9p3ZjXhjt2fTA3JT5pnxUdukFuci2/UZRgN76V59eJTrrBJlveEp2kskYv
KuYk01Oltw+gLZEX0HtDikHtlbLL3qXsC/Y6bKJLY7QV1a2ZWOzgVXeINaDt+RjDPE0jdp+t8Qm0
IGt+2uwd9/tbxur9vjGxFCfwrh9jF1eykbT1SWWssts2sosbuzLwIHdyvKlIeT9oigQNvISgrARe
gwtXbhlK3Vd3KUrRb83EZhu2kFFQ9gjvOXYYvPMbzqGpajyUNuIQWh67vCsjDYC6OVdHQ/a04B1o
Ljr59FoDXwYwUFb7fpiGUEDK+2wCdAkLrwJc4uZf+s74mjVg85kOL9eEdcTDxulUcie8hr1lV0FS
KRlA41Tv3g1rzLcDA82HTHfs7Shwv1QxfZrAZxJarRY9sEDrzo7u9nvlo6SYu7S9HePMMsC8+S2I
KRNVC2BT7agwJ6RA721JIguD7i/NpIZdrLz8G+E9dDgLkDiOvS+JV3xvYQsdLY3HvU7TFzY2/wSL
xN/MNmqRMe0ZFqGJC3Gmmjt8X8b1QqbYm595Nmdnou17G+aT6KLikvUFACtYjTts/c1xoCDZDk3h
HyxRdTt3ovLSWMjvczMZr1KC+riPJhQghBNpoY7+PcDGP24tt5Nvva1Scl8wsQwx5Ps5cQ5qtAi0
sG8WoeqDFCW9ee2bu8qw3xq9vgyDR+mAOoPxPGmHrc7+xtJejBRad5Kwhk3zhQqjoM3J9ers1u3F
1Ykc6Jr9glyHHXGuQj2R957W5ycU2vEOMIK3aVB+bZxU4nVLklO3FPEuEsWNVWravd9BhyucwT/A
kmOOYJUXLZd3yNuTXV8SCLEAfw+cYr7442CEeZoXzD6gvfVLLUPBNBMa7GDs5WjB7tZc61aDz8w4
WXMfybdLD2BssdbYxnfwONqW/q7cpDgPmCDRmI2YBXgeWMNFIXR7S8sZ1bzG5Qf06uDAdbg4Ghhv
IvgSFkiDEQCUH45T2fqHDMXXJk4X71T286VI7S8icp/+20v9e70UE99/2Uu136lf/gSYFR8/8nsn
ZRjOb+hYSVSD82QhBvy/JaphCgSMFsG5BMF56BHRD/5ulhfOb5ijWJD6ru6iQ/ypmxLGb4yPhIvO
ZI10dfT/aIlqmeuS9GdoCNkOBLnbJgplC2u++YtCOO+GJVeDn95luY8dAmaxzkCjjXPn1o9qIS7C
adpuXxU6JKQo8pmAUXCnDnRXYk+nMwoxznA3b/JNB8+TcQon0YqfsBHz5DpjJJQdOOfzQ7yQ2nDX
F43+rdRrhduNwyH1gtZImGybTGGYoFaIDbxxX/ki3pZJk53KTBrvVkxbt+H29r5qJqaCySEw3c1F
s6mqGA1w7xb3tqeiPbukJbT8Qr/Fy1mNjKmcYaDBaTlhgJy1pCFaQntyde2rB6qEnC5MT0R7uGcn
gQ4Idj/DBirSo8tN9kVhotqiBkQT2EonuW9dL0+Yjk4z2xxScsLaVGW7tWreMfPnpfe2XVPURH4m
oFPoEePxg6KlnK8p4UhP7HyS7GyTVBZi+ndvU050PH/QANOgcDBn9W6yZhr5k888T8d6++DafS9D
von5JZo5DjRqNvCMUxQ/oD5le4osjZ5r5tc/pk6UXC1qwjmUpjyiHTHpx1ha49YnZ0wGOuYeY+di
22GjlVr1p7mluozjJqOicMfypHUSLoJmkyCK6GXxQC0pd0DXIrgkAJBCXXcJd1jCjD1h+0EE/8wY
s3HueCcmCTD5WE4hQZZTmOoD2Hqdkqgks+/dbRlzJ3GaH1gMDzsVW05oN+kQDlXiXppFTIg+E3ZD
5txTpzloTucKfZFeNsZFs30Fa610TpGAJLxpW9v5xuqCIS0jiDNTggV16lyVCeqWmU3+rpFafS3A
pM03uhzYpZzMXCiv5vgFvYBgBpcTuh4Yw/WdyBtGBgu0ccGAGJ8le28PzRoOyU5cqyhHjrnBGep5
cFYMQRxAiRrGugwdOWebxRjdh7KWENFcjYTC56Id3QbxVLcSdygKWTkwiwlQdrpd6MBiq3geRa1/
7dRx8q1s3JnFeuHmLk/xudSuRxuHDA7iiRJQI8FslNCFnUiqV7NcQed5pxAEExg+H6d4Tmwmx6aE
cVs4ekKWHp0iVklBZE4PltEIoEdp/QEqnruTcZoSnjpTZCfNSBhP1UYld3bk4RK06hnwPqibQQV1
hGvkellSoHom2ShBlfBthvVYovvRpdayDqJnie8ciTc4aHmIuTck9jJ+6Gx9D99qQP/L9porTmhj
kLkU54XmprBBq2IEKhMVdDmG7uATKTz1YqYdtReqvfgk9O6eBLxsueBHfCOpR3JPaU4FPsjOZvvc
V1aHILFJyn4XD3P1MkWVLtgFDMnjQnWGGi2qW0nOG4CezZqL1x84ieYH0fgT01Ib1ViQFoXp7Aud
WKLjB1fAqur2XWniyR4c79piRbM8jLk51geVJ0ZFMOI8hV6tGVdWB7RtiTLzInDV0KkKPyu3Wcxp
Zg+6ZNvRZPtlsrxTpnkIGTylTdP1ZKjqiiWyZGNK1tHe86JuWxhxRCnOd1XtYrqv0FyEddFAC487
a0iK0PEz86pyCE6xvAzHiJauNAC2zsZjvYg0xD5t8j3nIs6+to2bvWZsWp+sthg/U9uO7bathOBe
E9MYatliYaCnOz0iA4APgSWw2zr0Ee0Vf4AdvqGtPmnAL/XMAN7DkXISmGHNEhaZa9dIVom6QqlH
BxCYSFhJpnXaGMXNiJSaSDWEl1Ffqhg2nl2ChKhkPXhsOKLikcRo6xlexScsJwgyfkAJmHWbB8dT
7sUhnzGMe+ymvZk0R9fH4Qy8AedyodkM9asJF5iMOnEuShNBDROK0rhRbYXApUdIuPeaynpp+ukl
nia8xL2DuiM0UoYuwTjqfbcZxmwabqBAGedlNrp7OOcZfTXPr/hiTCTGIyoVpCTOh9Jyexd3Nt0d
o3d8v8o7Cy83/jub/v5v1VOu4/xL68d9Un37/v+OXfEqv/2pqvrxg39I04zfYKxBGrIcSGc//B2/
z6dd4zfPF8BnkUwz6vxJmAaIzTQYWK/Oxt81a79PqKmpcK/pK3loLbX+AwgbhtI/11OCcs6zdIEE
HAOIbv1q+GqIdGhL0noOGtUN90xSMTai18Jz7qNlMe0XVY7jDbHwOI6H+qWI7XWgCYW4GqBOlkuS
hzVDSLqMUqJV1p+BspEwh5uZrGouxxBKPUkh+I4DAVlzh4tJoddwz3UxEuw0GSR6q/bVt8obuFs3
lqbAX9RR2GNYhLqw7iNHbkxG3O+DPqRntMdO0Lg1BhFZIQLXSOBgVa42gMdYIOp3jtEh3W7V63of
wuRC2SqgqbV9+t4BYA9LTvotzu6za017hYkKDox893OoucZ4z9qdvXhKXKiZ3wzzcofg6gqlLZPf
TIO5kL7OdV+FFSRYm16tGI23ynVemrnb0VQWPF0S61PUrItiD98g8Z3bCgkeSavAzXvrJR+LVxcv
7U5nQ6e3+c36CfTlsI6DivesXmknGD12VgHR2iqxaQyrzHdU42Nsqft1lRB4SPiPbeG/8bT390Yi
DnAmrvLBpC4o8ExqquOD0XUEZunJXOkSUz49OgyBVC1eEis/oaZ5bZvsFS/w2U0syh5HdFvBG0KR
wG5vvhM8AHez1e8av8aXLvITjgNQpYSVIVpktmdWfFBmwmIb3S3oa1NPtmm+Jm1pI3m9NXkqsbZ+
lkn5ynQB6DNii02P4iBYX6sW/AF4uneq0+96U+1Rr1wZHnYHbdSvarfSgjFP3q2CP2Yb6U2eT1co
buyDV1HeZinvsBLz8xL1dPK9U6DvJguYzSly5xRNQOKL5boFws1o+LkVTcQwcnpkdxtOs1SBTNoe
13r6KjEAb9l4v3nVcjUSno6WqiWUs3Ff0kn/6jXWra9S1suEls+ERrH4bw9gBh8XKNqAoPDGtNYh
Ro1Mresh+epH0rFIjAByw8Ja8X0iy7JOsKv87bT0jOjNEhZ7pz/L2HjzGcqCa2pZ/8TFidnXY9MO
j2Iq3kuqwUB3qp6d5vRoReBm8xS2NhUT8BxHSwLDIJL543M3pMNkXbxUjcx22KXPtS1cpgD8HO+T
lYrLpWg5L9AZZrpzLkfNmM4o5OovWUSWmpslc8igZ7xYwKDCYoojJnCMQWe/Hw/UfCOsbHtEuOp4
x2nUtFvsIAVxVDXbdyoAuM8Q8+h/usDUCuuN3fCXeWyda8PDesxVU6VYnNjgE6njl40VEoGhXiO3
IuSNfUrh7DPRyOdcRs/lxCYkXAR5t5uSCeGURGch8y9MoscgnwrMMc4coE4I635mcy0mxA8tsmCs
F8jZTl7VZ0jMkDBqyZ0k72NLnfRcaczoOuT423GwXyc5k4QqTTL8KPa3BapSzyVwqV58Z1cy5KCs
r6I71JH9hp0P5ozMfKuMqsaJWlK6j7SJk4l2xKWi4reINvRSEZBIA58YIJRbobsor0wuujl3X1zN
OQ9mo47R2L5rqr0STv53mSj/cIr7potWGUPzurH8VVoMDlYMsAtZPdDE4qJq+rUkP6d2Q/FnOH/j
ev0HITPoO58HmmULXcCh/aUH94UapDO7kvnpWIXSINWzsIB5MEj8m1di2vBzt8/TaV3nMhjEzs5A
4uPp9bNH2nUnK4vq6mD2+asfcRqux3FmKMxmHb3kkX/Sf9Q6b9P/j7+DNMc2W8mfIcJ/tkHaP17T
M3FCeqjT+H9+p59eM7akn3gdfPYZNQkWgfGRwLUi0BD/KA3C8/p+waBdtR2n20+zmL94aetXt/zH
+/UdbJ64+BFArJ/HT6+Nz1ct2ezJQ1e2RKsxZL+bIydZj4srasD8oPvTm+qIT8zVOJ4ylKJk7WFV
ahOSBejeYrlcDTEeepwaB98vtSAb2i1JWyQ5cnyz8yYEm0YV6e4NEhgoS+P9VMbPup3gHJ7EeWA2
AHO+8vc2aPPPMZPYQHgcD//6nf7FJWQJA7ur4RgE+Pw6xjGL1C8rU2AMNYkOrfQ73V/uyoVtzN+8
zl99osKw1tIKPypIxz9/or4yGJx467XqwzzsAADOjGW3esEhLOlYQmAMN31slJdinO/cXi8vmG5S
mDnxezNyLq+lSoYoDLjbdBVrHXQ+NTxqvnO22nGfeBz3dp2WzCVIwm4mk6reNud9GZs1zvk5RUPa
dvcyn56nlsc+HHJxwu9aYs/poa/J9D1KsTDKvOBbnLxqT3jfe1Qtz1487JYe8d1UWwes7wd4T0Qf
Ewu9shGvMG8VgTksd+7cILYz+bt9T/vSIuwOXIMa619/kL/M3T7uCkAFPoEN4N6ZvP35c1wY7jYC
GNthUTCvKCcmTjY21w58Eevwr1+LCvsf7nqbPEO+LcR59q9kBORTaIgg4UPRGe8R657K6u8OzI87
6ac54vp+IIWZAvWHYfrmKgv5+U5Lk4b8Cl2Xh8of612XTsjxowVst/mGy2ne9+RW5aY4+Jp5VpGf
bF1ZnFhXf0LW9ZUIVbkxcQlji8qsw5jxEE98Tqd6Lm8MI35fHGVt3Yj5EVB9xg8YtNiyLd11kTpb
PM5PHvI1VjJefCRdZQ4KAGuIZa0+aPym3pmtSVSq35h7qL+Y/8z03Wb3umnS/Gac8lNuM6zwnIwC
FQXiZBt1ICVDOZrH+0qasPut5epvvpO/uGP5LiAc6JzDBI2Zf/7AMKr0UzWX8mAUNApjUqZB2iNS
NGEL3aBfpk+m3MIk7J1L2yHPoGtJ9TPKW4Yjzx5jKRZvklFahFqyB30RDon+orLaCj0yBjb56JxX
ETKhhTZJ8WbGwpaTqAboggZzftZN9bZ0+obwrwcoLlRVDW+41aZ9nujPM4UYUvCk3luF2vu1uo9t
Z9hkKALwnXHwdc5IEKqGb6CMCn9v2suzTyDUDwvXP310/MVNwjNj/Z8BZtv8FXai4gZ3vBrlQQED
osQBQaP4dYQ+kCwU/803Yhi/KIvWa9jjKcyxBjDV+4d7shHWDFZkIKjT7OTWcDC6e1F2inhS+Qbf
z1JxSS7EPpH5yjGFHvEljQvQQxSAhJA6m0r6xAPjmWXiCts4XZfycva+drlxzfrmtvCxAyc+1f4k
Kyu06u6tzJb7qZivSnd9GHOZxVb+SigOVaoyg2whz2OQYTZVZkC5uh37zNv1fKUf7SVzUwtBMX8Q
OeeJ4Q4/UatxV0dDT5Zinxwn4JcfTVAkSeJWPfBXOajHtKeR9PIYV0ZDq2cv6rHtY8BVwscFNT6a
uXEHR/FkWVRrBvM8SDszEhIsxCX/JhrXC7Iexp0h2m673kbdZIN+Vo8OgxwCNHON+wlBeNFQLelR
djOxwg5Z1HXbVrNfmoz8cNlHzTXJSm+IVkMF3IlBaHqTWvQs/kQpLgrxkiUjmE3hBFZlH+DvnrQx
Oy2QzFlRcAP3fXGiKYaZzZMljVfLD3eHo/qbwrC/JJ2Sp9ywWfSPoWW2c7A2RqhY0r1q2NnjLTsX
vXgxMdv/zfPY+Yvbm1rHRhjFjgd30y/PSUy3WWMKuzx07vyGg+W+03nujbRZ5G0z66P++mi1q943
dr1Ppfdxz8uk382KiNAm48ea0grzXmZbH1m9N7aWS45JDPXR9OTWn4b5UBgIqceUSLlNLNJtg/vp
rdEK/wZAWkI2KM9FVoZQXTjLg8W1zqbGGYOK/Xm0KLf01qoD5CZDMMV9zgiayjqmMeR5mFi4wbEH
rSPS4bGH57qBuHDfItTHC17cjMNwL2yYpVXhTNu0zYn3UMtVmSiAvCUBYAaGB7ua35yOrJ0WFJhL
dwBTwjmPPERoModHywHkRDXfu388X/8LV/kbuAqQH4Na4p+rPx+q4Z9gvn//0T9mbN5v+GDwajqO
bvwQdP7h/rR+Y2dIQfF/Us8/IN/2bzBVoJ3A33YEykWu+t9nbBbjN551NrcEalDspOI/mbPZ/vp4
/LneAO+t2zobUIT29Pu/djJDauayzdLqMCFKVFs/yS2mEBLpdiJ54hMzJIZAxpl38VMLH4+JGfas
HA7BsUg8L4SfYnChptYntGHzXeWY8gEfSPSFdAFAzlCRajiAi32o2xVz5PMZXaVre0beFNsINbGk
ChGgZigs0auSwESDfM6Nin6xELZ1wpxRNNvGT2PynueZKi9ndE4aHJLR965E4wQEexa7XOvEbWJk
011O3srqrRm1rd5o1omtgyw3qG0l7jwrMZPjSBoOKJLZuTG1Nqo5ziLrOJSWdVKLZx05NXVJansz
ftYZZJO7W0b9d17FwIUqJDZ60sAY5nk1Mnj+4mL+wXCeIloXBJl9hdlMU8xhdKq9rbXo5XvKF36w
I9iyDhFn8dZY0ujb4ticwDloyU/1AmEwIFag+ySQnX2SSs/v/VyHtTClya0aIvlYd+R09R2ht1dT
M8U2EhumW5socT0QrGVhRGyKGgLul6T2LgTyztuGhwfnlBFF2BYsHBc0qpNLJOVSfzFiz7uLCioZ
vFqtboQRJB6WpIWqdi6JZDzO3ONUl/UtYdH+nU2mDupaQmAOHZ/fbqwaH+tkilYkSVZEIsKTKRlL
AFC2rB7gk3oXjT6CLgXDG9gC+1AaPJN4xoAErnKoyigRT8QOiSM5g9Vt3jbgqBZRzpivMoO1CWQF
iIGD4Nls2t2B7Iie92xYO0umzVdiD5rPLVz3T7WO+y/wGX05gR3b3TdDK70tcCSMBJ6a/cvEkhBz
vfAfeEbFF5Ka4Yf5E/rOwB6tLwzwOtBUrEmAYCaaevWAnQZ5Z/jXdW258W6YdXZqUybTQ+Q2/XIc
hplmKo0G7doE6IiJAIMP0F9oi/A1LT/rj4md26AtFA5GbGM28jBrggDraYa1MZgMPUljFjfJD9Yh
u2HkVx7OJCiIzgcSMZ4++Ija77TED3Ti/IFRbLDTbrQPuGJSr6DF3FgNL3i7VwIjICfiT9sPMmPE
JKs/9R/IxuID34ivG3AjMnOCnSWXz4sbxdoDmkRGZHl045YlOqSVCJmAhiSdMb4uqCj8t+wHO9L8
QZIkdNWVobsSJm1LR0e0AKHUV/5ktJIo9ZVJ2Vt6cWyWWD2nSOpCzU+qG4jbDRyi/j5buZbgeKiD
3cw0PKJgE/XsOFEM62HlYcqVjFm18Aw2mBTLOiAHqA5xE+MYzOFpUqN1oDUlv8Nhxo8+bMbBHMK5
n6YrzdOzI2mDdjj78r5avOseBeYRs26Hsq+aTiolGNwlJIPRMsvnpmLgrgntG2ygbQPZg+StZT95
QETm1CTFtu7dMxLfB8DwMZwbtSeuzn422hbv64AwYsH0d6s8/d6wLJOVAK2w1lE3xALizligX/Tg
QO5A6eG+seWVLuvueza7Zww00WfyihQciaZ4kDgxb7MRTzCRu5Apim68M4bI2jUr51GlsG6Es5zT
xpv3hSDBMEmILp0NtMeTxk8ZzAPwLrVVDWx1+VxFCFKxE98udXvTqzwKamRmQU60wL6J0KFkjqbf
oBZUt06Hspr18Vef03bPEt/bptEc7SCMZUgW7Q7PltkclopiBo+vRg5YalwRyE0cgBt/qVKzC4nc
BTvvgtQ1iWOkMKnaTwpT7EEv4/6JeU/PhaG0fdxO74SPF/sZbu+2b6FxjoYZfbFyG48mkBrCnDJR
Yi2lyzgODt0CVCphX0miC3a+j8CcpBZQ3fWQi5OHlT+YNM29DHXigwLh0UTMVooITyBhG53FxXbU
kG0Lgi/Ntl6T9ojUmujZb2xuWbuMYDwNCQnDXvNVYsenNyHh5qWGSLszBprpKDW9Xdn1/r5axvpz
TczMJ+SF2rbHjBxUSi5n9PkVEBXVsvksvYvFf7gBWqbd0ko/u9D29MDwQUGTSOecWxNG7AZ5ZG6c
7CmLr/289HxmZHYD+zod3CA3qRo3DQvYkLjSeWP34KRHbBxnC9HshqUyHl4NucTeRXewd2s3J8A9
LkDFIqlscGM897XeIZvvZBOmAxpi3WpXtk91Ydivn62MBB2vX2OzCi4DoXb6ZHa4wVnamFCPNmMn
NPb1bvbdYov2HWIxc7jEAmOMllfZPAcdkgYYk1hBNjd2uC6fn6pkGO+x83rfJm+It7XfeNdNZH7R
fLzyqYxfHNMhInQmgqcT9pMUtgYfucsD08IYPRpQYZe5iZ7iVuwZsH6JnOHNMxt7v1SiJ1UBKwjK
kpd5nP2wL8ACuW772pRFvhkt/ZijMN+2hll/jyN3xP6uVaEJm/YwmqzkAnOBeLY4kXFX4HvcIgDJ
L9JwzjLu5TUjvmFb9iYqUBO1ETCfpFUY6fHs4oHto21ddt+GLHlkDUEpRX3BNMZgeTFC+YXpH7Jd
RPNLmh6cXLtZi5nGC3q6us3EU26byCh9NfP8UTMd9meq0b8kpgsxMfXc763R3g+j8R7RfRC/CuhY
cz9LmOpIT0kVmHLdPflztFzX+oCNw2o+o9aqd4s/nJQEXcD+ot6OskEmEY/WIZvm8miN9dGekWlm
jvGUqjm/LrjmEYMCuzHajlFD1idBrWf7dizqU9VPD2JJup2xJJLNJnSdJFu+9dSfQW8N1QNj+zFI
kXrCZytxu5MvNCIkr3rw6F25m4YK+oPmvUWx+QKZPPqsN7Z1iyIMyyUWx8boua7st9IsDeRhA4u2
JK2vaslObmjM726piD82vjH1bBIcMkWNM7tTB6+Osk0naoHpDanN6DnJnorFvTe0GSt8obIdYo3p
1pRudNdG1anlS6+KFoy/fk7mjvhHFyJQxgYPHdEESMrIjLNVZ09TXjtsVZNhX6vUJjXLlNX9kKys
BVpBd8T5hwUFiN2EkrzpnLBzluc+S/drsdkY8hZPYAxnxKfLq95RG0H0KfHmaPptpLrbNTYcghKy
HvhRWV1+YS8KUqibHlU33NVGj5FA3lCtgQpbfeRFH03BPA+Ek4/g7GbCWDaYipIxtNHRsKpyhX0t
M8+7dspGws7FMo0btdsw5lruMLDnP8Y4/238/o3Gj3br7xq/f6Rqrm0fP/iH9Q+9qkAhYbMpsm3c
Yvyn/7X+id+YInsWfGgBGshmXPeHYBV0piDOhOxMqED4Rf637yP/Tniohlj/wHZdO8n/pO8zrV/0
FfraaLG8QldrsIplp/PnsamPcbiPoka7EoKMbKS15XYRrX0siyXfuvXQ4SUfzXurcMa9V2GENjh0
j54BooWYDPU407eh4kLWRMKFxzhCH+0N+EkZkPGQBa4jky242/uYJYFg+YzCCwO+EIRPDPmdIj9j
k6sYdT7K943hZBOD2XVoVoLoAJqBLKoRhfnQy4YtU226rFZjnNxq7B7RmVJju70IZ0x933QNIadn
PbGHerdqzHZuNFxmf6bIrBx73yhbyI2VDeV9mi3DCZxjczW7WB03U1Pme2TmaZgVElqMctxjGU/o
0LKlP4kWnETfDZweebU4YczHeW4dzZwA4RNBPU70Rgg5G1aMgGzmwwKRfKvXgjLLbuxrvfUOCOTu
a91wNxbjqZsyN65kNJWMITFixR7KrDzJZxxTXrTr9boMuGCqrSex+zdxjnQEzyCmJTzbIEWull7k
O9fWXMS8OKGiip5uEG69m8x4gkQmLQMbVUdnkxfLQwNVJlRz8kzbaj6hV3GOkwCRI43K3CRdQ9LM
bFXRuW5nU98WVZK2ftBoiaFfjTKylgfZ4mkZtqmqPO0tLyaDaTgQc23ZDdDNKMtl1S0BsEMyLTTR
Y/LDHAq625Le2Y/JmYDShhOOpn1smCyaXXtg0Dft3VJSjCETJdy1lP29xnKLp0iqYZHeeEtnjWgO
Uvsal7jOwU0pttXyhS62H30OWJxu+Vmb0d1qDFGnCSAsWsAF7Fn1OwUt/wFF4y/qQKTVP4BpbiR7
B3zailJrF478nId1la6UtZZCNVOXiDhGcrsrz41vcdyNo9r5EYrNZS+on9eakZbPeVL60OkP2jij
nd5qflaUPhhN2KakTLM4oqnY5E5l69ONSoGtNzv4d3IIDHBZn8hHmS4Y3Zlpz5kkdgLCR4bxW4tR
+ho2zFht6NBj4O3XnpPcTnPEjC71X++UEwHhJGBihGjoU+IGCSSG03uJ36QOOEmaGhhmnTxH5B2W
Zy2bTSMoEUHeLqNyRigAYPOD/2HvzJbjRq40/EToQCaWBG5rLxZ3UdRyg2CLEvZ9x9PPl6VuW6Rk
0T3Xjolox9gtoQAkMs/5z7/0cHSLFV7yxcWciOiAe5BB9i2RHWsMF+d3DVgChl1GM31I48xH1Fa7
1uc6sgncDvPwpo7m+satY4/StwLxjNCE7vkBcDnN1tnmYW1upyJbDvEMJdhtm+IROirNmaqFbmhm
Qp9WeKE1R1w4gmPkEXziVcoAOm87Be24IyCThJsOs2wCWnjlWHPqMVU3E1ETyW1kth21kipua68K
96q2V5EYnBs/GcKHIANvrWgqHUrgcPl03uX/dyC+dSBajMN/dyA+fC2Kr2379euPREPr+5/66zT0
BEZ3cAeQuZ8Ptb9OQt/8gz3JQi/uYaLv8c9/nYTkHEIwNF3PlnA5zufdvyBQ+w8OSC3qwBHO0wfl
PzkKsft/BYF6iOA5BW2Tcbzp+69H8WpuLCManeJo4HAh8GECEkmGbWCMo1x1OcADB5SS42WnA0Hy
Fu2l0CEhBI+pQ53bMaOIAHEvOK7A3YpgESr2dOsCIm7C0G2d9dhAGg7d6SP7FeGxs+VYTzjkiKPU
oSW974Bz6SATFajnvqiINrFI23LomDY4QtdroSNQiPfoyVUzTfBO1GNotqd25wDT4P/lkaCSwOK2
0SUTfdjmx56Nkcgpd9e3Sm3MDm7QkMThjdDBLMUcZw+oDVFK0ueR3ILepfwYib7ey8FYLtpzxgtG
X+6fsNpJfpnOKTA5lOerEmuW9ylBO5cTU7X7fmzkpsjUHWIu/4pA9Xrj5WH4OYta1KK0dYdF9QMy
L5qPIDGbfcNOfBhjUsmhTt2VVYmKmdjInWtwEi60QTeF8i/CAv+/ckpvDfp7TnTJXGcevW0G8X/V
pwTkNKaFD2htm2tzse1LP5naY98uxiEwFrDDNDIuGAhjsCFriPrwthFJY4JFGBvJPLVnIFgZIUyI
mN5C4pFwGQa5s8c5NN/J2nL4W9vlrhpke6Vigx6rlw+uDgSagZ+37Yi+OFBpe7ekNCgjSU47ty8R
81XECtk6YKinnieN77OZx+1eVLSh/YAdN8Vf8Dh4cbljA3SfUUikM+NymVyFTq4nRzrbaJrwa/O0
b0gMxn6gXW12tQuINpsIoj0HByaqByzs5gbHp6YYv4WgnLtFeyCDXRGlwXeD5IgJGD6ySfUeQV3y
Hi3E/GTAe4FhsjjmlVGmw8kztN0pQiKypHzyiaoQLBlLUty/dOBTYBL9ZOkQqIw0KFIVmWfDOKoP
Xl+md1NZk+yLMuZG5o1/suuY9p64XEjhMRCsOvQGhli7Bl9wPNM4uFF+6nAqcI1dcs6rWqbG2kU6
xEqe86xqHW019xgSFYtP3hXTB7NYZxLnZgsnCLkhrg+5O1Pk1SSX/NYwoBM5iKaivqivGlc+lVmt
gsuaSLTohJr1gxs36p7oSyzM8KY8tnFvB3Kf4fGMVmTAy9D/ggFXDbE4mBcOy6m9bXv8475AX6Ll
tgvYeF7Xv3cwB9DJwxFAAQ7FD3hNMk9seuJ/ssK/GEsl85UftAQHVQhM7iuch5JR2/SEh8qmmHkv
s9FOp41jpmhRNoWrSnWB4YPXGuinEmlSdbg893yoFoz9Eu0EVIaB+WmJ8ANem1jXXtezytUH6gxZ
k2LqzOKuoJQMnpMAiiNBD/6KHY4T0TagEtG1s3IdPCGwVodlgGkk3psD+SIrs/OTP5URzMbBKwYT
q48yG41V6fV9uhmIkcbsjtbYvhrDnAjUuXKeUgEbblWaswjx7O3MYVXUpOcUnbKfQd+7dA+KjtID
2g/Q8GDEVA+ouAN/Wzgpl0Qk2qBimkzxYCEvy4HXMwb45khyI3sfV+xSBC0r6beoM/IQZ2cGsn5R
3ihvlqW7nilerO5E6JpjbsqSAMdQTYpETNyQbqYBG0BHp1WaGDUSwOXwjAHSg/khGz15om7XvjrI
6hHI5/4IsdNyrwrfro9pjBmVPTkB3pOYncJdstSeCNpoX6jB25dRk94WMrtcsJXAh1A45eUUOdEp
wP15V46dHTGo8pRWcCAU3/RFj5gkcaWOvN47RpHob5UyU4RuvG1I5zJ2JkFU7zBNTLaubHFZt0Z8
h1yjKCA99+W9NyhmuS7jJychV3clLf+E6Ym1yuoGxexkh9CAwM1Wy9Lj2J63y/ylnus/OaOaa6aN
OOYRQ7KOB+ZPK2nW5rtwEcFuwurjPQkK7Z2NLIPDociOWajam7LzDApErDmHwgy+LLSs0PvEplXw
udk6gwO5XubHVIl40+a+92nAEaBcdYGsDolTTye1qOUKao63CusJ3v04J8BbFuhmXQ7XdjjtADts
SNrmkgAnRSgdk8Gytwmg1i1kt2QbQRhvs6J6v6iyO87u0JOzUxBjMOQOmjnBJGhp0UCNNCo3JKEy
+m8m6Z2IM6yIwbScDfPFYgXTZSK/xHZWEovTVYjv+y06HAy60QNs7cQP9y43gAEMfHci3eyIrXGx
P1qkCHIWOn71NHiyu6LXEV8ZKJQ7p0Pwk4pAHNy2tj4YE9eTfhlu8FILd0kM8tYUXXadYgj62PMd
XoFzN7fY8fiX8EeLNXhacgk0SWqNFQ3XuL3idwu1+JAtw+fas+PLGRH1h4B5xXUQCJ+/pHWpBPIF
AwSPUIIyt8zrdkKptY758m+dRE17X7rNE/RBMhdcbF7BdO/gfU75ys4995iDQ6L+08x1etc/RzKb
V9WUmziel+YRE7kP8DwwsiOHmeJBqZVBODyiirTxqLuNj1MRmFsbS5krJ47Nk2W0dDWc/vUGo8lq
Y4MSQ70R3XtD9sRZIuFjfGaTeukjZl+1w+TSSkImXYOpYzpADAUEstyD00oGjitC/jZz9BbL46Nu
8J4toRo+yQlwayL2dVkpM2EnaJoU41rM6edIvbOaxAs58sI8DqOH1p2r+O5/9f1/oyXSoUqwAv4z
4PX4tcnLontR3X//M39THMQfVNUWPtWUH65W//wL61IWDlg26mvX/o5acaV/Y10ag5K89n/1BX8L
iSSW2UigIQ45NAGIAv5Rhf+yvpe+/th8lN7whxSSpleUSk8gMiZ9DomGB48sjyIPG87aWv3wTH7B
kQbPe0Gk8FwBc5hIWDoSqBSviUpBP9QMbcLg0CdFIVbYPqLaQ1X5ueiG6TZ3CRHLllpHdy3dW/lU
+n39dHHsbOBA8tgUD5v//Qd+duRmZIynJLWEtl8CEjXtCD4FASOn2rhPMEJ5Cv28QuZcxNaG8yL+
OhmgAFu3ca1NxrB4Nfdg290Ao9yqjfqiT9loWy9BJ5JkuPsjJ2AcEobLFQ1FcJ+72fgG1euXN6Fs
bkCTvVhI+gn/cBNmY1eYZS3+gRxFuZ3sctnlBiHFsRrn97Vl4tckUvKyjRzJBfJ6nfGLPoloeS35
jn1NrZAEqaNMXpnDAlLvR8tuoDc6IgRPdx5pvA953MMMQxXJeDFnfvb7RfATW41F4GHLjorZg3z1
mj7ekjTYz2r0MVWsRvzE2cMRkM5M6ZJvv7/ST5ROfSVPSx3ogZ2fmlaHWTaxQVxpICMHSQA5z53r
1RdNZ9V3pgPP4vfX0yvoR56QXt4+bvQ2AWwsstchTFK0RYF9D9cL4+aOHYXqow/fSr/7xfOjDYc4
SvQc5KfXOWt+w3ZBIerBHB1jcOfkW2X58SFtvYff3845R+/V/TgSwEzx4THEer0pJCHs65E1eICg
ToimasGWfNbMPPPi5hz1L0RCF3vqskvv58HxLitswjc2VJp7eg0Ieo5T3zWzq8MDB+YwlQACZ4Zp
LYcwq4IL4jkgiLA23xPwXaALWUybkjUZYTTYIReZKltuhYejSSvd9sPoLvHh9zdpndnvL+7S0xA/
j1MqD8DEeYXyBxLD8GhppsOIKc4qJ4byCGrR4ubapLsybXFxscpvU9YYuvgF051VcshynSkiqm6X
Vg1JJmk8kr5ewEt0C/ODwDji2mEIhnt5nn8AIGTmOsp3AgEVZzZxqesGt7QHaab+LlriYtMN0fQ+
CgtwgjCe9/jvCdC6z2xn6cHtHAcTdwkpNS7LE6dLdMirQG4tquUD6vgZ66E430bSFvvWKr2HJnCS
Y2IQKFeIGsSYWeOXiHEJwEwKa71ahpuKyNZ6NSzKvsy9OsMUBv8gWnkbhR+WDC6UAiIDBQZzKXaA
j3gfw69l7oAZgHFDDTg/z7jnwQeKui0JWdbeCWz4aYmLNdHC2HBjqMXGI9EyHxiU5B9Ixkq/VSIq
8Vw3fTAiv2Heiw8vnXZJePZHRfD6RuWyOTi+nx2TOZkul9p3b1ycszedFxf+ysrj8aZn3vEnaR5E
ndftFiOEZB0F6VcjNbwrA6wWf5wY1Fk1F3nu8qtdUQNw+Fr7VlyXQUUY/FRAeQ8bFGwGATxmlVzq
58lMNAEmRomBOgl3L5Fbn5zIHVfo1DC3SPP8EsH//N7I0k7yv5rLtegNirBZo64m58s6yUdrj8jP
O1IxW08NZnC3GMa2xbEze+o91VoPqb3Dv5EVMTAn7mvLeiohCO/SSBJiX03ktWiXhffF3OKpmmIU
RB4z892pDA/j3O+iyLqTAY6x7G3DkQn/vJqNqfOQEclnKsAcRZ2o7uYmu4oDJ0JQOtCuhhn+FwGe
spTI/boxzYtKYlpghra9SvwpfEe4xRXEos8RjKpD1HXmfSCWeZs07gfSf54kA4kNBKhkbSSu/9hh
br+zmkZcqqkfMXdM/VU5LNM6NzHa7pPaAJY2A1A4I2KLwuhB5GeHpVIzj0J/n+Kot54Brj4Z5G7z
Y6Zghx2LvYZbSahzY9YEIHEYqQ3HELlOoefCTB9jUjZDV+6btjVODkwbwhco/5vJmZ9wTjbJaG4V
+P9M94/0IqlultLkDYlWMNCahX2Miik7CCs2D6rkc3ENqn3GHLUk+WorsfcjdilCNdhFwZpmsPjS
DHb4MSHM6dlV7fzRGprxIve84ZgOPml6BHpdNqZR7Wta8zUMh+HYC74vY05xZMtm7AgIgFKtOMIX
VUu9EbVLPLcZwuIxlum9PZjFDpw4OmJXX23trMTzfkb14FvwnYVbF5fxVLYkI+FlTWAdFqBFTxoT
KFJ94VdmunHLft4bLpBU3ZrpLkiGGePbZiyvzRm2S1BRFCzDbK6aUtJ3Yve1iUNODrEEuvPtq605
jHLLHTcXymXeNkJP28jInJmmwY9Z/NG+kXyo13Ns1v2GjApUbSaWW19FQsATDjgLbiBJ8yVSkM7c
MlaPUQxfpADrfTBM6ousrCJcckaqk4GSDzMEnNBD5kKbIAPsXfWozbYTduH3GXSwj0lipZvUXMYN
LNjp1nAqqFypsI6jXWNBjaXdY9m1EOcwz3hejMgk+Im49aThJuuK8svNyuBiQUV8mGeruraiJbhQ
LVT8ebRgkJLxmCLQ011xM3DnuJre6Ii9jdNbZKp3C048YAA3i6oCYl3shT8j/az9ELqujlSy+CVp
75v7Yei4JeBCgBnGYXhCp4mzZfTq3Ag2hvVSwLGqOrkczMTN1r7qgwtqFQfbE9eHqJE1F4PLehVW
NH+jBh4eYwKat1YpyTyYsQJdUdsQQII1zR53T+fUNaVxP3OBaIMLC+UFTEt+Nt4snwl8xs0NwWF3
byoyg/G27u8bEy5goyLx0fQc0p1g66mhLvdtIpHyUC9aJ2cy9wwmmb41vXWNV5q9q6J6Ir1auush
S6JdaQXRtizAgQNtCtp1BCSkI+bssQmdpMA/KI3CYd9Uwxztefwq/ULQRR1dgrHXWLLMSHGJQceH
EBtsEzY03KlLHyS5YmfF7Vobt9rR9TTKKV+O5+P9fwOptwZSOgX0h0rop9zTD09QkaFtvTQUs77/
sb96Vm0ohhrKYVV/Z2hQGv3Nz8BQ7LvH2Nkw7O92VQeeosvDjMJx0ZnpJvfvdtWB4u9QH2N7QYMJ
D+SftKsva2A+Efw2vsdBMf7SztAv2yCct+reaHv3Lh8y6HYF3Na7BgWUi0Vn3X7+4cG82bWeL4Yo
TCuYfdvldnVj+UPPFTqTnamos+8iY64+FXYpyUob/Ec0UqC1NDhIbU1lP/lD0rxRner7+Hdt+tel
ERyYHulWbEu6w/nh0rGRiqkrhX3HIItLQ+skzHkeQZFU7wISexN4M9ZXuIViVEGZ/fs7f9lA6csr
iTsqDHyPqHvNp3lxeWnFYcEubd1lmHjGa88YcDQyu36pyO3Tl5s4Cd8I95askVf3zEVZKjZgucvI
89XjLqoi6EMcGu8cHOwhsiA2ICyKVG/gEP+x6mgz7Nji4r3ocYuLur57dvG532e4g1rrmgNoX6kQ
h9UWumewXZbFfnI9iR1r4AymOA06d2YT47EIjYZZVrSZssKy3mgGddvw8tVBW2KQ67gIpRH6vRLd
eiRd9xN5dnfUiKyVHgXzlPXkU3gtpkpYY5SnKeX8+v0beymA//7GQJd8Tg0+DP7z5RuDq6ySyWnE
XSIGAu/PQeCqiL6ZyVTfYcc13TuM764dRdu/miNKjN9f/+cPkzhe+lLFDIV18/pbGXy/wJ5vIvFJ
h8XH+oOZ/R6H2qEW17+/1CsJ5fleLUG/DZeUC/4kDw9m1RWm2Ys7QhSme+rIIt1hN0q5F1hW+4y3
nv00mK7+Ok0UF5Ua+VgMkGH8ByPjjdf9qxvHi4fdEit70iBerVppG6VfE/1x13OY1msb3+vyUjIZ
H1boGd/CAH71kWhEkO+S/1POa5m1qBIzNqxBgmgDLhdzRDw5MwSIososTzneyrBb2/JE3DKr3M8W
cU305KRJk+ggVrBxy5PhDtN9WDuaDGVKBABUtFvRoZOLooGyAht3vjIH25rxwofkk+3eeIG/2F6U
5P2BZjiwXM+d+Q+7W5KFQe/NvrgLmHrXu0U1DZ7WrBtGu9WnpsEBAcs29r2ZB5h7mL1gPYq+v539
+oBcm3lYnNo0r8u4ZM1GBGb77DXmdP/73/mrnwn84QGA8GMd89WXbEyyH3D6FXdofXgg58csKqK3
hBkIwqeat1a2fL2YXJOQce0nAfgLdeL1FfMulImZzu3dWFnlyely5wmjRv0Pi6at15bPjeW2Lqz7
IGio3xMIySPj7Xdxr+eIpF93z1ZJ7ZyY4DWmwUcQWzYbp14T50eEtxyHFwMg/7IlO+40A6VdGuR0
HqXihhbUGm9onrmDV1siY3OT90yJbUuQv9e6/cVLfVXjeniHNR8AQEXSyiZRRnLDJHruDsUQIRJK
1JCQtOdQ3zKdwy5+52PmmKwQ/Fvmep4qqGSJHLb0Q2o3nC0HwaBwqS1EOFsrhrnBgl0dxt8rMxqN
95WBsmJjqrJsGH1RKa9tX0VQN6XJl5Foi0OOAO12mGgvaq8q7jCgj05emyeXNEvl9ZBQZW88rIH7
FYY3xkdBdMuNKOfsiwkZZpNRB2CnhI19xe8boucZKap70c1RsYk7zu8L03ewrKitpLqtzxaN09mu
EXtj8sVU5AHEKGVUj32RJePGCpR656ORp5shCwtDUDnUWNE5IW6IvuvPzZo2zfsT7W1DxDOii/Sw
MN2Sq7rvbWhjNUTBY+AJ+1KGPb751RBcmEBfSJgG0a8VEQfNnTFC1oU21hUOAzIJeSaPwqq6VWGe
NWvmg1Gw8ZLRfyRfj2M3ZY0oqNf49ZWzv63R3oZka1n+VsFE49eVjvPU+jZlApFU4poSkI14qPia
23jmj82qzSJyfQHLcWjJmHQS/qguvVSlPSeziASemct3B03gWuw0gd3qS/AdTDbD746bVTwRTBTG
EVlVfvcFxMgtGWBGJhbhSUOGWB4iHLGbXYMDUVnjgTKa5vJRtB5eWgOpBxi2yT+x/SwhAtTtXvky
2MnFKj8zDXQ+MnaGFedW0TMLZfoa9kGCogJUbmP2vB5gpq7YM/FzEByrYc3COsMdyN0nDxDGIJag
7J7t2nTXE2T36gF70ziFKuq1iHCKAkn+gxowkfSxRsIjTG1ylXuatYntoUe0LWToQPKfAiAC0Trm
sAbWUUgAZwSgOAP61UcjGmAb5n6aFM1mrufc2xmmLn4WBzf5NOVJk9ZWYnsGdsxub9hPNcaHGKRm
I9KRnDDz95PR8sbmoONQoEHu14PytYNlyV4Rz6xKXEkFh6kN/RLJoFDVJx9+SgxXYOGlxgkWDqbZ
eJvRH1leRdjy6lNUP9iHh3c9yWPdepld+ylwRtR9sUm9Sl4Cu1E+4uAULP7jCDj+3C5axtRjg2nY
7EPKzv1t3uBEtar5Qj1iUyz+epQzGqmynPJEWRc89i4WOemcl6e0SOVDjf0N/1KZ+ZddB6WC0aoK
sAWw/TzcCNHx34TonVqIEhQ+8JP5L2hRmQB5RKo+NZKTeoUDOf9GgzT2Go4MW4zv8KvCOvcvfVVO
9395eZ7RCL1HUsN5lwEA1EkldXMISq8lTE4/Ss0geWhhRPcUHPxagihhcNBVM3Sh7JQo9eL5tj7X
Imnm2s1NkacNJnCDuO4X3shgUxnOkjHMIBZ/KyV84T6m3bCyRKIiZnpDcIAG4HX1OEuevQCTRQnF
95vQig/tc1yyGLAzaJ8ZrJDfHeLEDr40OE/nTAF8m9rnKuO0JQCv/oQdPtXvFLfz/blQWNK6mC+m
JHO/z5vho/Jqa34MbILk2bYyha8pI4Mj1CbzGm6JsXbLgAF8k6XlJcuIdyf1r8Xkj4OnLUkUDPhF
ZmJShJdoYreOSKtPQa8d7+YUgfE2kD5Verugfx5KjMyOddvwywf+zKABo3m6rI2myNfnAqfXpUpK
Qt7z9+bH0qUPKVagn9ix2JDojbTGQbhyNT/Hmb3LKHfsJxLVGyR1CwHSyPzg5q08oxgThEsi+BNN
NRcvzp+QAECfdsPU6DKIkwe72vHOs8f2OfNb3lFFHoPs+H/9UHAAI9Jibyt1q4KOF2htFhQGTECP
Lm/6Gh20OnI75ckaDPee+EOi/sii5tcOfdwcxpETt9PLk3gzcW2GCSdTimUf6d4D5artgQheVSOR
B4c8wvQNvxC8TleMLTxry5iNHxNgA7yC/M4z64TnP05DrB6SFGh/25EktIdTxxrJImBz4id4phDz
uf/zJoB90XQ/k33qrTOYPpfYQ1vHGpOnU+Xqy+dj562R3VKOdaL6lAimEKS8NgfK/Zr0YYu3irgR
410Ocp7DSAnqF3HwaETzdDvNofvUeBgmpTg3QQGNFwOlgMMX3zQtv+S8EhEOi/Y0xmwBjqBG35JF
yOZjh3XY3vpTIMejV+oXlNRYyu1kGdSHvIEKEnfLhA8r7WiLco3QoZX0tOBdQst6N5uJ82QliXiQ
hkcP4Ce0ITaq1YeRcATgNan16uzzZN3OsV99ckPUEetajNPt+Q45iaiRW52N15QAiOeGdxmN6tNC
XtQDsULyIWbrNlcjLe0DcL54KOHkWttOV2kLRuHZ94rxfGzOi8mKqjJcNS0v4t4Xp8IwQzJySHoJ
dN/3dDL6qYGmTT6It8gW9Fj8nMjlLojvs5+qvuN7LSImi1la8Fkts0V2irVYEFkzdMIOXJNnjFL4
uCT+X7jetQ1xQRFLHqJeGkz3URy41nbEPvowx06Wbx1sNpz7qSHtaF1AwVvWRmM6T+BzrBr+bf+x
0Ky0LOvtY4rSttxCEh6zi3xw+dMM0GT9DhB3ZIkEDErWeDuKaxTEeu+bZGLsy1CwyVOKhLoltzv6
FUYR5en8AL7vRbpxHxLJvqA31iZUnDjntRuEE8fa1BHEN6l4/pNRfHB3Xp82WS17dNL9HmmfnV6p
3mOJeCY+j7aTDhdROEPX+b4giEjyvlVqSId13gzNwUhwO840bQ9YVzycV4U7pXwUKdrTaxdZ/l7U
hbiGWs9DSFsjLtdEdwh8Ax0GvTqA1FirWgJC4J4UL0QscEPGmLP68FPCT9RmYrKfKYQaEpSkuBY2
t8CSEw/MlUoiWbKQL0sFNSeMkpa1KysWTZ+U7PZWLG6YWWJOHS0sapOkln7djWza5x0QvRDZJKiX
edgkdevjGwIdLGU18tnoA6hYMXuYsdgeOjaFMiSkelcbns92BY0BY6seK5StVc9cN6zm6T6f7YZQ
QVo1BAkzhZ8Tct/9PGCZPyJGMjaJ3Uxi1VALLe8G4cXToeuHIroRmjZ8LLTncUPcKHbNXscVwrhk
tZsiWJqHzukpQkIj9R/PdMYCqij3S77nrd1L9a73pvwGjtqXyAiMdeonLUHJNTzuhp19TMPkW2hB
a1bamNEiViNdD6XFBzxxPMIw40Sa43FZd0CePhXK7D6mycxzjiteaOmMy0T+WmLtzMJDjx3WiDKj
YcqPkNOSK8tuhVhzauZHOvvpUAhYyeusqoqroGT4608Z9YIrcaDDQIAVRnIwBvzT1HbmBV6bJIIm
Ae5ua4B5aqrexvlTZlAHjVKCwoCy9Zg0BKPxLkwkr6fJK/5J2i0PyXKW6RYEEGNdC2k0Ezz2pXqg
xsl1SVdH3nSfhkhcmZQYiFNGvhndKKcZu+xo+XyqflQzSjUbfl6wKMAmWVIf2MHIL53Oh0kAnfDT
gjFC+rWkxuR08St/m+gzXMBdfAzwngrR1erNzsQ2E5PEhBlC07Gnle6kAuKVpuagotK/jP3QPo6V
L67DyfEfhdG1z+iGvY1r4VdBD8Z7LVzJ+YlnCqs1D9mtFjeWDwNXXp/3TT9J2Rx9DkxyMwu+iUzX
m1Xge5d548U5UyvgK8LAq0+oqoho7dj3mppPqMvgwsaBgZa7JGUt1DvzshCstqa3iw7SIcnJHlyz
PTlVzxfXae62k2LDYXyvMGowEoOTOU8Lzz4qtZjqSMM2ddo9iTTqvm/2TJf6XWZL6dGrdAya00U8
eJ4AsnN8diVwHh6JwigdrCmQdBK5y8HiInh6QBzmbpYaKlPlTHwPS6i3g3PJTC7qNzdEGwdKlps7
JsrK27pzJ3dcOXqANT29xyJ1uYwwlntf9eS8tXwh7M50O8uOA7FXWKnkJuk/dmXcNmezesppjOut
xiJSKnSML31lOc+J3y9fM6rKb2U2tZTbI9nc1FWknOFHeSkoyvaZ9sNHV4I1fn+2ya+xoMXcoWSy
6FhTfI2/srcJEzf+QE5z+M6lxieFPIe9nWrzfdxK5mvfqoL3kcHMpyRosNk4Z5/+GFZCeLuc/fsz
3JLFGgFbA+XYH9z/SY7+K3tzyz0DKP+Zkvghbr+UDBhfJMb89af+GvB47h9nmBiKIUatL7zNffkH
C5pgGLS2mqb1owCX7E3PonIAErIlnEF4UH9PeVDgEpkJnoElkx4b/CPZ0WvgTZNxsEaRtjZ40gbs
L8FsBhNR2nNSfi82mxyuniPYLZZ5ZtfrGlqff4b06QuC2jPn0bibKzTB6wdAMuWuK1nlzsmCp70R
A1PyRaPXbubVh5DQ5zcg7Nc43/l6tsvzYrzi4dTx8np+4i4t5sD2SZWR+5To1uJcrLbO8BYw/xp7
41K8akYCDCTI+cES68WtNdEYhX0q7FOqe/BYMaqCts3WRE4IuypBeY8qTdivdKP2+6f6i7tkJTFC
hIvHGO21wfFYE9prGo19aiWwdOFVGoZ3Cq3iCCmjfn+xn6YC3CgrEMG242JvDMXw5Y1OJRGm2NbY
RCEyzKMFpCJZjYlJMTx0itOiAIaLLlCZ0e7MDU0ye2BJ2zJlMbCGLN7C6n++fZf5nQtVS0Cks88s
ux8WFRJS+twwsE/eaHO7UMA0Ipvyj//ftXSWLnMRW89ZXy2oMMFPKMLDCdX5CJ5gG+2zwkr8vtdl
9e8ftH6OP8630AOC22v2sYJRjw/wy+eMnbk+fnr7NATRt1aiyKWB+adTlfNFGPCe/5Nd6tXLBNi2
VScz+7SkANeJN9DMeNrrUVB7vzXtFPrpvL4lC6Y1czs9u34tcvQCRFwL1lOnROJyuDkPUOA8UH1n
TVt98uqUjsid+Uj1wGmOOuuIDaT1nbLwH41If7GCXRMXRxwH+FR1kfHyyQZ4kwaBm9qnCfX7hUUo
kIE/OaVRZbSsUBqffJumklp9XjCRJRSOj9fRE1B2kLcm0L9avbZNxASCEDbH16OINPNR9KUVHy80
tPtznToWzAboZPzt71fUry7l4tzNBI2j5ac5O7GatNiqtk6xw+P1fW3lTLoXW72HPeob04iXZwvb
N3xWZodEZ0gu99PyraIOEVxdGRcBGAGe+gQ1fyosgK5lBKgcYN95b+1ML7dgfUkYu0SsuQSJ8IJf
T9OrdIE4TJTIhRmAJNheQaHfNu10j+ETs9I24L2eu4HIAzsjmgk0lOnBSRkF5TwqSLyldLF83kG+
Qz3zApqCuR1yTsTxwDJvvJHzEfvvTwJRgYtQVg+xoXRYOA+92lAKb0rsKbfsizYz8525QOYqY9fY
haJNe5Ru+cxMkWahKYN1mVSzuxX8ZXdQK4EF5iSj8yTLkxcZOGH3vMBdf56Q0BD1e+5qJTOMaENl
CArjCNo8FGDggOemB2v/Bt4Uf6zRSJqa+XPoUyXkK5nUnzo9tfJCG+/ChAeIW38y36KaAUt0Abse
sSI1YIb6QS0OgpjnEDsM/Io2uR+56Tpr4sAiFzW2CGcqaq6hAaqzPWNdQxhe2YMNFxAgCblyVLJC
KpsWCsy+W/YGJbd7cZ7NtV2Yg8M3ooguUriwz0yR6k8knMjqIhfxfC88qhZDdgZYDxbx8Wcx+7wy
tVhumq5G8KFH0klZe13qPqXIi5jjJtJ5moUPQC4qfUIPALc5MOmXagnkYahVfd+4Xb53RtpeMnMx
l2D/xVtkJHMMsxENMBgWjQ6YBjO/AJjCmuzpnvTZ4HEmH3J/HpCfR8fnDhXGG8/HHwN137bh8igh
az9XvoYDcpcRkJia9jnFFl1zoTsiLNpAkE87Nyixqpl/C5UklpBBwd+S67Yb+QY4W6/h3vMpV3BS
Iyhz8Umf86hJ0GBMCJVmpXSjGrlkbebFvKiLSBcm5xn9GXw3E0n3yzRt2mamAWx4BkjruGbVpBYA
lXJTnibsw6oDEPBmMrLNQLkX51bSAN9q9609MCKWkyaAwALX2a8d56JbRnx/pRnOpP8tnriODAZf
m9nJgWQA9EEuFKqz6i/JpSgs1vJAy/fYmihJ9+hdPS31mjAq8jiLOrwZpt2ccS5DBMeVdF2h4bxa
VAYvUMSMcDGDdJ5c7QGJxKTxiTWeRfMutBZ5WJYRya4MXftzMQzFg7fE8xXemtmmhvgrVmACwtvB
nm8u4qwcjmGmRwltNuEOWixlvzHbwAWdW2KyWlzmYiuCpeZrDzXMKbcj0i/y1PcxnWwB+hl7rFF3
zA8pGpMtqXhVdZGaWoPGmsQ4DdubOyAjYlGToM8BDJrum2cvCGCl6q9JQMDQbZ4StNt9ys60XjSq
O5oV6sAOwsdHCNtNu0N5636ZoE5uWkQ0l4w6m3CniRyobPsq3mDqQaZ22ZfX+FII/FSXNvoc6gkc
6sbqipRBd88cIjiRLafqvdeO7ie8+rUwpVo+u+FYXlg2ye0wvuzlc5HV6RbN97JuxcBr9KD6rGGc
Fp+TKlHdhtlyC6W0UXtdjLbakqbF6AqKwbamBlyhY8x3qO8Iw4EsuipgDf8fd+fWnLayROG/4sq7
XKAresiuOuALvmAnTpzLeaFkwNKA0AiNhAS//nwDJtuyE+9dkR5SR5WXAG6NWnPt7rXWXUHI74Jy
lvRinsH6tXGKzWwMPOA0MoQBe45cfhOLNfpmmwQC8wS2lPlKCfQpswDiHcYHge6TMVJ6AwjyumfL
VGKoZxB/JmEJ9dGYQmcA/miguB75p3xAlMKzoI2juCeU+s2n5TU73d4QmCgK9YmAB90ew0wP66E/
PrGLMCIonirC8goCZrkxTs2lLO7ThbtKB+tEnRVaUSCJOpPYU/KbHwsTBHu3OlPG2DopYtrhI6T2
kVUJfZ8t0/u1a69KmAM7vFGPKoRr4g/JB0q+Uhjhcjq1gVJoHuzSBgb11Qh56NTOqaTKdX6FPA0b
bNOqiKEz2+bTMOswIcmt3/28QTiJmuycTFbmFdSc9IrKAW0pooqAqlx1yCGTitsOSP3L7+MuCbNd
xMvbxNkwVz7rca9wxuQwTFteySzW1rpVqs73dXhUSmjSMslsW3GOUoq01om7JnCzTm2GfhE5q6Fd
Qe063CWf0pRuO5AeTJL9BbG676ZcheznImDgXSpwpQa3KEjJnHnUSx836drWqUVo7mIvV6fJ3C5n
1KSs0I9eGM5X5Bf9iyzy1ZCKfIhUkyoURT/uzqMHtc6DOWHVU8cWIQLkG6aPb/EWAsJPUMxKa9gz
o97NmmjZwI1h8onKcjWcG+72DDUR0L5+uPT60M6W92snW96Rong04+23CrjHLUgEAlduDIWc6YO6
t4vUnIZ5FE63QpSfwsLjzTHiEeMmLuuTioBoGAUAoSmVYuVdwkkI9XxVxjArKZd5fLAAqloOkUjs
XNkruRmtFEKrLnSPqGEuF0W37/IWUK0jnvDFSGAOOgXlGo+qLLNv4cyNb6GxKe6WorcaoIeuJsja
xKcSiPAD6k/rq9xNt0TkxqZw+6pnwYYZUT1RFtvS74OOYbrwxw7slD37knKFh3FqlJ/KPFxQR1d0
RjDTOv9dlO4iHGRx5LNWaslMYtjhjU/QbAQSwLo0/BKdqWgdqsAU0DouPcoUEgjsrsBfGuO+natl
RlX1RpwZbGYRGuyaJoLjaBlXZxG1gJ/dRZpCAQ/DUyoiFOo3xfZjjnR531+H5fcizlfFaUcpW1xW
oqqcARhkAxrdMVrZN25FgPvcjwo15JRrXM+9rbzviMz0IfIqlohPGF5nQVy0V96UrPCP3fVKjYo0
XZ9XLIRXyVwt45PUj8ZE7bscLyImt3OEX7qClLIWGQvX3vpjaK5L8PTzMWXUcJFk3xdVjgrJJnau
K2EyjVodFKAGK/RwyxNzmRVjYMzSHOXeZuv0qaCCvrQXezYTYrecSROJmTMfUS9yAcR3bXtFHXrs
boeq8MSdWnZX90V3o770Yhgi19UWlop5RVYEnCX8f4S94UeeewBYSk/AxbKNphTosA7lHYCIsP+K
+MTGVR/WW84psB952cAB0nxLfVh138lKAxh1DnZEWCvrrGdYmdenEtQ5WykP5hdpCl+dF/TdR/Q8
q69pz8onpQMVTOkiwXjWIdELbyxE/GBwZOzBR9ojbg/Z7kqcZBHVTEMvTx+dqAo/qDllBf2tUPml
hS69JLsMCxjg89UGfHYGOTWr860BbeKp2XHH+YkfarKV7aaqqCiSiIU5hZ330GyDCNOwvfU3VK0k
ZTXhdn5LXNjrIBiRxLeJH8dIMpiVQeGwxVuLCSDZILfKuCq+VNTYj+3+br/+f1Pt/vQguhj9dAe7
/ljMss3dTDFi1EEKUX/7QYok/yx/70dvGzp6Hl2dyCLJdQtIRdXipFQgPzsq/WjSrr1vWYiDHOWU
6ez9O8s/dihK8cBTcyrmst4dxRL03v5rw6dWnkpZVx+td9f+hs9c9CsnvP18e2++/ZvaEwTTJQBD
unsmJnkNwE4BGGf0WoR516bXXnhh45kXgL1zpCdWTO2fvqj2fuEF8kHIg+nibX1xaOaGf5AXHOCG
TZ3gHZvQWwJ59n/qhG7XP2aLpTH+ewWa/Q3/ICcQ6NNg/UZdwe4gpAr9J8H8/avmKZ93hZ5/zG0A
OQA72F9/WlegD+u67kZeMJG60GQLkKn9eMqaF8igQIRDmFjDPriYNv6sAcFhw2UUN/ICTK2+5ZPY
sSi4e3rK517wnGNwM8jZdJ/6CuG7P8wL9o4vtpkXOsckmiDe2CWA6A4Msede6EHx0SH8pslBDl76
t174F5PHjxV3EIl4ultrxUz9bEn+1Q8Oq8zr759WmIvp+3d6Ka39UEPX9vf+eyn+q7aC7Ob/Z18e
1oPdfZ7+/OkBX9+6dq/DUx0+HIpZFoBE3ey+2Dw18yZYsmL/Jw4egiUpw/2dddt1wfrh//q+79/V
2vlsFPyDYbV4YVenZv5+wt+0mwFSSuqGCdO3YXgRJCpQB0s7V/gOo75pkwdBjAZxlohaq/drbGPb
MpZZMJWHVupWA5pj6mhuGfbOSS4mRW2D5FHI19z4ySwOyiCbHSzpZqPr3YKzD5u6I/l4NIB2ePlQ
dzvYzhZ6IejtTExr7/NpoWzq9vOZzMJ6k7WYLBvlppaHeFyIg51d97Z2JQ5NDV9Mg6jWAaFo7rYw
hVxQCZ1IUR+R+01Z4yYnU6Sy6+8P8BEbncaWZfnCLFi15mavXs9NZPJbGC9XPHAxWWwOTdz1Cxcv
Hz74/SXgWsI88crNaJe20DdGgUhqs4cmBWuhzaOAaFGQTA9Pr90B0XAbr3AUKBVMCIHN8rzWp0l6
2224REwiEQb1Iz3HrBbWgpHQTM4yr/VsIOhaMLTpgBkJpfS/NK3NTVDrdlqyLovspelWGg733Ys5
RKfV/eYuuZk9ZICH6t42IWpqw/Q6qK9bbOmtFrZPN7PyaBgsU4UeQG1gYt9vYQLU9i9nmZptDk7Y
DU2Lyp/DB78/U2njo1klJrVljEOfPvo27eDa+HeZLQ6Wntqtz5ONTSOzFR0NgkyyUta7i+V2W7vB
a00Tk7qIFrYkt5Goe3x/wGzqlttFzI6kfqqB08FvYZK9zWbhy6gpJ/bmr/IDZPkKepvgxTGBkj6z
hXbfRXI6O7pQr9Y2z9WkkE09/ukfRU9/zTj6I5zw1nFyf4PXHZFw7U5cp6H5N6UKGtuu6qdKax9j
burz+zyIDm9OzynwN5strPVvsLo2dMQXwcnmRfdG0aCN/vc2s0/Ddn+dqfzop40nXtfCYfjNovWm
bQckDuVRrZ+4lFcfPvjVmvmzSNOPFMXr+NMhAfOzP6sH1/QvJvEsyP76HwAAAP//</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a:solidFill>
                <a:schemeClr val="bg1"/>
              </a:solidFill>
            </a:defRPr>
          </a:pPr>
          <a:r>
            <a:rPr lang="en-US" sz="1400" b="1" i="0" u="none" strike="noStrike" baseline="0">
              <a:solidFill>
                <a:schemeClr val="bg1"/>
              </a:solidFill>
              <a:latin typeface="Segoe UI" panose="020B0502040204020203" pitchFamily="34" charset="0"/>
              <a:cs typeface="Segoe UI" panose="020B0502040204020203" pitchFamily="34" charset="0"/>
            </a:rPr>
            <a:t>State-Wise Sales</a:t>
          </a:r>
        </a:p>
      </cx:txPr>
    </cx:title>
    <cx:plotArea>
      <cx:plotAreaRegion>
        <cx:series layoutId="regionMap" uniqueId="{4F0E47A9-0A18-42E7-9BF0-904EEA701F3A}">
          <cx:dataLabels>
            <cx:visibility seriesName="0" categoryName="0" value="1"/>
          </cx:dataLabels>
          <cx:dataId val="0"/>
          <cx:layoutPr>
            <cx:geography cultureLanguage="en-US" cultureRegion="IN" attribution="Powered by Bing">
              <cx:geoCache provider="{E9337A44-BEBE-4D9F-B70C-5C5E7DAFC167}">
                <cx:binary>7HvZjty4tuWvGH5uuThTvLh1gZYiIkenh3S6y34R0naWZlGiqPHre8mRruOMctv3oA8aOED7wQFr
IrmHtddepP/z8/wfn6uHe/dsrqum/4/P8+/PM+/b//jtt/5z9lDf9y/q/LOzvf3Tv/hs69/sn3/m
nx9+++Lup7xJf2OEit8+Z/fOP8zP/+s/8bX0wV7bz/c+t82b4cEtbx/6ofL9T+798Naz+y913uzy
3rv8s6e/Pz9U1uVf7p8/e2h87pd3S/vw+/MnDz1/9tvpp/427LMKM/PDF7zLwhfSSEkVNY9/nj+r
bJM+3g5C9kKEmgsWcvL1D/829s19jff/GxP6Op37L1/cQ99jQV9/v3vxyexx/fr5s892aPxmtBT2
+/35XZP7hy/Pbv29f+ifP8t7Gx8fiO22hLvbr2v+7anZ/+s/Ty7ACidXvvPMqcl+detvjonvq/xP
65r8X+gbrl8wKZQy1BxtT5/6hlLzQlHNNBWP3nvqm//enH7snu/fPfFQ/D//LT108zA9+2Bd+eyb
kf7vk0ewF4YbJjhnfyXH98mj5QuFO1JRcUwu9W3sY/J8m9K3qz+a0Y/d8483T5xz8+Hf0jkXVZU3
Nkd2/6uATZAXlAkacvVoe/M0eULzgopQcRnKv4DvOPbRN/+dGf3YN/9488Q3F/+e0PbuYb7/FzqG
0xdC8VCElP4Q1Yx5wZFQRmt2dEz4LSiOjvnldH7slcfXTlzy7o9/y3T5R/r/y9Ll/0PZkaN9jZ4f
07cf3vobE3iV5fZbxP4I0P85fgYYExT8zGjyVzZ8X2LAz3CHg6Hpv0rQ9zD2q9n8OFmOb53kyqvz
f4tc+Tl5/D5fnjz5T/Jmbl5IwqUW/B92/94vQDGyFR9uHsuP+BYTRxQ74bT/52n92EEnrz9Zyf8j
wvx/JtN/9Ru7e3+//9qofMenf373W46dvPqEFjxZ7TezXnxBMyNg5b/an+0Tj+/9xOZ/vfdw3/vf
nwdKvTCacyU1vGeoIOBs08N2C0z7haTMkNBwCV4eojA11vns9+eavuBSaLibhZTJ5896O2zXaQiC
yJC9hoKlG1D1v9rD17ZaUtv8ZY3Hfz9rhvq1zRvf//6c8+fP2uNj2yy3ESkjRlHOtDI8ZJhA+/n+
LVpQPE3/R0UL19CplA8hTfxg9qwVbVDFpB3z9b2UQ1vei8DJ/tB0S7+InWezzOY4sAn5lDZONEFs
2VzqS5PJZdiVJmi688nUVf+yknUbLJEtZ9l+kqUvZruDraqCx6nWgj7o2S7D2yqbdXUfhrJNPvOa
d+omVXnX8qimeY+piFa6+lVGiZ+aXVpJV7aRnWRdX1O9dJhyWtd0uWI1b4o/g360eOc7l/7ASPrE
RoaAkBsJ1rc1TowgIr63kaZ1PmQqCx+SyTZFd+5rUYnzSoy90+drn/p8ite8RTdXkSRnyeHnw1N2
Or7WQGP0BCGHpzCZp+OvBQ97RVT+paAlL/PYWy55FhnDgq44uHlKnd+5zKciiwIRrG3zehJ86VlM
xaomfulV1vRlZG3HHb0xMuxw7+eTRAh/H0eagGCB+xq+NSZbWD6d45zlAcscD76owI2E7dJVp7o7
VKHwnESN80p9LCVJ/MXPxz3xzTauMEIzJgkzIT8dtx0Wq23Awy/pgphT0Ujaqv8jEwlr0mgq8iF/
1SQQZnyUZZYxFf18eDD+k2VrsE4RMiNkyJBDT5edyjEPyJzxL4GudMdjOREl75FIgb+wa66rmzyg
lr7kZbcMt2VPyJpFfZZXMMo/O5NQh0ooGRJDUCLI05lkOkuqYiHui1ATUu6wULXS8iDdNPRin4eJ
UB/dABN0Ua+0Vh8tWUZn9mNuSTv9wiuAp6dmkUyJUMpQSQXX8JNo8ConxVI2yefErI10Z7Zr62TZ
B0ndm+VsCd2MEPn5+ukJkmkiDRHIEiQqB5yGJwZIzVpI0/rgU5Y7XQfns8+2hKhnm0H9GaZCrCLO
635hbTQbxmEImZNsuK1bVSxxE1DX3Jo6q12z66R17G095k3/6efT3PD0O7zVlHIiBBGSamA4Osmn
bhqmJHSkW+dPs/MOQUCGksA/ZJ64DKLZ8TG4bVnZbUnjJ7v95G06/MI/fzMWpUqjZSLKhIILQNvT
aYQd6/3SK/upqWQADC+AXusUjQvxi7ziiQTu9+ngyvu6kA0Q1bW1o/I8DIpgLKMuA9puyL9keKvJ
12q8EnPZ2voXsEJPEwyCFFeaKR0yeFipk/o086lpTbPyT33CVFDvC9+31fC6W33eNvHULR0mF+h6
xD27dLVddmG5LsHt1LbJRW9cVaRxva5kuaqzrvFJ1BiiEh8PkgTVW1WbdK1jxs0MSGRBsdDmkqym
wlfLPJm67hdpSiGwPQkApmholFGEcqmgk54gBiKz6cZmbD9qaWUh45aEEqGYJIMxLqarDgDtyXJE
z2oQuDd8hZOWJiFuzZPnqjsME/91DolTFGdgGwaJRCnjW+6ehEU5l32dZLb92DpkUbfnfRmKl4xm
fLni/bDAHCYZq/V9nc3LoqMhc1OXxQD8Sb1NuzUJzl0tivW9C4Ze3YS52gjCLMa6MmflIDf32J4b
hNAyajm+bV1Rru/XSpVTGZGq2opWDuvDQbYxGS7yxYGJhPU8w3dcFgt++pWkPty1suf9Qelh8105
pzkIRvd1eBOmwTJFoZ0LfMKCPGDmedBs3MC3si7v5141XXswo6PjreB29dfOlYmLqqp2rI6DNKnn
81SguH5owiYR70cyUgSZDlPwjLFrLCjKz7HhFDVhfU20BscXWklOT0KDJ0uTUtNWH1da9y6NZkZ0
20eTLWx1wYduAlD8fMRTNGIaWMQo6jYVqN2nI/aO9NlU8+kDX4ctGKdBbPDHel2ieKuxk+pjUvAV
QTixwffpSw1gQZz+fBobnX2SFFwrxTRqhWSECbDkp3C08nHoAqPq97Voas8jbwcZPNgu64BGWdk3
dO8SbfPXYx+mQJw2kzbdp6Fno41CradqjDxLu6sqCdXtzF0VLlE/UTW+9WFA8riT62yvEEQkiwoi
kryNRKLoluwZQRzaMQO7uEiK0m+ZPwrJXzHU+3aJeOn4PJ79fMWnuBZyFCjQDax66+jQEzxdcamS
rJm6Xt+NQ0NAYqVzDCR2XLe4FSBZ4jyj04ywnUvD8ZP6r8w2UO0W0nwoJpbcJrPaQpp1+Vq787xl
fIPIbu0JPXTV2Pb52SqXElmXTPXGqekS1shOTTuk0c+XxE6QLQQDClE2gWrwIJS4E6jueFOvtmjY
XegzjtzybbpNwAd82FL3ax5D2l4wtySbtxQHVm6Q4toOhSbIKGg8neV2yXZlX95XptDiPJ+qzQ7d
Mll1k3Qznsozvi1xSWvVH8pAO35oQzfyPl5QL7DcXyzthGViaYZiw4oiVYgU4HtPveXnkupqsMsd
T8cNqbzrEFprteb2sydhyZpo8bZb32vWbPWxDiyFQ2ZVV+myX2tFfXowPBimO7BUB3NMuuCIPj6u
QJMmDwxCTExVu6HbANg8z1k7AdY8GAkGzH1C8C/0WBSmqFMBU3ivs8DHshoKpERmWIF/He2zQWF5
/3MjnORoCLoAdqWZDNF2kr9RXTqtQi2qC96NtbZAhyO9ZVk4j2WMzjJLm1/Bwkk52oYUHMSeoCwR
Bdb01OyksGCt7azf9QNFhPjFewQUaj/sI4pWWLlPpsDOfaQqvsDg1Zg0oCwAPVhpcnPlX2vVh0lx
SLwIAQZIyPGtg+qCClAHSHw/NyhUj25Lu6mBKecqbJAryKLNHWk5b44IipzixyyFGd8SW1vMRJYl
alOp/Nan/tzawnAs7jumiMVvRQAgQbEX9/eOCnSwD1IyL++ybFFVEvmh5G2cTCQpbhRbhVv2XeZU
G0aGMVNkkXNd3l2SauCzjFqwneDKpXUgXiZ1pnncTXZOP5O8IudTMgi1K3Vjqy+iqFb3traqxs70
SqvplRgpmdddWDRGtnEH/tgPh2mS4XjjuiyZbaRqUtNrThw1u6ZxhsbF7AeXRHYOu7WIsmZ0Yo7T
uRyRDOPqpqWK5kAWojgYRgdxqyq/iDQmMx2m4aw1U0YT8Lck9Rc+02BmsV6raV3R1iIU24u5XJIh
6vq2UIfR6JTvZB3M67tJWZa/H0SVJjsuPKPxgv7ULpFKfW92JmdTGaeySs81437XWTKtV4lpCDmj
E83YIQ36MCP7trS1uFvkmJbBnbFknt/Nfub+ZdD7JniLiqGHL9Ip5e5WPaaNjVprada/MfNalWdJ
DnXjsFoR1jYypeUsi7Vb+y78ROsibL5krLXjvEOoLN2DGfw0kbispp4W5z5pOhnu0AfISp0ldVCq
G0N1UJZno2pZX2UPWdhwDyvPlIdOvFy5HRHSK3V9m73hinhF9k0j2lZfDCbJs+q6kXPZpftiTP00
Xk8ySfP8kIh6GuTbpGG8u1CFyNLwgFhRvIzacSUo61Uf5pOJ0kCozu+yxK3FcjGlfZDlZ1Neo9rE
pZkEAHZs80H+YYNByf4CwTEFSTxx0BZ6M7RgXSbyCw9n9apiWuPHHy8GeV7hHuRngeFW24vu0zp0
ho2XhXJtys7pHARax0shy0GfzU1B6yqSYtzqIpFBjuWkXKKo3M/JooiJC5kZmb5apnZq9esiCYqp
OuiSB6y9KIfFhOMrVXCZm6gzZtMktPMyK9/rNEmC9UqIqoelgqUDZL8EaneZvAp44nR1TfMup9Xr
opiKMNlPBYAg3duccswdkLVNaRmDirA9SbMl73akLQsX7hpPAtn8wVLWYLy6qIy5G9Kw62KH1huW
ZeGQo4LEVGXbRzB/UJao68zG6UXWY/Vxm9GGq0ORTZvFeOVL/Ng+88FtU+sN8sXo01DHZvIWAbA2
4Btn3rgaz7XHpWZerjBfV2j8QS3pE4xWZRRNZkPzzT20FRmT/4tW82bnRpgCWlIwBA6uCJoyzMRD
16Gh6Q4uz8G04imki+7iPMzkEMCDYuiG975ohryBvYJstWfZsAo6vwwLvU05h6fb9VYhsjACx63u
UxLMW4ApF2yel0uAa5WpN9OMI8WjKLFhN2EOY9Nj2PhxPc5x3n2C4Jbhmpxbq25LKRLDYzEZCEBR
qzMKWzxGT7L2Bp/URbAtLvHLV2MMiBoXP3JcI1e5/Yv3snzJSe6C20dTB8fHvxn5+ByUAla+1Kyt
MQHaBNn4qcxVm7uzvOELFt2xFQeCopTxNCe3aMBTayJ5dJRdR49QQ+c9uPSioWZJZETLbFzUK1MP
FlYaWV3hEdZCY3MxZI5kNFFJlo30prVkuFjplHSfzNGCtkUGAdeOa8pYjh4tbm2jJnq+DOHWnZOj
a4/hoZKygn2UyPHGXupqW/yslgxxmlK3DZOJTOHiYjuis7s1yMXgL7FSvpn3GEjrsAyYJRa5fYXm
rsd72NngiK7eZ9vUjwYN1mnFP2zFrdD7gMimLC5WJvXcnqUEIhLZT/lgkdOmSDflo5/g33zUrPtE
VdogfHoJxorFuxFk91UPLXv7IBu3HzGmIX6qhmzpUK9ym38zqDSb7oYqrdL80KQhvpt1nKb8vOwX
Tf0VP8ZKXvTG67NHk5tidJjOnPMSH0EFsBi8aPMSdX6k3arIHZhbEY67tgt8k8ekTxMMLosMZ3h2
vmqhbVYQDCDZwE3ZcKFtuqXzgPqKa+UyqCI8lCCL83LJTV/N9twLS+o6royo6jFK+hSyITV0wPOZ
73r8gDTK6qbuBvy91BN0O0kmCqmog5Zf3YylTyAKTK7A6DRL7fheNcmMLiBZ1i32JwMoLw4z7xgQ
JnRZNYT7qkaJrfdz0CSmv5AGpWr+QNRcAG/SytqyPH+UkwtfZa44DFmFfvfzInocXDlviwzmOONf
c6azYQWD9clUJut7noV28ncdn7JJnfvj0meT9jARb+e1xIrKdOrlXq2EAuW8E5v56NxuUQO9agvx
o34a9uUEC9CBbev1ec7w4xDgeL7LoT4GUV6t0JWNYGVjIkgWi6pf8pY6PKEWuvWwoxx6xNVRZFmp
rFxyGJrOJewiTboV31iP0luCthyqYSdFCYkyoSVa37pG79TEvoIwIa/qUm355MWUQ4RPy9ADKrlK
FtS8fgHSFAf0epvxhpxvUgEbwhJafFE1KV53S4VVfphAz5Lgckp65/Ibw4tNpLQDyt1LXSZc+TcC
MtaS7OekCJbsoKZWVv0O0gVVItIQgdRHkXKKlhzF0MD5ayBWrEo19VY2apls4eaYowi+oyULb6FE
85zkfLycVlkn+k25DlNw60CmoSqsbWfUR+At4iuY2hUWKATZ1pC0TQDwR3u5qVRVDr4KZm1qO7Uf
lVmyjn4Sc6WqG6W6dkkOgtneB39OOS3mZI+KxisZ9RX07yAOK6rdeyiSU+nfkbQr0jRO5MKz+e2k
wW26L2bMx4596JMQ0sSZK4exNnHA1r58v4qBCRsNqA4zmn1KLTil1tIMdECU14Vh8YiLgR4jPWFn
at49ruToy64tIBDHUvJlW9ZXuKmqccM/s6QbmoD9b8mb9/X2RPNVvU8Ktl2TlAR4YkmX7cGEQ52o
9+jct72NvEpapHIKtpjcrH6h7b5Aom5ZaertzmPIglMCiYzEZg+2AL5K8BucBmns5sVxHVHmSPh6
yHQ62WgiDQR7sayJYRdT12xZngbrJgf22CfCjwAt8xfdShDfgmD/4Qa65TbzMsdO48fHgaQzKGkd
QiW4PXZsTV6suoyKph3Em/IIWOVRaOxCuonRQdVtImTvlBNiV6d1Z5Mo69QQ3A65bLFmP2EXb7zM
WbrRuEzMGEOP1Tat4WvCBbZEHYkSOWxJ3rJtm3HXTPMWkzpZWZlHMuubut5nRYVsPBwNAh14A70S
h6zwXdHToLjKGK90+Avh66Shh5YDfEAEM4Cbon+TlTOPPQTo1ew2s1Zh1jpNZ2TDZAGzXSC2DKpG
CC9ZNObdNvdfdHdPe7tteLXt1ZDjOdlTndUNsw2mXkOqOkJjAQ0Ys0AfgEz6+VAnAjqyieA4AcaC
ZIW/1dbWf7fBO4VlFyagkt9ihJSztXHXJkK80gZ7VkBklW1OHfICHrbCCbjsERx/PpenEoIkBPET
UonFYzsccc6eziUZOYN8W6S3Brtq6mMu6cbH+x6nhferBXX+lZ3/PiAOfEE4UKFhEBfNia5YZo7Q
qibJ225uUCjSEhX/Qi8lYO4xs3++QLrJdv9o2rcVbqdmpKYsZBTbUScDzlUh0sZX6u0jYkzZuon2
i+KLlIdZ9OF4KNpkdW+GiS/Frh6aDc+5AzQE/SpQj34xo6eRjhmhlQoNipc2UkCiOxEaF0OCSS+8
e1sdk2oCr0OOz0OZANfzcMzhgkwMCzLTcBQHUIsg2yZStLwb1njs0NkfZM2tJNEMaFliQH2Hx5Ef
Cb3JF45+Mp6O+1ntEWZ/vohTN8JxgnAisWNCKQ1Pd1lRdzvP5mC8yfpyQ6b1KxFqe9kMb5YgHARO
Sf51huP10V/fn4r40XiSPB5/Ukqd2EzPYCMsJMPNY9mb06wrImKBrDZyfZ7+U9KaJJD8aQhlEcCN
VEUdf5oXfEqgRI95cXMsSyDJmzd0WSEvmr7bCsbPF7h98LswRUBg+0kgA3EeRUDRPNEzp2Wdc7fK
8lw3gStlrOta84/KIWF+lYJ/HwquC7GDFwp0+vp0bXXC6mVIVXp+pCKjhDqCOGJdjZ+fr+rxKMZ3
C4NWiKEMDsgQDggJT7cLCcG+jM6z/sytjGT9nsl5O40wEMEG+2e/NthDj22fQls1UZ2s6BYjL1NP
6ytUaxzBSWNbtlB+rpmA9kBe14lMU3u+gBtIe5PMeUnnJU4Ytpw+9F1Xow1yBRNNt6+rYWU+Jpao
vt6FTkJqu+YztVy9Nsf9vFKhGeGvkqam3fyyTLPR4MjMMKqcQhMpcFTjHI2GzutdFRQtXPFIUHSA
17KoPNIKMPQQxUJ9hbFjq1FOBNA9ZTUDdKM13GjANLIAhNayEH1CwwY8AIqlBn3D+2ojc8GR27TY
HEW2kzakax6Vva/pGjW9M02+U62uiiH6Jnl0KJtZ9EhkvjIo7KxNsO/ahVsR190IZQm9RanYvg0t
hqxLdBXjJcFuRZ7G1Vz36Keg51dFdcdBew2/UYs3or0oFAk2MaAfHXTW5diHmWnpebfLyqGG7AoF
RmOXISoyH9okDgabTqSOOo7TQ+y16Uyrp33aKSG7d3Ix42rfYb9h29ECByRM3VjfYxPhXd5CbU53
OISE4wSHzHWUFnFNQTr/XNB69uGlVPPEPlI5Lz68gWyWtG8aY4qS7YumDwg6YYJ+ycc4yoW99H1j
F/h2N81sdUtEAigTYwxqRmUYL2JJpuvS9L5fI2xHTzm6aRM67IvmGenPBKn89EmRulyyXSJAuJuo
1k3t/migvARDFB633B6xqMN+eKquwxq4XRyarFJsAIv+yrMgfG88cWn8VnSOoVF9ZYONrkq0bM7g
REwbjY6omgLJUqsxDVaWLJrKYDTvAOI2vG0bE1SHOpepjLI0nW7lkstit+RTcpaLkZ/nhK8XtZvH
cygZ9q12isWzkdmNzn1FoBmP7l2CoD4XqbR9hOzLPhWurf5ISW53s6EJetGK+zM0u5CUWCOvwpZ8
tCXSsZlada2mvN1pkWXwLgncodCz2Bc2H16tReXJHqzc78OF8AoRq+rPWTvcMiraKyeC9Koee7+X
PSRonH1Jz0c7mF1mpvCNbrMO+/pt/iXvu2RXZW0aLaJpdjIx3WW4svqwJA12gZtWCnw6XJpYFI0+
TPjkRYh+7JOb7XCGcw/Jl86U1Vk502qNFlPIQ1YQe9sKaPNRBYmmjwJu07tpXsP7KmgkWvmhfjeF
LN8T5smlICbLIxsE/FpApjs43zcPfaGTNxAPc5xX8tx8odjqQT9DW/p2ZEWWH9qlCfa0r/3bfhQQ
HAAFu36Zh0veu6WMZD2FcaJNkoV/5CMzywVOIAyfeyYKurdD69Hm5HW2RCP+F8ND6KWud0ESuMva
4DjCTlBfvJlHXqJPqu2V7D3t4iTM7D0p+vZ61oJc9YpuEZrIbQ81HafLGXT2JdHleAH1O7jMS56x
XQj0+0KniTfRuoY0Q9vcBh+mtpseuiCYY5bT9b7vC8twoqDF8cF17RG5WdVWEU5MuWHXrlM5X6oh
7dKI0Da/WagGEKOliseJV/xShKRqL93cuQNrB3Ylq3qOoPS+l9PymQxJciMo0mfsB7+DtEjyKJ3r
Ue/kYvleaN/ctJlwH5Z2Bicj2N5O+2gocQaijHWeyjYKBi7usTNtI86q5sxCKIgYqf2bmTblmz5b
fBmX3qd3XbZ0f7i5rVnUzcMcJ9S1RVRgfthxDaG5IfHmbI3FHE6vDeuzKm7Wsbgv6naNsMlTv8d/
ZOmith3pG4NNhIuWuTAeHEkuRd6I+z5U83UBvX/EtoMYMGjio2QIOnSkQ3qtwsDmUUVLc+8CNAO7
EPysiGTRd6/VpMoDgF6p2OSrPvfUZq9xTgdnO6bM3THbtGfjMNOzoh3VvePJ3YQ++W7t6jU861qx
REVXpw8LDHKWeT0Me9DA5dY7I5PIiQ47tmXqI5KN44UyZXvWgYfSKNW9uTONN5/43PJ3hUvsp3Ed
14cBAb4btWUvBQ4WnBFUil03d/4W/DKI5NSM14Hry48rsc0Zr2iCk1mQk2+yhQjUshmIRIo8hB4k
S3WusTETt31TnJVycHc428Ux/5FdUtLwQ6F4/wG6XPfaNJk7p0tlbuvarVdpX3T7WQNy0QbX+U0j
iL90g5heN33i3rkwFJ95OQIcWLeMN2KpkTzQtF5R7oer2enpIp9mbqHbhM1ZomqxQ3uME5aQPczF
GrjkOkky92ZlYXYXQjr50K2hf4eCn54j2fTLlQYeZ5hUfqhMIq+xw0157GtT7cJ1aTji3TWHNQ3s
6xIS/Ot0tm0X42QIObip6D60fhApmut1vXZGDFc4qFRCHajtu5SvpgZm1/Oe6zI8p9jzi8d2Fa/C
MeVQ5l3wJUgYzqBdL1KsuYmXegbX3ekBknZ4XUo+ar8n+E9vlY8q0ybXU9Cmr6GyVDeBWJr3lXf3
eCeF0JvT930NBlMMuriZTYHjl7Kl+aWxLfs4BMkwxVU2kZc46jPc5Wwcu7OMVVzEJqP6SiTWhQdD
6sZc1lnY7rCPK9ZoxH73LjRrraNi9WaMap40NzbAfv/VEnQatlZk8u66MyM2eujs6HTRiK5+xWcR
vNGNydtYzS6z+8y07m2R5mO9x5bvkl3VeWnzXeAaiUOISUKDMz32/fp2CRs3ZGcb9SA70822siWs
Zqe0vCzRk7sqphrMJZb1kIwvoZYUfcwHmr6b9GqX2JJKXeO4XkJ3EwVFvPJoxP17maP7c8AR13qp
QJzSBseKzkev9KVkM2mKdytfEjZGy9wRM1wygB25CAV2BM66amncLht7OdyaIC0LnMBJK+MiFyRp
VcaBMPNtznFqJmKZqN7YhQbr2YRGs4iJ7hi5nkwxNzFz0PFf6gpwusMBuXVn/zd7V7Zjt61lv0iB
ZpJAox80nKGG4xrtsl8El8sWKWqgRJGi9PW95OSmbed2gvveSGDAdp2jgdPeazKQrasmnEUOI6i8
mr3V6eZdu3op2yK8/t53XQGcppO7SkuFSfdunuOGzsWaNmkbAmDXA9YDBb2Zm2ANuzIOTMtvJAc7
m3U9YN58m93YZ1G3gvghppGnXsTJUNYgCm+lAExaNE64U1TDblek1OcEkFgzBWdZTwp0pEnImoUL
2O90DueLlzBH8q6pYp2RWEaA4oDZvQ+UN71ZhtIkmtQaHoehCqKytjw0YY4SjntDDm4eUrQlIzx9
WL14ICjMDF1Fm2MnnfEDg+8JJ75gExppWnLVqiypx8CxUnYkILxUoRuS5DbwbGqeQeZ21akZafy5
tvbTtvH6uebqU81U0mRoE7rHBdqOsqLVdPRxePjYJNIJ9BfZrts1bC9TJMzB8onlalSbyghkmirr
uqR7nPo2LaYpXTNDRYz91c7dl7mutgMZWtB4tatuwTBSPw+cXsZiw2ET3zHNo0cCAdFUCAusB/MB
EyaDHm55CwYl79XYa1pqQuobPfTDoxn1XJfG1bY6AzWuSeZ1jp27oRmLsB/bgxyr5LGXflCymQ/X
skq821C6+DpUIC2HWoO8ZmiLijCs7OfeEHPcXBi2mU9wCBc+s6MuVZAOF+gHl/mspqXKmF58l4+y
bvI41VZlLOgqaEghiDRnneLhyhUg9+NWwa5egfcejw34tWLColyybZXTBac8Dn+RyrYQDeoL3EL1
gFNHHAxhaW56xd83og4+AXlzB4h22HHwWXcgijR3XuNPue1S/uL33XPbQAlWo3E7kLBqPg5LOA9Z
Eg3Dx8ivpisTRpXLqsk1NBcAR68qFeKhax8It3A2R7MbvWvQllzZJRBfJI/IJ1nVwYsMouXGgrkt
EjUO5wiQ8XuA76Hc9zSnsqjxx9u0qiLUrdgc90kYf4nl3gyvfbef2i7Ur4OlnijbVIAIBZg8pOc+
6cWQ60m4GVzTNgAsJEsT5FGLfSRLPdEkt63S4SvnfJZZ2OIesqYlnOYS35sD/sKc4KtKzl1qQlLM
HELOCbWWrK86NcwfFLo2nksVRf4nHLzLlDGPLvbkzTItZtV4JzEm4fOuGzgEm5UmE6un3iWJa16N
pQrHAzrPw2AqqKGGKoluQN1N12qFqCSbapQ0N04b9SrD2YlcA2a0mbCt+zLPK9YKFiX6NKOAYr5Z
sFY2AyNny76x0RVA6hqSKeE2FPOQjX6NISGtDh3h83W8on/LPJQjc9FWo5eU3thB8+tvNnk/67b9
SJR1udSRLlrfG/2LWUjwCHaNMqiCUMNl6bzw9rigqLrC7tcvpRs5b1DKMZSeUHF4wyXiS+DlptqV
eGvnJ6qclIXDAIoUTKI85h1vYmkPtU1BpXQybySKtKnc21ibV+soQtTUUV9tL702vXwXDsGiC3QV
lcSWxtJhU/kUmLpdj54fNn38LjVRRTMZjCL63EI26vW59ahrqgMIM+n8W8mHdGA5um0Xq8xsvNMm
Jzhwk7Xg4K9omxmoueO16O1adfJ6pVUY+bk2aMDUXWuBDkWZg8ybmcNk1Che6lrGQ10sWCqgUeDG
ifops24c0vlQo1brz4Ybr/umR+1sUnLon7q+TEZwbY+VH4J7OSoIpea+mNbY85u7xiiJcYg9yKVM
AyUzOAALmTse/2vnMeLjPeqmXwumuEteErBM/PF3sNZTO+Ewt2yHRsOgcuoadsaduodeYOdBsA43
8lbHle/SI3TVG9bbGGgmPhq1cI9nPQXQ5aGzrZolxRGB7Xh+bzgABXozo6B0F79h/hrnptZmlMcN
7BZGC0deMzSvETW97Yqknc3aX0cGj7dlCJcIQ51D9BJ11WM0J0qkZQqhqoiufGPGdYAOScyocdA7
1ONBKdpgP/bmoZBQId2GEHOhdFcMO+bKBIooGh/FTLp1VUBhLZBUkUNSZdolLuvexaIt1QLFDQN2
0A/0ZkPpR8vKa9MKLJitmDJZEI8sLsm6RfERvF/3XlHTPntQ18xZOMB8lsUGa6eE2qR783uJKgvq
dz7Jckg144WdoFNx2RaOIB+31KzfVfZXTNT2LoE69gQcWNwMfhXlMkzNbROsa1eqqINYyzIQwcpr
HxvmFnIeUcKRLOrVGmeuX2R/nGYfKkZH1dLDnGPlm9r8SmJrjbsqS3GOmmKOtvVBC29xKBC8tkQF
ig6xalSSHKc0nrui6qh79bbKrSoL6mUMHqgUMikQpdJ/mXwQ2JluLFqDfvMsupGpCXiJcmLSJ8MT
ad9qz+2ICyrqsM83yesDfFq28g6dCSjEOeHI+rzy42Eo49XXp0AP5GNr2zjQOanCesgBKIoEHSpZ
9aWjqW+K0E/M/ALpA2QT0LBCZZdD0zFaFEhBCF0RwK1Ljc67y+IRdfitA+HmsiWSpCQyba+8Wg+Q
spsE5gpo61QH6Ua4Gl3QPmGgpLyZH+FbwMAQV3tZBG3daVTt2OQGgNnrBsEC5kbF7o3nD3jOTR3S
QLm7FYNdxKyirGygrfjqQbwE8LBR9Y2HbVh/QnO58HvSdNNedUWhOKGCSa+mmCTiFVtktB4jGzcP
wxJVt5BJ1m/1FODN02VzkKtVBsjItgmXKeEvz9Ql5m6ZWo5HgI0N7DDpBuympINZQSbsIQB8SArW
DMs5AGghigXamA9LFMNHmEgdn/q4aSBPnJLHsaqHwxz2/ks66SBjBDpEPrUbFPp6WzNYjtYLPJWh
KEKjLUxdbQ+BPBOW2XOdTlCn6X6DHLSuFofbZe0ujUA3nKuerOEBDBF4Vj+CsbCobWSx9XrwO4hs
VgTywqjWI4qCftW3kVHmpg4DSws/qRU5QAihnhZHZqiO5x5PCTUA+RRPnNZZhwL83ejtFa9GSEGf
oaZeRZbKikGOIkfBCxzoDZRXgEvutg4IQLalSqWltBDYFZHfiXIbHT5TJ5DTQTbSqcJG6tuieV+G
lXb5MifrR4Ldwl67uZ9U0Y6WPuhkmg0ulyQjGgIBFKgLh9uorcJryltJIBOq1i6bgopdex4PX9dW
yCvnKX0HrV6TQwMWfoYrxvTgGQhbc5HoZsrJEou1MMva6Kyd6FyVhgvaYv+dova6CcI1Oczpkrz3
Kq7cBciVjAAGDN2ataoLPgoGxUPWQYhxGaAw8UuyJCuaAhbC1TBWftKVXdDwJ5m4aclxbqKqQ31e
8Gga6f7e0ndLtACGjsKhutC2i15GqCzqzJr2Y6S74WWahyHjyP94IFBUQihVW0z5dvpYe4tfo7Zy
Xu6h8ridDOw9GrjLp7423nlqsKiLSUjybjbzcDUnI7weE5E3wAXIyat8+h6IsSCYBnX6qsItKl3s
6wc7reFZ6mEO88bSZa/W/A7SmR4QD9GannTE+7TYmIfCqRPMHfsktO0D3LKimABuFROmepyPUWJK
lC/Bdb8OHNrAJXjh1epeWDUHmdLGh3UykWVH2+obZMV+ESfx/ExR7h+DuApeByjQX3x8JMk8hxcH
yf8LPDf01oHkPyo7Y9VR8xkC5flOGX+tMjoPfoB1sN2x2pOoaIK4O+I8mHq0GToqKIE4BZ++WcZw
+tAA7CioQ6MywlO8ZY4Hw3uPtvFjw6O4y2Og+mel+gBUGJSWMoq+rAbo/1RKBTxoesUBJTtbgAOH
i+kFHe3QqYcp1kOcvJsbPmKX15Tu2qRphP8ZIgG3Nt0IrgGE4/AuXiGlWY9LCK9GWESD72Z+9g3v
mu0MIfc6P1fCLcmXpI8HeWoG2s1xXsWTP3sFtUm8TNi8JNQs4LSgj2hYIFK/gPAu2FA2Un8V+STT
yXdnszqgmFkauuQQx/1CP6V9P2NTGZVsXYt9LOF+UqDOg06h8Na0riFoiaGxghwZZTxUVSu80Fg0
kLHHCaSgXA1f/dFbiS5AaEKoV2q1rJKDsRS1hFpI1dUuIsccHEGD1E29+eO9jeiMFkZELp2m9wNd
KtsUIGIp+j5YhoRrLk0zaDMUeklpGpS+ioweX43cbLBm+BYl1nwZYpRk2aY4doZTBZtkw3Ig1vuT
xGnts/bIa2fJ+MF49RYmmaioxN9BC09Sd+3NGg3zdbPqqk1z5zNK7OEf6LmfDSIg/2CgZvDK7rFf
LE1+dRv1PnqOxin2xW/gIvmD9Q5TmYB+mqKuhtpzobbvcr+Lp5BkZGphRMpa8Cg6n6PekefmO9H1
9/f1M9uL20LiQgq7KgP/ChX47sH/USEhkhXWpFqQNzmo3dvU/S786CRrMRG9AXTZPxCVP3Py+xVh
48bb2L3DoHz3iIEfrwjQkM4+/BJfu9+vaH9X1URJP4Ga14THBiI46zsPlg/RgKz8fSj+yE/4g+H+
PQfgy6DgrKn5H0lxf/72v5+GDv9/DzD73z/8rz227l+f+O/bfyXU/e1PHb8OexiC/vWH9rv587tw
M3/c3Z6h8NNv/hLn8H8ENvwcpvJ3aQ4/pYz8mOZACMPo/ikF+EucA0yF/dcvs/hi5r9+7I80BwQz
kJ0/TzFXUBzR3a7/e5qDR6LfCMSrPshnGgfo2iDG+SPOAbleO88ewqINJQaMUrgP0Ml7ogPyWBgU
1AlFBMQuHGHBf5LoEH+fPT9w4Hu2HhLEfPjo4DH24Z75eXYl4Qr76SDsCZl8QRHCbF7yrWd5Ms8v
aypfqW8b8AjbXPboBHPZpDpzbpVXNJAq92f6RC2VVx4U57fOtDeW7qibl17CcYoy9NB9RhoL5Hgv
Z9EkbYc46vxirOGZARvKDop5ImepYTlh4b2qrF/gwAIcEVNZBiNajTrANUF82LwJelzTH/2ikfrF
tuzJJGLAFjyE6LKa19RTftHC5oVOeAP2ZMl0VnZ6CShX+ZbYCChx4pVQNL7Hyf8AU9WrnXD5NFEv
7YB8vXpGjwtNQE7S8D7gVGdhj+eBrQgw9zS+pEEDr8JE+mzx8HjIxQCVCRigsB45TxM9Q88zl5XG
q7GsKuu5gzOokd9C6bksTfEqBzrpwh/xpXDcRVks62c8Al6DT8+d0LqoJvyU9XEPVsVeyQFuwTkb
DqcmntRhgFC5SMcUfyvj+4Waudw/2cTo/gVD07yFaZ9BeagzBcq0TOZgu6+H9p6trS1bjUu2KBmu
k3jE7S9RWJoRNxSpVBb+Vj9D8wQkixhasKH/tvbjcBqjCfhotcpikWtYZ6ytv1StF+A9sCcEB85l
1Lcq1z7q8v3gPcQzpdBE2zCfGqafAG5K4O8puBev3Q7o6LbTQvH2Io2LLgk508B7+j5JxLjSYo1H
XSiCeRCs0X1nKc5gn4ELDWweSvwCROXeCtxU3cj4HHkTOwQNOqEBRMYVYXNYWrXPohk/i27vInQg
YebRYUksb/K0Svf2FRPLtJ3KuyS5YD5/cwxlaQj9Q9Yu4hV6GIz9ht81VeIymHn7Ypkp+js74DMd
3pIOFC1gN9puQd+yfNLTy/fx7moU9bbFtILwcTvUHFMGJwWGfkTDYFLaXvlB/Q2LHLM6xc9SjtlJ
CabKsK+FepzX5xae+SylABYC3AhWHs2skuICqPtMYvK0bhj5ZcQ6gZ+1uloge7/lBKuDEf1CAK7n
KdR6WHCYTBSr8fvL6BUWxeLhR5XsXqHKDcsK6P9VG0JiHVeYtK3U1dXas+ABBb/K4SoEkzCtNo9m
paDrDcNykoNfdFOMV+pb3EPN9TXVnjvWaRjcRGMF/+y8haUEbQeDZQS+qunR5Q6YZT3+0i29vKUh
Fio6GbCPlrelXOu29LFO/NaKe8uTy/flFTXbdvIh6UZV3cL0NFC3i5+HzO8w3DFn8qrmfn90fiRL
QJhYhpIO+fex9To8vlf1NymsANhCMAV6gG05iEyFxg/jB13rdhjUxI66jmUJQwg7QLHSFkAVVP59
AuwzHEv8XsQb+MUV2xhDH1nGG9tO34d5hjAP6wDTyAGpLG0TVJ+VSLxTwvGom4drob/3TjCdYPdC
wwz9G4YgkN9qpDaA5Mfq8T2s5g6WrTzsg+rKn0x/QwTwpsQlR7o0r14t1syDTPmmkqEsoW8Vudl8
71QnWKfDlgQ3K+HsQFJMsh5ZCzcecK1867F9oW//DJqSZsHWAwOLj4y3kFh4Dl8WLDaPdZTmZPYj
MAmJzpD0MJ0XmCAL0qObdaLzT/6QRFD51tgU6wCb24Kh84hkx8qE9zxi9LgF/XpUMzYTFVubJyMe
G1YUAYd4gFVE1HDqKHawjqD/+b43hcyF5fdFC4Dewj/vPeG7+R3Ce/xiSuL7cG3WY1p5NEtmwJay
WTCZRqcg/QVjJwe0Onz0+xuXxu5iiPyGyBW8mhUr4Pu7TlkiC9nhK8FFskPcp7KM3awLjybYAuME
kAmCA+7CYOsKQHLtkVbjt5HgjzvTlFj0KoP2wV3FXisO8Ah8oRBalMj9gOZrJO+7IR5K6fE7bzEX
MsxNFi20vlqFq5vMa3UbFIDGID2Ry4BUDuelpoADGKk2u3cDARZxWjIaaDgKtql5DZvBFYFqWJID
VnxKapAWmi6quV2BNl4J+DhpBq4BwDZ4g9iUe0eR8UHMd8gtSas6S4O2JocJSGuTrxKiF7eySZdb
zFUACeboXanKfAa0OLxpZr/Ewh9MVkdOfqNj5G0pdgn0nTkWxnICZDAcgEs7pkAgIqhGNaA6uya2
XlHjKCrgfK5u2TJs3qGN+kVfJJy95NyzWHcnOKFm72WFFCXnprbtTcVZNGfT1AZpPq5AOC6JTcMV
jqC+8h56+B6uOEmffijF/o0qc6/Df6lr4hQSyTQlu6D3V/Vwy2AEgFnEnIhYVwj8+DchcbhEPX0y
0xBhWmHVxQIz/e+vu2t2/3Jd8JAQiFGfoHn5uZ5iaxyubFbmFCzfNzuswUjIt37xZOaU/Pb3V/u5
G0GJSCDT3jXpSBoFmv2rXndbYL4UW29O7YoJslcCTFZeCZ+q//tz/X8T8G8jEn+Pw9tDzxKks/4w
Jn9tAv6Su/y/n/qjBwiC+LcgQiyAv8cb7Xmvf/YASIj9LfZRd6PD/56rgS74hx4ggMCUQuOLcC5I
fv/sASLkwEX4QkJ9Cqn2f9gD/BIyA0weOWEhnDDQ2fvILYj3SfaD6H+GQ1iNxrgL6kFEPC2A6bIh
gh8zl2Sx96mXrFeNs70sfV/OH+chts8y1g7mEtaPH354e/9m3QY/t7vf7yZGatneaPtogdIdF/jh
buJ+VZJxY9FA9MGllltfZYYMYBudxVGQ2SU2H4lVnsimjs5jDscFcCq4N0kMaI/0b2ye/Xf4Dg7U
vW2DZ5T8NDiuaVJ9DWAedf+AVITxz0t+f3/7IoRrADYZn/7aQsUCvCncTfMF9ui6LlKYvJ9tDEjr
MJN1SJCT5IKmEAQrdCMpcNtV+tGxA0gYgK8e5jfutA5y4amkgE5mAFXTcR9CvimR8E0ODb+TBrIX
sC+6QD/J3ms+XsMQnrgSoXfprZi47Y5/Pw5/HQYAHT5aLnQ6ATrX/aF/GAayemBXVKsvSEFi74ca
nS2alRBTQ6ERvFvcxB5VFbQvf3/ZXzY0iNsJ9O0ELSnmIn7Zb+uHy4KJr2Ol6/7S0y24wO5qLlAX
w0Bc8fd/f6VfDojvV2Lod3fzCAIT6C/zTPWwS40Q/lygJY0/I+9gao/VTNcwk4qX/ggnZh75K+pJ
qASX7p8mzX4O/HBO7Cp+dN0JcvoQsI7d4ZfLQ20vgOlATkZGmSA3yySfJbL32yM82LoEOzFkq4+h
Py7tuEApKAfyFfQm7PM4YlD2gKBELdtAetRA/vsMSUsYFZyu61flWVX4HjRReQJ94HRKonQz/wBK
BX8dKDgrsG3AE4CcD8BTPw+Un5qkT5LKuw1M1X0WQPXrLPDk3MdZtCKa6GrhQr7WlEEIuo1wJgJx
FDk4EvJtJts25CuvCfDhxn4V8LO92URxcvX3QwzDyq9vGZEgmEQpuF4kOSRkj834YTqlExU+zKnR
bRPDxMRoMTO+HfewBnaYrTFw043+ve3WxCDyjxOw6v1Rh5M6trFCTFQ7dg8K0ZQO1eJSf1iabjiv
GqivSkb1DBEfLSrY7XIzNI1A7koE3qZqdH9ZlKfB8oAQqOuAoSTcoOPPQ8u7E8Re7UPY1Hc1xHsu
aw0ZL3M1Ps1h50VFatFiB2INsTfEZtsyf6HNTcsT+rHyIS3hKQ1uNmCzLF98Dogdk06cPTqBuVlW
uhXBknjF1rgvSkMoaeD1A63VzeRQ6dGcEXUYPo0cIZ7HiniByDYuq1f0IVCLin70PpkOIl8FbcgZ
ZlZ1DkbWvgmrUqz7qJOPglWOZBbA9tVUTSZf8R5ANYTsHcRMrgSgPh6CwAXAGgBfQU24IMkgtyGv
yk5HEyQb7B2vAOYU8GTOJxw14ZLDkY36cybti+t8fh1OTD0moMuPhjVeiJK/2z7TdJhK7TvgC2jy
6oMHxP8zdD/LN/gzVIKmb/YNAJnQ1gc3NwMWx7KUa20NPUxDxYt2jrpTjx+Fgy2eBrxoyHuzRjeN
B9J2AYA8JG7L4rmt0O16fQc2WZb17nW6X6IgLoSeIOVvMJPmQzQvTB9dRNxNCnazreDQGueuyyAV
gxLvjVc8DLePevHczmwyNFdy+BKuXTNHE4QWxij/MssZNTaY83E7wtsxVxDJC+ikm7AdHn1Eu52b
NYpMbjAGFdRi/t60cggvi76qcB7OrVzGEmFotZ9P7RxU79ASpZA9y5UsvFhdy+abVKMvQ7hlNQR6
QduYeIfU4031zmLppHU+UgVSMoiQ5XboWzGxDIwA+ODSoTPLvYoFDGRFBYMpnDAV7OecIZbwsLSk
7UpdoSo4JH3dbTndEuyYfSghOe745LXQUqN5uQNVD+PmUAv6zTMWjW3hD+EMZwA19JJAnlhd9RGZ
SdLkvdPjtp60j90NSrqaE3hvtd3GA1qZXhzWNu3Wk681+m0Aly06Upes7XFC8oYHDDEOP3iq24IC
WhWJtk52vvcO2i0PCMrc9x8a4DbdOZrYDMgBrs4HgCgRlL/g+YNrvnANXI/wkM9HgHCqf8RhHF2B
dgnlwSjcQTnMAM9KGrgNbEmzquW2oxD3lx6WygTbSGCuJuC2bVFXUW32HhrDKYhGfdIjmHX7CgaM
pRB3zRC+IYOIj+fAF/EJfIJMAW4BEyjEIKpiM5UEZbdMiiGkZGniPIKzdANL2mzetV+18SFQFeTN
6PuJKgMkKw5nLoKlLiWLOTLP8HNZwMCtYvrUcNy5RUCRAjGV92kCmbjCDo91FF6ACwg4eaiNvehp
bZfQXFLF1qHoQbrdJqbHkVSDWMEHGBQ+0QGJMUH/ETKtnl+NAE3cQS/JJq4RWjU/xeBqPieuglqD
Ar2L4J53sKXpdBO4edhOYFaKkNaVg7cqBRJTPrbLgsqiqRv7CE5peVUTjyDbWuqqpIiAhYCUVvie
pB2QmdNPNrhAGBfF93pOgqdghvwpW1LE8uQzkkZciXyGRpwm6Auh8yXAbt4Jj7D3vT/uk7NpRn0k
reb6zq2AKXN/XDA2fOlxYwME4cE1TjD2HswfZneHXXIqaMDccJ41q8K7ZoLk/yGkaHTPLm4Wczu7
eS8++eruEumlrhyWDpcehm2Dcins5g2qdbI//H7rC/Yn3BdY70uc9HgKM8Jen3E5yC1n0mLpqLaW
4r5HoAwUnQZVQY2/w54azj1/NwbxCiI2UtzHcCOyytx2wJh0JnwzQsMIc29UrnaEyQe/h+IWT4QN
BAquvU6e++49NF3sCjZOQQE7JhLzAtLYz0sPgVLmpmZ9iGbn6+saZW5zPSiYCx8pTouj7v3gMrJ6
/IiIwHTccz9EeDXQmplrZECCUF8nMkJ5CffoUYV4rbuueP0iW5ncOaOhORkRISs/LGlX6xO0nN03
ZE7se4gYW16gD6BRKWCV0QeFnM0Pnl91h25RNRCZGNvcOi38QcCSdQ1gokmKJJxCmOHbJMZxxEP2
fkLWaF22YY9lsnlVxM5xPwTj1w4b8gq2AlOqhAwfc6RJoP46QA9mSxwyy3gdTCZMgRu1s8VJG1kf
pffYfJoYPE7eijL9amPzFLzBc7NqJE0HxELSDwS5dF2wOzUWWBbPCsOy5B7YZGQ7WTvfupVA6WT1
mFGiT3EHxvW0LbsDC2JZvR1VK4fhtk9dfOPNUBOVfOw7e10jnIjnNNEdf0Ilot98mOtgwyJC20xy
vUDDslg64hRYx8cW6mPxEgxbRG0Gp4Bcn4HEeQxfBndCyRENVV95lVpeee17FoEwQN3PApTVvdNe
tR0nCHxFKTaDSSrCuYnunGy35NKlalcRA0lPb+OAwx61orrRJfBTjNpCe7HLHUmHvUPrtgxc5KbC
tnALHDfkeuFWY1eTYq2gkMorBc3uB+g6gqeGT5hrOOnYe8z1Tt/1rEf0sAkVQyRGx6G+duYjMo8A
+GdSWvKcQGa8gCio5xg+kBbJbGOFrFYc7pjRpRIRRhONw+puRDTL4YZMikd3kMy36RkBZBDDCee8
+lZOnlqKTkN7mKEaM/Nt21a4/wkhIwfNqeTw5Pn+eR1jrPsVyJJA7iMnt9+r0v9HUv4BSQliEqD+
/r/51PPbZ/7nv1yxoyh/fOJPGCX4DSZ5/BegMwUHj5bpDyoVK+63MIqCBIUmtPHoVf4FouBfQUBD
DF4z3SMcEGD/J4gSB78xhtbdD3Ei74179J8QqQBffmk19m8AjoOMZBSDaOh+Af5kUI0gZ6r0kvDY
Q1xM78Zr6MjWsAT6sCZkT2jtZNRfQS6Rto+IgE/YK1L7v3Ig+I8xMsiSHPbfJ3SL7oMknrhOsFlB
tIbkngpNd0q7jG2aIRYfCsj5wWsRYQrzzrKMz34/Vl6GaqONumvJhD5a2zYNkgo5tIHL2NKDgDjs
jFjtKCeNGfNuDeqi79oYdTiFG1EEoHYaZu6lwlaH1NOlumkjpW60QbG2pna8gkN0ecO5/ynuZvoW
Q6mFw3sgR18J9WnqpJ/HSZeeYaP6HEFSieelfG0yEk78elu5O/mwo0GjQr1L33iVg6PWHjgiIKYq
n1hYW0jJlAk6e0g0ZLRZCOLoncd5+AEAyk1sIlUEwoFohBH2YdVQc81m7CHW8T+0CGx7dvDfvnO9
288f9sE5+DOsD/d1ZLv7uPHGE3QS4WWCp+tsIDfK4QwTN52F0BB2G3ELE+tnNo9oBFWvygSE6PUI
VcexHTz7qiWpzgjgig6yD1qcKWIqt4YGXxGtg/4GXuDhxELx1ZhwKhm05y9JQKFhrUUDDRsq7Hzs
WvopDI0sE4L4RUeHD53oPiA9QdwiWxh9Hl/sxwrqvBI6aghLpUD/rkiHkhQ+N9DFnYVVLhKseySb
i9Os8rk67zPyebQ6PeCfZBCQR5kWPv3QjCLjhMy4e3gYe89auOdslK6Fat1i/oe9M1uOG8my7Q9d
pGFyDI83gBgZZHAmxRcYJYqY58EB//pekZV1W6J0Ret6brMqs8wqKRCBwXH8nL3XRjVnxLd2buTX
CKjUKZKJHiTKbo+JZVItM30SHMWq16Qk2VuojxiV2Z2md8yGiiNRDcsRzqR1acIR3ThJJK/Z+HWb
qu9R6Ht2Ua0M3QKbnWvNu49xk1GDtI0tJDp57FSU7mZR9cch8lS9mh0ZgzwstKBgdwbIdkAqv4yN
e2E0flKzq3Z1KqdFXzmdr3AHVKZeBQDxQA96/fhozcsosXUj2STwoF3QI7lIPvHLY5wxRZBjbGf4
Wpr+xVSWc4Z+0x6Rx7d1t/ElL42WL+W2TnNANdo/xEz3y9VEq+u9HlW9xhDvM0TInWMnCCxQcC0s
BP9s6aPYWVmdRncGq0EZWBQAGzfT/ad0wlw7de5FE1XpNRu2ZFPEQv86MaTZ4GV1vuGZUQfYb1MS
OFPibGWnCaR2g3ymY2Nda3nkhrrrQZ+i5RkHVS6Xi1pq9hB4XlQfPDZ9TUgRlayX0VTXrqB6UGdV
suPM4MVmy9z3Zt7dFjqqaK+Q46MAgnyTphVu3izKNSbScXqhNdaCC9j3Sjqn/CSaNB5AMtpMQenK
dqW6aVmjpMhomUDkT6WnHhD4Mw9HVb1JhO7hlIas1A12dAl3srsG7BRCneruU6rhW0zMu66y1EmO
Ou6VGSfbyGON1cSc92lUyp0Hk/M6K01sytLoUYg03nKH2aW5LPvJvDdN6rBUN1qyQHL6wLKTe+xY
SbSvmOzfzVkLZLXGXjc3+mXpamu9quVNjLLwuGRNFrB46lc9RoKgFhWK6zK1WBRaP4wtqe9Va+A6
Fs5VY7fVnt6UuccV4axSLNPBXEHWP19kVPK0D4BA32su0KrVYlrDnfKT5XupN8hKNHfZoUm0bwgY
OVcTBjYk4LgJelmRb+GNN2EasZDrphpgEY/zQ1Xo9qZtqjgA8eBc6nOlEbfBQuTDoguj3Pe+IGVM
dmwwwdWzjV939rBoYcYO6QsvQbUj80f7bmQtIQAysYLFscd3YJY124q0vu1bxwgapORQhvVXkPVI
EY2iCE3K0q039VoX4HNNvpgqBmReFrd9XY+HxHeqwOq65sIs4uGaKIZ6I2dPXetG6p96HADtahgj
tbYRT29Lu6adh8w8pAk2hSMytO80tKa1dOdvGPymIGfNhKOYywSQpdCOiWa3q7oR8qmZmQ3bRqNu
HWTXKPpr5wv4QZ4Ny2lCtIzF3kjz+bJKRo0FK5YrKVL7JS8mxBIu80MjqirU7rXxKrG8h/OgHiIM
MIEpF3PHcLEpGXHjSktTYw4bXSGt8YtblIF7qgcQRh1w8zWgRC5whcw7dNPpRjZ5/KTNogyyseyB
8FQJMLZ+qVZaG8tHPXbaA2xt9xAjJvpbd+zvWDe1oB/0Y0+35lap8XqMMeO3hV5cQLvHxMO9dw8F
sjxEmK55JNIt4gpECSpO9r6n3eaLz60m4SisLCuKAxsE4S6dnXEDr7xY99aIwNGLjlne5FsMGOM+
0jOPboKOMr4p7T0PVLIZyxqB6ID8x5wLzMpeVB5j0bF8y0i+JqnebDXq+As19e434NTF165vtCvR
dzdYU8Sd8uwHrC3Mcf2oPeLDR8w0YBD1MOutW+FOD2xGRjgX5St+72GfZG68afO0xg2+QLBTheuA
7I17IF8RiuU0tm9p4tfXqmUM7/Hmmmic3RhxY37RZCWPPm/lZGUZ0fRkpKm2K9QkjmWTZgd8ExuG
T21A6/6UO/bjrEl7pXtlsQaaGcHemop7iP3NdgT6eWq8AdJt31gbvY2+ezlYaYCOydbrmV3T0Sl2
fV2oY2Lb8qJhnPI8+X2KBnuqQQYUbQgES72LtrhPygr7a565d3nEVxiMfAj4frCBM+tyYlVdg1h9
iXpbWzH7T05ZUx8LqS2XM277JTLsh6LNq0ObWfba1rppy1DG36RzHr2AdJu3dL+7FxiKzoots7+u
J3Pa48kbN4XTv0iDdQVzs7GJ5XnjFJfrYkxetRFzVrfg9nO9TB18f1m5eVyg6b9gIGYzkKlLDOdF
HQeJp9dBorvFQ6Y51R1FVX5RtR6vemFE7iqVuZed6nowtvCQm6sitjelYzVbb9a7S9wV8NZmoW3x
pZUbPTHjowvQed2Z2biLoyxliCUz57oVzbzHP2xsUI2zRcoAyEhbviCFyoKaeVWzpZ2jTg2m1iAX
nXGoEY5vhCfn19GLvGJFg48iBQqHWOVsXTEjstsKRa3mbxWqpRcHrZFOmftaxn4U8kXey7FsNxm+
b0YG8Idov+se5t4c+YtCmx0wPymzlWHn1WUDnCSwcqQVcipJmtDs+C0aOiC5gLp5pTndsCIXZr7N
8+xE3RsMqV5spOmojR41vEHxZB8U6wBGS6rNxPP0XWRp+jthOgJEMbkBIzErIQa3GJBp2a0oPehK
F/mNcBXysR4DzkUU4XhtKzPb61zqF/qu8c6co2jtViOtmnjp80PXj30QJ1ofthLDKPbMyH1uE/0s
ZRtd5NZKBz/CC4mefpxdGXIwvs3gdU5qnlkQJrMILMRAm6hSRWXceXM0ZlEYTcA3vqVjOQF/LCsY
uffujO0OQ6qAknuBscqv7+UycdYYO8JOXlZ+RaW8yjrHUFYMFgLHcyXP/RUf20PIkKYKNShsw2qK
l/k7c4DkTfp8Q2oE8czfqV8YFEabxZyafbREc7fCBjOHOmzoA0bP9rJt+NM16TF4MVLyEZZuwxG1
y9z323CMMWKnrmjqVdzM1VsX6cZlnc7enqkkdmeJKvbKHZ17hUZu1XbCebMxrkb0mVRzEQlfrgXM
2NvurPbKnLI7aGVT3ugySULHqpeYOA857uxi8M6rASTqtjbD2qaEMWVfruI4zXc49jHEQTm60Kve
PnR6RwlA+N7aI20sFM6CFM8lKOtCJ7PmYU4n+wlFIarAPm0AD/SGxnxOx2WPGzS7lcAEcQEPyxdA
2qc48ziteuHPd7P043CCMBCBLFWADjCDBtmA5BOfzHmYDjtgRN7TeCePtzAi0JmBTdYb1Mh9U5WH
ucyy+9grGMFTerJn6qerpVLxXSlUv0GG257h7dlW8wd2X8IskystmnCY1NU8rR1GDns8Ou1dFJX6
QJ+ZPzoqX2BU6arbIYYWQC+pfeySznhG29g+V3X8GEF/PdoIARkVVWjOLLPBREgsDibSSb9woVbe
TQywoSYBI3Ivxzmxb6qkfXVVV+DNV+DQVlqiMyCQOq/9VMX2GTOMaycvluIp05vsAbtTtPVMn4HR
gh1uy1ZoeMi7Ub5NGqyLxrTji76MG8CmcbXJuoyHcO7wm3QOTqcVWw9qHXj2ZhglQn6FpKFT8WsI
2rp6Xq5b99zbqfwive1in0qsVbiApwxhYe9pxtp0lb+XuZ3uE6Wyo0imdF9aKEeJO2IDOzvcTLr2
tfBq9YDc6mwDMRx+nLWwaOgiX55ylgqTOx9Qu8pcddKWWoXF2ERbQkeKW+Z8SI8U91Wn7GFltHp8
iMBaBkBgtCBN/XpXZRFgfLZlwOKrcyFriO4IfrRgLIevhBUsXvsQA5jm9SkOmOd6QPR5MvKst9C9
OWzGWgTL+mqqaWUFRND1ulzRElFvGu4jeW34WrZzkrrkAydteRqquZnvlYSAbq+0gQ3vcD3qPaFp
63F0Ee2hTuxmecEpAXGyqeM2cQKrN+oxX/2f0p76xMZ4ecUochtpbntPFM78yYje+Di+9c7SGAQz
LlUZ3Z2P8UdNO8ussAx5haBJhOC/E7inCCPmkokno9f4xSyt7ZSZBysXG0icG5EYa88FfDCqNf6r
NT91S9ZXiOrsE4HExwH439/NMXXjrP1AoPNBIFEapProkSmvmqa7chtqxWiXTp/wOH93ENJbzkof
29fdjydAZAM2H9AlV6kJO5b/OqC2Krf+lxrhf1uSn7Uk6UJgyPj/tyQ3SC7St9cf7R1k1Zz/zj9N
SU//i3/VBahSCi5u1P9uSnruX+hmHPRjyCTOEbn/3ZYkglrXDZJZLT6MSAqLm4c32dnfgSBMsM3B
9MGo1jHRqf6P2pI/NyWxUFni3DAFVMw/6mf3yY/6h5h+tvKaetzReYoH5N0+E1z4av65n+YjDxZd
dcwdcPyhnyD4/eFc/UbL9eHuFWdXCZYXzg89WbRv58f7B/UFHAYFVm8etnI0p7W7lA5Vk1mEC9DC
3X9wKN9juSCkilP34VCdlU2GUYphaxsdyEDTADHfJ80a4U37H/wqTqVvOWh4MOg4P/8qZYACXmyb
3to8p2gAVBt2A3CvYXY/S947i2h+EAn9fQKJtNFt3eKmEB/NZgjexrwQnEA/jVC+LSaDwdF5nycn
jKsoo4qzALBGUR6gYao/C5X57cHRuZ/vYqb8H37nMCeAR5phwNRGtxFCd7KugAf8z+ip/ERSvGhz
Q8lyTCx1H47Sx57VT200bjvY81CczQoOgZhbd1pnTYlm5s/3yYcu/d+HQ0pJ0//MZHU+mulEO5kW
HcZxGy8O1Ly8+w54+N2LeS3C/r1w4Ah8opQ6vwd+vobQmOmDItZlLqA7H+YCUYJ23bPAAGb04gIY
+gUXy6/Xf/5d59P0y1GYfuC01JG6W+dH8YdHzR4jKHNtPm4tmo8rS9OOvDJPC1192qGl+OQ3/e4s
mj8c7cNFQ8wKZ48oKZpJ0lidWxvxVCKKokuBh4UKq8vzr3/+gR8Cw8TfV459FilHiCm5IT8sZUsC
M1NKHjsjceyTXdvFYwy3bw8MxdvB9szDsb11p8UL2sLu35xB9w7wYXZj3J3bFP60HmdTrjrpNt/m
2dL2NM38lRkN7d0Zwwn8Jg6MvFWfLEzGb64/pk0XC6DAMPrLHef1sWPWA49RKvE6r2xN5i4OOjGt
gTmeAfJAExtyEEKLs7c2i9l+0ZU741vwmisXcW4QN7F/Yjwef/IsiN9+Ndbn8xNOcM/HEibzSVJE
tTPQ3U0AByQipGkBdclzhjUxNz17HQs+mHRAzdFFYXRVZd0RFdCUh+U8TNjUKroVPfQbSkzaOQ17
0IoatDLj5SIeze6KvbW2V5ggwhbnTIhLmpAobDWPI3qUxwECVeAjbQk6W3M3dE1TWJOdtx7r+TDk
HXGGWjEGAxs9crYI97PzB+bC9KnsxVotlso3nTXSCdOGU+27atemLnxNG5vJHBXRUYfb8qR17bTN
qlw7xwe854t1O2ChBhcR5zuyjocTn1xt/ny3/vqAMG6kMOCp5x3sfgwaBpMjRiHPF71nE5aPCQpW
nabmfD+qqKHABqj6HxwRsQOwKuGe15ufFwC/myeYUfmw7aIIcoa9Loz4m1/Zx85CuoUo4fnPx/v1
3U5ZzmoDc/UMTf8oeu5jfyLpdRy22QIDzZxsuY9BgKw9s/ssUO/X29QTCMFN8jx8HenW+f//YW2L
RzFlEp30lnQmcVFrrbGv5eh+cgJ/exQmxJQpyJg4hz8fBe67Vg5kTWw1/P4dHRlf2yGd8q7/fN4+
qu1Zx/g1Ht0lqkXoI+LDcXJkWAYKK9SDs0EryegZoM0lsnEmmsgNemKsLG58vCXxofOeULlsa4aB
ny1LTN4/vDDwIVgOTGEQ+zgUPryW2rYG6Di5EIXnwsVJ6BcbdGbDxpZD6uF+U/beqMDadXr9vail
e0sku9wyxZouCci1DugZP82E/O13QvnsMUP3f93uxbamwQix+i30jWqvd2Lt64z2VDW0V1HfjEHi
js2XAqFVQOjEchrPKAPSo2HRe1WN3K74TmrKdJXTgFJKvoyoR4M2HZq7hcSpVTOkYicYsRyqBT6l
PnxWXJi//QE+qc2ga7B7WB9E3ZBc/XLxJCc1WW4ZJDabUdrxQ8IqFjStm4VRb+iM1pyBN1ZXHpDt
vXqpe094hr+nWxAFgIemNeou/6ZWbn3v2eq7EhHRjx7dZNRQCybcTONdMRRkbMGq+eTuPF/2n+sI
bosffsGHu1MOoKTieum3i5bRo1B+dRgEI8VM08Mh7VjkR4CDWabv6a5NQX+eMv35K1i/P4keG38e
RsP9+Lh7C2sJeuz+DPQb6DIVnvhKWXXt2n1F21F/q4tpfnLJGf6GM2AYpzgADJyEkITx3cb9xtT7
OuwchGEQVmWJAmFszg1yfTsLPMp2Fhvfl8owWCrdOxfrqCA7MnQ0/wn+FuTXSehHTRjFTtX1Kz7k
O2fhQDHcyqBB9is+Oee/lm4AoGgjgPIX56DnD6dcmB5RPhilt21WPFXR1p2yItQUxEGEIdYndeJv
lm0UL4KdJ+Gc1Iof9km0qh3MfUa/beLq3cdWwVsbi7CNovWTI50/6cOdxJHOphibDon+sbAHzsQI
PxLcSV18D+gwfiI7koFgubCbIGYWcZnuaN6BYN3PAgt+8/Z1dJv4Fws706+BBUNMJzDKoKWP7oKk
wrue3facyvheuMNXtrxO+Odb9u/a85ffKkwMmyBWSE35cAmBzvVzmnLLsg2vbkeLumeJrHCpGIMS
2vodLeN9nRZzGC8NxY2NgXfq444Rv/rk6fntzUQUN28WMg1+wTmk4zDRvuT5lV49hHrDXM5GjE76
E0MikWTvf/7lv3lpOqixzxgK9t6/9KccIPdxOc5c5KXDAU7qeKCY5H6yR/zt+TXoZHAncXpt70MF
QA88ruG191v2yATdTTMYugpijRN52l7iKwhitLMhsYzFWkZoMegGFCjYtQsFOuuT5/XXTTmGIXaF
bMrpy4mPz6tcRqGIFuHLID1a42JBPNgpuMVLHMQl4MemL6tt4g7mqs5H/ZPH6qPx5lw/sC46nGzq
dkyFH+61AQ6raVV6t10MO/nauGflCFC54dSnhsAD4tTQu6HI6oBaF3gCq8lpCxHqWQO3v2zdJA8Y
W8rLKbFwE5vDMBoB6P7+7c93xm8WGggGZCXx6FPnfMT3JJqXLqJy2q0zR91mtBHb2n3rr6nl009O
yW8OhVzVdmmQ0obj7PxcuaWZ0Tct6uPtoKLy3bYW90ZVCdM5zdH/g59FDUoYlHNuqf2yqiENU0Pj
2e1WmGl3A7zc2dSLG10QhEkX8f81Gq//tXr8GCvzm0WMI9EWoUREZPWxU2GqKM7qkSOllh6H0VA1
d2VMegRvN8Ric2kz/UXM8+eD/vZUsr8mM5zUcNSRP5/KONahsCei3SIcB7QhZrli2GCGnW72nxwK
YNKvbwgqDd33SY7yLFasnw/mQQ8dY2Vwi9idToD8shA4kCa2VCGq+KoInK43Q4eavICENkltw85x
nNcKS0F5U3qChyu16DHuo34pHs1mQkjeEUNKHEABDneFqyp5rfFDXeYM5XpQHAXu/J4wU3Cf/CS0
kE7NHMGfhDQ2EkficiG0xN+miNnVGu8cYNc4T4x7B5WVERb2LMwNGbOzs7ZgkJrPPjzf8rtDpgse
m4YdTHIxJ3Dxz9C4Lnnoi9pY9kxofXj4qVGSlqY3xqFkiqtt+zGf+itRYoC/tMGGRjdOj6tiw79r
Euk7YHsQJbafM5vHGhBfem4l3HCEO0zGIpqFuwmed3ToKq3eMe/HJ7vEnQmJN0kfS1CNQDVHDHZ7
IuJiACMjUY2bJU+XeI1+r+qO2cR2EviNj8xo2/fSz0Mk6ssMfxDDz0WpoZSm71A2ZtiU4lxcpaCK
Xl105QgRomEO0I3U3V0j8FhskeZny7WM3OkOfHc3rOGv++4t4dce+Ohlisc9Rey8aT3UPwAZYixl
dhMrFaAP9LcVHJ56XUTn9h/RLn4OLVd4DyDgimAuytoKekjnBjlTaARLb7yhz7sZcQ0+AVsungvN
028HkkxXUZnNO23JirXV+qexWDZV229m4Ci3RF2sJoKM15iK061p55JUqrzcxON0sKZFwjvpXzNE
JytUNVE4ZrO1wfPyZluaXE9o//kOnbt1eqmvfTt1trbPbJaKWZEM4DOitJv5qzsgVrdHlK+VO72q
1hG7ycJYNs1I7dLiEcXm2tGc9lr4ZbcmeiC9zknSCkY9NS6QuSSXONcKkhEwFPZp9DgrS2yFZiDe
YwSO0STaR76dB3OWjxQVvRsUvCXCvnfVDSS6fTswYUwVxL9U5SeIwMiL7O6QzzPJO3qOOmgg2zMD
6Iy9OyfJyEoggafedeTZt7hJZpR4CBaZ+qlg0YYxjExm9IrS9RaUfPMCVUQ/VokLqGdonXDWh+7d
0doq0AZ8px4N661b12LfFQjvXeJF9wTlIkdciOWjSXEwMWBDMDM2uVieS3wrz1Ua7VAw3qXj8ox3
qFozKKZRN0bPJRhqptJ56e2n0a02k0YOCxa2eyRy0aGPLEKH4toDHYMshzhV7HuZDwSUfcMt4bzT
dRt33m0/zrwXLfSmC1KYYsbutGikp7Sy2XnWkO4IccQaWHrTu90jPF5SCbE6zKd0UAvWzrZC5rCi
0uwwJdWpTzZDTVjuyuTmeSpN3ULK3LKP4GXKIpHFo/zScO6vyIdPaY/A6PFyAyphvGAUG2q4q8q7
4B9qhFqc7kiYYumP3iJj2X8BUO32YKPNyJZ5qPCifmEEvtGzGJuehrGm2bqaWX+bEZw0OysvzDEs
vQ4A81KDEzhqmgOMJHe9DjXHMgntrDzTe5q0Lb6ojjO1GvKqCBWqrPuErv61WWTmfVRWebpH49Ot
UX60KE5MZr7pJGE6tjTjkrTXvzp6RD1Jf7dZuwqJW8NL9tvQe7HDBBrqbYZMzzrOc+/c2VMevfs0
98eAKgBZ5N9gL7V48wNzpvK9azo4VUvZGy84xDoIrY04+ZXZfMGyJkMcWst2oGK59xY7+zKhg+Nm
LLBXDWZ7UDX76XSu7D326v6JLhxjkKxP1NnTy52QWH77TF55+41MknyTz1r77LaQa0kWGYq9hWdr
k2JLeRI1DjaMn1KGTiTKIRxVz8NRmBqyYR3EUew4IsgouPY4tfIQMSdy/oTYbKTGxlTuYKHz5wfY
x49tJM/eQJEa3spHEpOSFQBqGVqVb+0bopfO96AmD7GfJXd6mRQrBFMj7lZOp/aIo4yf6J7RBxex
qfiqTj49TuY8ykuix+NT6rWwfnRoUzV4raOd2Hyq1aRbW0+du2kwhVpRibQHFDqo02TfvNC6M9c0
zsQp7nhUyZ0q1UaNc76R9QzVEwRDfCqKZiIxG3nwiYeo5aHi6tKEbw956RP6iO7mazfFHaznzrjv
U853muULQGqYPx4Z0jutsxd4sWZ704iu+UrSStVBkFfNxNQ9S6H4iHQn5pKP1SAHGJ3dHho4akfU
iM3XYWm6ZwQk5lq5bvutNmKkGQrxJN4jwhMOUPuX7egP/Zsve3GyVatJNA5+fJrTc6gQfrJyecNc
aQOHwkxskcRkSYR7R4PXchOSaxEHGqS5FkhrklWsUGME6AjK6X2DL+NESl/00DhJfOWIsX5xYqBk
A3xkkhEwbRuryaOIFCNwoxjB4WEhZyeMcbJedCU/Hmzj/OCRvwYxFlm7deaoNboWn0a/dRSEO0Lo
V5XuMbGw2mLf5Wdr5ODTxAnTHHBXUg78AWBJHlokWQxhphrAPIrnnDZW1T8tC01r8Jr9mxvbIoii
BXEsemvu8jFBidPguLwjpGl6tOthJB6r5ksWQs9vvaFrXq0sce40X7WEkFUyOZF5XBmr3q6656JV
87WHpPRRb+b8Nj1fbrOLvKOAYnXb2hMHyrVlgwUAbQtFRnKyyVW597JkudZjbXnXFbJTbcbKiA7e
i27xXtr7Vk/Qt1qST6xVfkvJPj/4OhMZJfGYHlRHS3ytkSr17ja0+YJoTKJ6Rb+lJ0jLQR0aOFqN
EdfOVIk2RnOiWzthy7Vqxr5d9uU0EY6SjNxJSms7ll7H5k5jzUpORZ7VBtFsqr7WiE4ARr8UXGu0
aAl5Q1btVYHfD++1p7FnmvQSjnQp23etzoxHO8YbNsne+A6lDzAAj157w2qh3msza7rAMaslB2gn
xu9405Tgmrnc+03DaXF4k/dbXeZGt3Ioee8VboZbf9BZzVxn+j4jproZImwlY2s2V8O0NF9A87c3
xuDFJ5I10+3gg/KCRoTnu0/O3jaP55sAmOGpRbSv33Sa17PG13kp9vVSc/I8y71kTxxtmjFC/oSW
wKVvOlgjA2HLe1G9N1xFZRNvJ3IBdzaxQ/uW1+bRAt2GKtSN02vH7psNIIz+oWsm7KZAkoa45n/q
m6ZBTdhYX4Ufw7ttMM82NqZgBN9VAEfR2aLlRcaF5yrMh47nEHf9cmuQ8nZNEQLI2s6iR3TkdlBo
9R0E8svJPfOQdHTLSDK7UOLtJzzXO0DrnQ5kW3UcNndOusQci/GbdcNSjNf1VENiS3REtYjozonM
eu/P6Riz6JZqZVQMG1tD6HtC0A7TspD1wbN5qceyO1axWwGIq8jYMy1KQJ/xHy3UV1/gu87dCh1o
PVlvcNsPLR4DljQwMcrq23XlGBDdBvtinjP7iXobgrM+1199eZ4z1QPpbZq5b6PaZVqWUJBOWb08
ebOMb/UqkRt3bnZOjbzYlxo2yRSKIjj0V/p/5Ze8dIHeuzUnyUSgykLPDifAKGYn5xyIfp9rOsk6
kYb8ubQBnmECvkiMEcb3IuU1VEwY+lnW342thv8EUeHtSMjoahSRi4DLr1Y0phfQ85H96qe+8wgB
oNilqfs4Z3q5pV2aUAdSygGeXgilSmVymWIeCmrD3EeWMr4meiQ3ZIroiNcMFXrpaIUIalG6N8lA
QAKtwnhZnAuKC/spswXw6rne8DixANcZu1Ok8v4WHq7/TvCH+TQ3tnHll75CtVDa92Q3ZMFMDbsR
rF0XZdQXj4Zw3Ztl4iqJCbDQxqUuxFXSgb8hXvW7YtRkBk08pFdtxm2QVuDoIFpX5L81zZKs7JKM
pbmBRs4AAZsc4O3RdSjo7ZjgtGUGFCir3ZCTJLkStnasl2y+Ubr5NEAn2PAoAlRWYAqZ6lGQueNV
aYvoAX8uZYY9bXKWQCio3pDeenqnAMtZ3kW/pOcUgGSdCLSAudWJU9kI4pIT6RsMLQq1X5Z6usT7
wGun9LScB86pDk08k6CUWVibsPSfbd5dxbaUEE8eI2Zo0yV07+y5NG1nKwwa8LTWat5YqqGlMaba
fI16vj0uNLPP2MiJ1Jexy/IDtjP9VrgIWDN33kXTEExen18WXOWLvgJw0dt1wXBUDoA/++FI3xd1
e5/tjFnzn31mpuxzXru6OvMbhArac3wPcJkE9OQ0GM845rt9bbpfDeV8j7q6faFiLV4KCOssWr32
gIRW21jTGK8HdyxvFoeKpYDEztDbH1RAHhFcwFKfd5NZTumBwENph5Or9+7OzQ0oAISY1yeNHC1w
CYtbn2jfAM8zvQxR5FgULEK1IbKXssyqG7P1yhsnpY9MsgwLaJbI4a3oTf1r1WfJG9x4MlJMjQ9s
UQEcRJfVd7DZPPncUfFw3VI2ObiNSbWZNMfaF43HG8Wfmy+8LemdqcLAqA1bz9rXUWreUx+zM83L
xD7E+dy/lTkKalTcNBH6ZSzfc7uiq9CrIXrR+8z4Sjgub/raBgzQt3P0ghuLTbgdpRpRTirq3zTR
aCWI0cl31yoX1V3RziwMfTLLeuPGw1RvbF/S0UBRy+2RmOOZflmBBkmcETiET5zRizAEf8dv5qIL
3cwn5MKudG6jyiKqJpx6viV2d+RSYYVKy2UTM3PQLLWr/iJVYmDfqFeTkQQSgW+8oXjlkxXBMfXe
lrQfw8QmJX4LpJwSYGBCigdrLv1jluhYBpyupGhFystV0hSvuqCYx+hl6iYg5vEI1x45syjfzZEY
mNXYWgCvpG35L/86mWLSYnIUGE8Cq+x1lGmuoeZ6xX6i3lq+iAOrBbET0Avi1OO6re4E+rFqW6QZ
7R6UBTg5CLfJd41BF+hktmI2NqRjioulG+o7IVFUcAmZtwYyavl9uSvoh3SNnmfoiad82pYLwo9L
qJ7T++TQG12NJiCiS0czCBxYJnNbjYBDSgBSN7nrtzBsG0+/l0nTL7uZNnx0skd+9M6cdL4jVTnf
Oq0iLp6zYOti/kdIfMA14dml958syNLPWSYTCPWBRcLs31J2LwTcSyripZ/67ylMmmLrjx2sitEv
0wyCREqUVaHz/KzQ5sPPrej/HSTwL33FfUhFh+m4wXDgdDRRSOMrgKS2KXkPPFNsuHkJ8/4KyvEc
plJBYQZFpMCUnZLJwqtwLiELtzIxG6MNfDAy3Vy3Ra0fmEl3O1mOYHhjbwbkmKePhJjJB2lCd/y7
9fi/GtTPNKg0iX9o0v4CGPy/XQ6h9bX/SYP699/5twTV/8uxab+gjkBCB2ycpu0/vnjf/otGLm14
EF1/gwcZnPzjjLecv3juwbuhKzYx1Z/Vqf9IUC3rLx19goAz/m/6+L8h6//0rf8Fi4+/17/pYyPV
+LnPS4uX/xDI7hrM9PmmH6Y3Z12+3ZgjXrXCQ5kutOmqq4Zpq6JkPmACgopBCU4wopTLm6h79yhy
u40hyBjyFmeivhpxq71CHCLGitHmFUhAfPIQt8CeNk4Vxr3tXiXF1N8u2ZTel70ganc8i/hjx3ip
m8hbF5mbHRirrIeFMIQJ6tNuBpoFsysDZbfqx0Z90xuEBSnWCjP4L/bOZDlyI+vSr9IvgDLHDF92
zBODZJBJJnMDYyaVmByDYwaevj+kpL+lVJvU2tdGVTIjhSACcPd77znfCcH5PtVNwq5aqOIc+rba
dzYoT+JU7kp6/2uQTMQ8pHl8MvsGpkuSs37l7CQby4j8U647ziahGu/LKlCgPoLl7Y4YtfreaD2O
RieJP87EnTklWEHsyUBNVdp6Z/mm2pulFX1e6D1XgB4P5kiMUmhRVgiO4KYX4r/QxKfhY6js79DW
FsDX5K0BZBcwt/O6JULcdJBsgt5Bp0DETa2Sbu8qUX1g7tM7u6ZbpRPQPnCZs0/aSUG6jMpJ9xUG
6QNFElItZyCcz5/MdctO+FoGSUgKSjw8tmUyf5PTMH1GjGo/RuQeH8iRrK+ezaEKHXCCd89KdsQC
dmcxevoru8TIwA4+LS36fu+bGX8GB7sVpi116IsffDun+zCkvUpqd1rTXD9bRQStzBi3XaJY5Uh4
3TRueJdn1SL+N44E1tCf0eX86vS13mvdu9/preCVSdvk3HrOsPeEDI/YYPIHE7+QtcMBAWqW0Apj
y2mvO1PSpC/RlMg37N/5Nk3wgIeVNzxV+JufZegkdzPKg7sB7hjWL7IYX8PWaS5pJ9QTCsRqnyOA
lgAWSkGHQ/k03pRtP84InO8iNp7d5GO2XBlV4N9guJikPbUcipLG7pfQavEga54VqPPA0dPZUd86
TrvX0PPUgZRm++y1ldrnlZdgj/WTzxoL4rWIKpfhh5oPI83gK0wX+2wNbnmoEUHet07ZPKezLdeE
p6tjbnT0nsIlULFwA5CalfWGAdW70yCvj4mpqkOaKjQcOZ7r3eDQBVLVcLZiPCF9qesDKhnifKL2
Pe4CQVUxZthlqtB/1/bwi6sxYjDSJnZ1WupSHTo7Hwc3Au/CerGd7Bv874r2S+RYb35QPFNuzS9N
U9E+EhS1ZezRBERnbJxciLUc3MFqXOnyuyYzSk+/M2lIH9Dp0b1wiDH4RgpJvC96fimaE/UJuF++
7m2j3oqeTnYa8SUOtp0cvY5oTDAEoBLspv2K4KivaXuaz21ZHCNr8E7loPdFEXjr2VsQC4lKs0dk
UurmhurgTUN78sK5ODpZTpBKheWlY7EEfSqTo89wajclBM37TcsJpxjTW9UI55eZTin2wzRezzEA
gBS/6Wcf1PYnuOzGY2Xl5ZovFP9xHWfkGFNjPhj1CErN02ddk/m0lnLntmm+D5kw3BF7wxhAPfZh
2H82QiSUmWebj6mI7EMBgLhZq0H010L09Te7nfgkjtgMYmQUYxKb0yuzIz4AtdVnMKQafp+YVbIa
QJJui3mK7uemzOjetEs7HD7Juu5HbwmBGfDiYfYnqqEhearsliwA2X+KZjqxKxwEpEnVEdmfRpMo
jp61OEeVru6mIhRb0zQ+pxx1l24W7MNESbSunhZrWRecDo0EpxTGeyWIeSpFqldWmpVflRfP57CM
5aNLWNqxaegWrgg0bh+T1qDr6tNzILrr3aOwWWTUwYNovLzFPWWLax+UYo3hGTIEpBRvSzS0fJHs
GlfY1/FrHTjJJZ/7LxSF3oEdkalGinEO5jtebFytlybF9469Xl7yzqkfWqrBO/gnmryqRJFJSuNy
8XDuTEnY4QwBdes22n7NAH0dPPS5W3pm5Y6i1vpl9qPubnBl9U63b9lcutn5HEML+UQl3auVl2Ry
Z6cywngXE6g3RQCjzDB+MJeRJDmWtKUiPT6JjltfUIRtmIlW22a0gnOwhPRsRkW/yQajwYNmDmtp
LCTzSnTzforsbl+Q+HnM5Fx9Ul24T7DlwtYP54esx5Zc9b2oVlMrZkLhDECdbjTuPF32V7OPrBPu
u+zLoAkfHYC0rFBQiLuEV/zchFZ1wAvB0TzTtXzLPC/Z5MUgPquwDg+sTPExbK3NhBnmYUZ0961C
D32q2oDEvMhv7k3q9SNld7jznKh5VNMQfIoG6Bam0OIJtx2hg7SHDHJ6DW9nx359rSdNITcTzT53
LP9d3c4gUEYnQh05mBtoV4Q1NMbZLYRFhl9RJzgoya9zc7B3BbM0VrREPJKnU7P3p2n0zMSU1PS0
Iyp5XdiyfdSRVocy5pUGzO1n2YreP8gWML36uyRX+Mg4GYv1OBiXhNhiYp/zhx7e4aF1uze3diMG
8A2JDpCquq9Z672R4Pwuwu67r+a3oBxvhUmamDEPZADYOj/W0IC2tU6eLcJPTtBO/WciHawX/AHF
N+w742sd8os9TVAe9YRheEavgL+iO1W6QT69V96oZ++OoxbTUyIsMuGCTCtbh1DJJL6MKE433TB2
wYNu9eR9brzwe0fiQHBQ2EDlmzHFVrUzAJ+tw1LsOyAr8z4nh+ouqbRRvlUsoJy9ZL8xxzDD4D9F
+Ym+RU2WVGptOORlZxPIw6mrE//Nhf35RfjIFB7CMVZnP3bN+nnpnId7NcMQKzDmD+RKrqLWTT8Y
ddEjcHU4ulsQGUzFSoOE7aP2ExtCjQDSTuTIrvea14aJ9aoeSToRE99kGzmvhBsNB9D/PhHkbXfl
J8edJAlhDWrilNTOpZMWAzJhwFvOyDV/IV3UOHAW+VTMBEzEdEdP7CDGU0xD7jL6ylxHhTld+zjS
15pv8zS3w6qNk+HdyeR0qqVn0DAxuj0q2In4iuW4Zc9Wt0LnUJ+T5JiFlJMAdfoybA/BElSe6SDZ
42wX6yl0HnNEQhsIHdFxdqL22IUho3pGBqdWRBdAMApAnlld4tAjKzvy9ZfO9tSafMRpn+g+IUOw
kVtAqeG2TlSJrInhMm7mjI0Mmtra5Ws+dKKiLFdWvndFKL7jAuEYXWUVEdWrhVP1QbyIF7w2oiv8
5lvnLKzhT6EmtbVdg91L8t+yqv5bxP1TEYfnDNnR/+h7/lLFHZUiXzD5cxX36y/9Xsb5/2FYZGFI
c+WSBrWYvX4v40xqNdSwizAaI9EPk+HvgDNQ8GxaDJCImOK/t2DJfi/jvP8s1gMEUfLXstD6N05C
PDx/LuOwL2FUlLjRJMUkheEiWPqDDD/xEjhQZhOfRm1CxhsqXjU3pQ+MshlmFJBzB91DKp+qTHNg
W4ReQLb6wEX22ECiOdREeIfroFTeaZ59J9yqvpx56YQYHzu6Is6eimUyHjOZ1q+aZqC7ZgRBAvgU
KsQivdWAZxzyQK8UpYW16nIxOwy2O+8iU7i3q2ao5+Nszq2zKtJSbsGS2PW2X6xra3soUQw0IYdV
JzD0V5lO/jcM/v2mJQ9yG83CLlagDdtmPQVM5ClQBse6SKuNN43MvbvBoX+W992tYTy88xsUrSuI
ECSnuJ6ZPFVpOj2OsWivdWTltzylO731x9Kgqx+MkbsqXBGBjUmrm3KrnvkJUEsmVdMhwl9zsqoa
hGoc7MfEqpntlUkJV9cFCtvEtDjbgeSjzejSqHZa33pVEjFfYtfqybQQI8nY+RIxVbp3y0lukCvY
D52V1se+nBzSna2H2CNTkkG8vzWmBFQLSUwPtm+oq10MN1cAx3CVYuRajX78jSFLtXfwFq5BYbHi
5zlTFbaeW1/jDieMKonu6Hw61yEubD5bN3cXMWy1VZbXsKrz72nvSSjNzrRrXMwEEYqGG07Xb24Y
UviFzBpAEGt6z/yDQ86rdEiTqjmHQz91T/1Q0glEBvCU1o19s0c5nu3KHx6QIOjHKou/pnj43t3S
Gza4z88wrqaNSwt85SGaAAnAYbsvx/xJ1VkOOguGvWVn4JK5I0A+s8dape3VGLNuDWu3+ZSNc7hy
Gmu8TghBNhUar63p8kkN5jkb0YfR8xz4NDBVoGkJp0UJsgeULFVHVZlnO9biNInuQ/Hz91HnqEe/
L+jbotSRNx+py2NAtwyWVpjC8UPwdHUM2GhphTU9Y6q0n42uuAmLJ9r3uvZiZY5znpS1qmobzC+P
/V2Jy/QNoBjSSaNt45OTxuYGaYPSUIN6Z6OzbNhDAAGLrbuzh7P3JGLvroc9SifbK5ill5QXQToC
cChUnwGbYGg6El666kKjXXtz+2JgLY+b+YZwU+xC/+z09G8bXXyehi59iO363miZ1Ey13Ejl3IAY
qG0RVN+ayvePeVq+TIsAnyypLzlZjDt6lu20zhOLrDEwVsXyTU0fRhRiETTR9c+deHU6SZjrJMND
NfTG3RBIuQ27KtqkwnljMWzuLRoSOwO8Ht7lyAXN2TgvDlNi5E/kZuYhjgTDtnitjJOPgW1Fq/6N
o6Tedn5e7xWqD2YT7O3JpSUMaEUyFVmsybUIYZE4nlwhXsjxsqUUjkOV7LIhHYmYTZsb1GH1WAVu
dESOjx4HvMsRI9T4mI9q3hctFRxDUlin2ejdOXXPlMYejvVEjNYGktnwODjEh5M3cTD0RJ4VCFVQ
yquycQbxBP/QUXKjTQA7D1M42PmFPvE1r4OvpS7drefN8jkFL7HDD5uhIkjCB45xyb0bN++FU9FK
0zkyicR896rexchKoumXhtbPHmVJtakrZZ0jVcDysVweaRGpdZ87CplOrB4mlt1VPLLe4X5nXuUX
05e54xhMpRmu+45nMJnG6YucRjpseSL0E4P2p0LQJCLbLL8vmYKgpJMALh4iNzSPNhHqWAroQlYr
5cLPbea0PFZZz2Q/KVrcg1Uhb23qf69KQHCRRZ9+iAPFHDoAAo1QFz4Lnby8DMnkQVAOgadzoQZW
iWfszBllT2C1+W6KGaWwuCNYHLuXWE2N6RymvmhPZPDFHXuLob9lBsNYAMV0abZjTC1zTz2KpoKI
peCQdZCULqNTe48jG/aTXYe8ItnAowfyqnc/N2ZSn+I5B/RLbed+bXn6k7WJEwygmxH6DoqTyr9p
BIfQRkxRn0rs7yc9EQ/eyrSIDqFuj7QHovtYdeoJbQgp0jX5gHtI+zy4ch7iNyTEzba3nPxgksb5
HuBYlitkXNhToql1LpFdw+b3nQq91Tzgcu0rkDmD3fc9PciZbgJL+3fC2WF84IEY7tq+aR6m0SIa
kUMpHc2ZqMRohVyBiAHcHd0rgez6XdcieWNPjggwzLu7xp7z+7B35Xcxxh3CORXaN4O5yKvB+f2a
C8LmIJ38kue29+EW0qWkjW3dMWzu1TZCA3l0CbjNWW3XDeeHaTORAA2nNOQu4hKKg5eun9wLjCv1
YaQiDU95ZyEl9qpkeOQg6r2wj8htBUBx18FKNaBI+VWIEdeMoyNF3fgtSxLpsBhF4QtS2H7xcpDZ
nE+x8ZCkXoP30M7rN2R22dVWVUTsMz06f23JfD7KTmcfTquzWzUwYCMtwAJAU4RHyJf5hnQRXtaq
bPX9rAmuW4NWDibKSsiE28mS4q5S8fDmDtPwC40n/SVwmAUXRgopx4hkhCdVT8apNtP+AWUuEx67
qY1vjphwXjPTxVuDauPQ+UicDr4xVF9kNBbBeppDunJmaw+bNEk1DCY/T18pHhxnFZR2eyPNkdR0
Y7T1dekAHnnnmAJ1lqim9eRQ6PLJ5db2a/EWyjZ0tkUiMvLDeoPIBOUkt1BWYs+4zSd9riuw5wa0
dlmeIce5yNboHVj+hSaXPplg8AlTpnM09WTqKYsHzlfVvBjRnK0WRIUjoyJHMkahtkJo/2h2TUsn
1pUXZfQdwpMQo8nop9WRAB7g5Lkq6resTluoY1FHrg32kPIzyZFVsW2ZJtKuSPX8C1pn+y4UYCyh
D3x1olh+8uMify/JuacFsARvs8SHJCr0WWmsESezIkJ4FccEx8GdnB3/S+/W6lDFFcYLK3IJuKOP
bn/1B4CzbWjaL7KNiWsPcnuEsFXDUC1KUuiYZPF/s7nLggNT+OkWZKHu16MVm+9Ew6MzKNzqC5if
9tGVLUzNdLTEWzdzgNxGYuh4lkTTrYLCNz+kBlC5DXMvMk5BmYafUYcWnyZaTc3OLuLx3DXdBKDG
MBBd1ADZc3SixzTKHuhr0NAt/Gs09Zsyznum9cZ2CLAKF1MrH51WCoLtnGgTyRyeKU0l655ptcFY
JPL32uNgsXLr3vmK79nC5VNW0QuZNj7uvHxAHmYatjmtzSYRSDGi6Nq01rwdsBUcLWLN97Pjtpu5
stWuE6K7mKBEva7Of4lTizjhpPN8ZO3YwVd9U+Ct89r6UwTe+KvnlOGuL2kFrPg2SYyraqe7i60x
o7FKisQqDF26TEkdoTSNMif9gHYAtxGKTbGqjFixtNjDXYk0/1WFo3qGtBXvxZKZSPB8d6mrkbgU
E7P/OatzuY4EZ8R8iE4BcrCGBADdHYJE0nfBZJ59bgIf0RUAWnCCceISPl9VTHnAq87nzDCr08CQ
9sJfqC6WkyTfwjlpd3nStkg3db+LpF0ctYqY2mTzazXBxl2bllm/R7b2H2ytoWyKpD7+d9RZtEk7
/VOVDLXhb2ed579OOn/9ld9qZOaZLhFePmDZxVhvmXizfkeAix+ZyVgsggW0AQLjf0adSyX7h5qY
YpnuuGUTlMN3/29qYlBPf66Jke5KGw6vbS5YCsv7Ge6hMReqNBq9c25VgbnGkmgiJTbZMfS6a4yq
1bhPWe4HlCN2GV7LYjLdde0KQms3cwu550nBaDVySlPPrsetMY+1Q0817BAtdHYPwswnugIxaIx3
3d8RI5E7w7VFEhCPqMT9wSHDk/NTtGsbko8vvaObb1nEmI5cMjZSyyBlKfb8nYIZS0Gmo01lzdOT
EcwzQUJ0vAAygCTlNQMqkM57nv5F4D+aCuVzI1hwfAahzUHpoNMPgLuzp1qH8q1Rsw3ZtdH4x2oy
i6szul+yUKhAPxuY+EsuMXnzdpTKSvbUCLAi7Algv10mwX2mC+9N+/6wMWQ5fIGplz6gR/F3ZTeB
z4NB165SNJgtSXR4ySDZGtU+m3N1TOn4ffEaV3+2GtsqVyaK/G+lDL6pcbqizsI2wTBoOvKP8K7v
PBuFbyIOuJDMLekGDMZskfMzaMQfuxS13lpME+bmIeopCSqAdmTMljVSiBCn82C6/aEgTOuhY+N7
GeOc9bOehj0djOlRNtZ0MmSqEXcg0TBY/IzkEKs0+eB5cB/TrO8BDpeWcQ9flOLe9WqApKN5GTB0
Pcezn+xnjDkPJdvZugeVV66doLXuHLe3Xo1SNc7K05Z9XzrEychKlWwgVFt9Ys5nBfqu3yQdaaCm
VXTo0hdcJGD1nT3Y84Fp7ggyM9TzF2PKq12QKGNPC3w+OrHFsDu3/GMMuPOJqXJ47QxdXkr0OPne
mbHWj93sQVQiJcNpLY/oyt/+l7rH6eM7w7XAAJJVytakV7qXCIpPKcFtQ3FC0Dco3Pi4r1K5o5tx
g7HH1GfVD4p+8JZ0b1N8+++K+v+zolqsPH+7ol5/Gf7XW1lnf1SP/PZLv62pJNQHLjCk30Log0UI
8tua6sv/+J5AZ8ipD+Uj9fD/XVNdNCKQ+QSUMsIOvMW899sa6wgamdKmi2mzTP/gnv0b+cifV1gn
AEyz9BttOqAy+MsKa/ae7oWIyiPHI4CJWRG593aNOn5WQ7D5Q0v2/yFV+Wk1/3EtnMzQygLpoID5
yUjaN6Tm6cAsjj4zpuvcT+Y17Wz5MnEHLlr/W4v8cj0Hn7rFgRWY0l8iI2o6Fz5yMq6Xm2geB1Gh
DEtHgg/bcZF/t6GHgGMMzOfBQ4L493/sT/7S5eI4tj1yKPn22DF/+mO1IRpkpXVxnOu2/cgVjkHw
r31wmRDh3UbQD4QFiX+iAvw/brHL3SL0kIlW4P/s+UT0ltZD4DMNy81FKh63Hz3VzbySCdLxSEz/
+oIe6m/B5Xh6Me7+TDFLmb9XhFrLQ2yE5flXdQIGnm0e2MYXO+y9t7+/reZf7iunE84WYMPB4jB0
+kntREtCzFE49hA+Ro1uwAsJoZpnLfpVMDgo76YuMa+Bwr3kT5l5Q7dSvJBL5w/rGBwT0ga/8W/t
ZDFrqnu361E4x83FpA36ebKCf3gK0FH//IL5LtpagAEY2JCC/ewzLqD/RykztYMLccZ5NnLLDc9N
pHDkRiVilVxH5nAy8RqraNW0pG7xDk43Q6r6YNFl9E4/bAv5VJFVRQHsrRDV8iwxNS7P+RyY1zGJ
kUn1wiI36EeCF5457gOzKOxyndWgbjXqZEEdW3OwqxBxXo3aR9XR+aI8V8Y03szWGx9CwgfVkklQ
ul+D3q7QUtYzZNsg04RV1bY7PnisEt4mCfpMHlLRGzAnYomZpbZqHrkw1TS9/IZs0xLlbWyS30FL
jyYXEPJ0vKOg6Z3HsZiGC+0k4uU8N8VsBOCChLJlISBkkfeU8nEk97tFiM08PEDLrqu3DrPR21wL
++j1GWlbY99Xb5SePVqFhoa21DPL1yhSuU3N2n0PajjUmMeQPed9WL3ZcTveDG2Yz267WEHmhCA1
SfTRsZjk+OZhfOvWnGcZpzahO96QKvCXVpkzUHE3XJCQKBwXOAgIWQwG91113Mdg7rlvtWM+d5Iv
jWAm+YJN0n3HgTrekogRo7YHYk0mosSDtRwNJKZNH463X5/VOEVVsI7tZOjuIPI3HwhLEatCJaje
rKmHyNAMPbpso56y+CSxeOTHTBsaGJwHLqOj4rfi17gf5EtQsZ5u2qwjNgsGCM8Jk27nvWyC6i2O
Kl5+jbBY0l4mFyonNgVBNU8GsEVj7URjea45p+DtqkrYaB3RCBtCxBeErtXgpqGDm69/jUrruyUP
WMYmpr140dQP1fK3Do5USIvL+vDj/jtj667tLnC2Mep+AEJG3EDtpuj+8TNtGBbrfBIp68Yc4yfu
q0eQDv1miBDpdLrhAY6X18NrM2ykWJjD8Gw2CCzWyAE7nG+wtm/UDmZtr1pkCB1zWqjEV4x4DRmU
QZ5Z4xMtT0yljLDGsN8RVDitwI3zCwQxmuI4mK3fj6soN4jaaxqsCnvmDOmw0ZivwltFn0IxKXJp
BJCU0IYXa5bTG5pPsMmYr/v1gBkjeRgmZuevDbc/Jsat6PeNFRdQlUSG7SroablRTGDA6l3uc/Nc
2WG8HRNEhWFBwSBtzPe0XY/oBp0dgBz76tJNXff9cAjpEJ9xDI3PXt7he6jChK/dmEihAMze+LH5
uRGW3lRkxaxQKJn3Bry120A0Gf4d+o5fWobtDs9XM4C5k8l47n0Ds1JQRgwmhIVfQZTzNai76IOU
MvOKk9Q/IbQnskMUEjH67GD0K0iBWPHsNuVqhq+9XyANHzKJMWI3BokMGx5ueaKhA8hIOn0jV6QQ
hy82svJiYxrOpzaOUH7W+r0w/fSaMlFyDhoeQM8P2jx0Nfoypn0ZlIzY5F9WrMvjjW2OZ9kKizg5
eEbILo25bT81bfXmmq18oUdJIoMfBTmD0r4fbzNSN0oIzhY4Yqo3QPAjKZnZ8D4SpPeSuh4LZmll
z8CW0te0nnmx5OTaRD40CZR02z4GlVxkcjIsNmyj5bPn5ts5wV4ChNxBomRDRTiRw0kIzdxU5pe8
NgxGorHTBUfapLM9rM2qoUKoAQacPMu2v85R73pbsAknJavwMhhV9FBjoThGgXzG/qlfVFu/T/m4
rP6J+dLkstukHfeJRg3rPFbu5CTLyvrSGRS6a1qmNE7l4D9ZXgBCHg/x0bU7g1CUQZtr3ktGS2FZ
BzvsvgWFBh7X3exYL3kcVJtybHDT9zk5KM5k0Zo3FLXQKrdDIqF9w/mqTJufr9ix6k9uLC3Ca4OB
ZrMm37fczQGYnRWNoQ45RpMZF7RXHbcuZ+o0t270GRd6ecD+EOBstQWJKm2CHrUiqgPHdfPGiICz
SNW6+OQAFK4zs+dr1RJHXkIxxmLhqAh1UtBMR+LwAsaIE9tCXpIfadDl/hAKGb8buixvmTfz0Gic
imRhkJQTjcbyKHXYUDcUeubVthY8iwYP2axSyX+nt/g0Xgudtxn4atZKYV4lNjPlM/n4w1dJBbwK
aimav9VoR/LiqSrJN5FFhLSq+/owxUQcrXs3apo9RNfgQs1oMIAuuXLKZkLr18fnUtlc3nMHjVef
jv2hrLmwHc7O+zylLPg/lkA/xli49Y3FjjMNQsUP7VAExaqrBucydJ0gSdMl569ujeajYMJarUy7
5omwZu2++4r9saFJSeIe2APCInTJUJSi1efEMFHX7H/9WGZBF3evY3xwp9BYxEY+fqezVnV96Cds
nm2/2G8IimFcrohytBjpFCS6Trkz3pkeXce1QDr0NqBuje8tt+dTJznA/PXQz1wSbdjk3xxNmDm7
hYdCllEush/G6kMget/HmeR4py5rSB1JtDs9EaTjvnmxycI61UZ6GaoaQU2mOkxmdmdGz4PP4J51
U3kXZ7YDIitpQ9LJMVC9dbHxva0xwMXdwACVz8wpB0CGfLHIeSHnWNXs5BpG/7ONGgzLVz0Solv7
Dhmg0Zgsd1QjsWaQBmBh3dFHYMOsWaqewuUbTbE6v89dvkSpNnyNhqmpGmjuilps3KYyki3EtFC8
mMbkuA73iaPlk2fji3wixwQlxRrLXxQHN5VB8GGrquRsV2yNeiJiFz5hZH5KA07LaO2GlohZk+OG
EowlE8F0cx2qPKFdgnFt8CBD5IbkDELSnDhlAFOudt722HZjYAfxpDcjlJmTwtV8x9evb4yh42PW
x8ZnTGd4wFqmJKDk2XqmID9EcF8RkvjGTnWDy98BYALIerwSvjw7CLcx7KI4D1jS7Trq0A9GxGTP
Zo5abNTHsm8jxGbKvBUOS8yKYwhTqB4hJuOedtV6efbdSByXrIQyPMDuoA/UaqJgeAOHNavCd9rL
3w013csRniXPNQeDTot7LPri3s1pt+AaXnvNlB9G9IRbzsbhE+r8aZeyiaL2ioft6OD1Fq1zN1pd
8ci3zb5cjOrEzkdvJV+it5bxfwAMO5LqrsscbAXcqntBIMSnyvC6t7q07GvZM1Nf25HgADnqvZIK
w1X/YOfmjZNfsbWMQXx3Mdeja+tpba8IOEvpsRW0BMPgYKQz+myPL8TpeIV3rmuTCY0DSJUctI2+
gtcRMgeZ8EmwguD5xBsYd6yGhGef8SkbOKaRDd81meIhzWNWm8SDI7Cee9CqK1r3MRNHBuawzDh2
/0MpvlRJfyCqOUw8fQoOl8aCSQvi58bq3FupZMerDpX749DfjxjQ6uXg+/fl2l+qHy4Er5FeBmW/
Q+HG5/iDqEmGcdulZVsdFLLLZNX5vvmsmeIhOAfPefacpXT5sRz+/XWX6vqnvw8yFqIughnoZP/s
iaEkVzYD6eowpsp7b428PuTNSJgyAQ+sX2VeTDfPi1mLdb+ccv/+6vRt/nJ1aVEV84LzIX6Gc00N
vtPB9MoDESUUIHNQA9pYVl1EFaz2bUQGzkpUNWXJcvIG887i/uMj/Fcp+E8zEEHQ6N8IBf+3ev/6
nsMK++VH/+9HDOqPX/ldJuj8B+ELEageDSoGGH9wewXBf4hYhfsHW9Yz+ScP3e9uL9p1EON8GQga
Id4P8d7vIxHxH8vCdMlxAJiJALz6b0YiP7+3y6GCfp1pMWCxFnzZn9+n1EQE0tiOcZCGgV0gSaf5
0Emn+ae2xU8P8HIZf3GncTWxIHv/fJnZbOoJGbNxaGZq26zMp43dieA+R0b0T0DSn1tWXOsHENUh
Gpt+2Q+M2R+WCL6LtJG9HR4ms5T3wqsXS7dpn5xZcJKiIvknfCXJJn/581BaLo0r2nKm7QtavH9c
lcaM8Ybpo60HRBZSH+qyvZScHLHrG3nprgNJQS0CwIw7sEI9EkQcn9PeKwfcsdqNgO70PbtyN0Ig
qhjjHmQ5srxNssYfTRLZRctG7mF0yv2PoiVnJ4dNPy5mczN/VJki+NSo2080XooT7hlk40QlX8MJ
Cz6eerfY2Jxj95MW+ZE2wrTVbZM/AjSYf5EcV19izgIvAD7uRDcl28FX5NBXShxmZsR39FO8YB1z
0ny0GrzTsz2X99Qm6SdLJHCz2It2ro4LEhSZi3dlMRxEiSBPz9raB70oOSFNAyryEblRazdn32zL
a10FiElVZr8LFREp5w2ambsxHDQeX9oJowzxyC3spCbIcyL48vFRlnPc4aMb0I7jFNmJBt4S0ZUA
WjZjjG6R+d2vXCZaMQulKS6qdOcXPrKAIeQ5X4sYKM9K2Hnxtav96i3touAVJ7Z1k5GQGKtFIz/S
oCHPyZToKdmmp5JcyTQZd3h+kLKIwI6xi3NowznsqHuh+qCi1RORZI214Dx1xfASTLNak0wHKclS
PHvpHDUrJ0nh19jmLR4TgWcxnW6xlt6WFmT9lvtlvytH0XLa8Qx3NZZe/lHnebyPi/jbVKcVIZiB
e45o03Byn92YLHZuTlyE6k6rHF+dbRmPdpHMFzGHAX2n0cyOXtELY5MlaYjyrjSeHIQIR5xHzqEf
imZrT0l2AVbVfUSN137NzAXENkdoEFEuJvLELWg2aN6/aaB+gznUV8IwKWZ89QFHa1h5mXNGkDiS
/B19ko2R8JDigcNBF+NLz8d1M0KIKYFzrmWIktWv2nOKiA/gextNa08E6bsbCALCDJ/2LuSKuPSm
7eh7+hYOyrp4nFrAGg7m6v+wd2bbkSNXlv0i5AIMcz/CZ+c8BBmMFywOQQyGGQbD8PW94VJWpdSl
1aV3PSmXMiKDQbrDze7dZx9OIA4vbd49EJ/6ht44GpAtbC30iO7dzlA3UlTLh5o46vOTdT+w5Mg7
uFSxlYtSj62rjE2lgse2DbMdhpqfxtDZt8wVkTTOS39r+AvERUiesKpCXAJWqPdcWh4YV7wyVqjF
MSMNpRFyJTqdPyvSQRSTw98hIx4kB4NoDhqRk0vJUSklpQQMFPQtbuYCt9B1MBbzdEKInMzMopLW
NCPuT8nyIvsRXCri/NmPCd+Imp61mcjrs9PlAcfjtcsj0OOzP6P9Dy3SFlsX7ZjEnSFp+nNbE8mX
CqjY5ALl+ZzUnSTYM6wW7ol7WG9uWSXOwb7P+6wF8iiVt0/kuCSPWrr8SqxUOrn12m5AYVx21Xif
4HEjsNN4bZ9ehbGhaYzo49F9E026grtmtVbZjh2Klpd8GA13306h63/RXscPKlWpMs6S4/HQPbHV
rcr2YIW9fEOhIJ9CjSumQ6O3/mE+KhYTStWPZ0pOY1tQ4DiyAz67E8xKhNdthDlcFY+usu3zKKi7
tChjOIrSAO+e5JzN23IJrWeR1kwfe9YkyFpiL36a52H8xAIU074JW7d3JPOYumC4jaSxmrcS8urU
oFM4ZzS97VQ5EIAp13IWpmwjF1rHgf/xtW/tLQ9BddFl1c6lbXtT9SZqB8I5pIXiOPw1dfxTq4zq
aenNGGFJZaz2Fz2WD5PtNL8dDLncKeJVaCAcJuR0iC7bwUuKdMdquj4F9M3d0YntvRdly9dnF9ra
Y5YvH9byCbmRQcnXZgDhpXwzFIKGoCtebJMbOwolD+XLUtZPSQkbEDG8HiweHpQE8b4t/nbM/88p
8P9zChTcN9iY/uu8yE22fmO77K/nwL//pj8PglTb01+PxttzPfHfS9vQ/cP3sW5zQOL//DMmYiIC
sNabFLAK57L1D//z/OdxNGT34/ML+KjhbPnvnP8Igvzj2YXaZa5sDuangPEnW9t/Opp1aNfalZY9
L64JqlgUiUdADx2UmHkAOPrNTEr/1nDd+jFDQ3q7jESrkLmY1oanZL4jW2I+5UouhOWgyu7SQOUy
8gwwxtDvDshD7bOqeE3ikGnarRtMPFlqdEIMrOXowwi76ZWmmf6a+k3Lj2pRXDc83e4JNAQHbHzp
IaZt8wA9T502w/V4i4nVOyxZ2p0kdU83Qz9jmVx6un3tgRheVI6BuCLLMf6SHJQ4GRB629jpQK2I
IdRRV3X8WPP+ZkBnjNNpMD+kXFDHyyK4gRuPbcYTgdrxCxJ8fN60l/Hk3Y3xhBkVfUNB9zp5vBMl
sM5RdsL4HGvmEH5D7bKdVwECmrL7nUw8rDZp2Vj3iECHA8+v7tEBJz/nkvY8ptM5nwM2KdTcJBGb
uzmDzKKxoavnxLvF7IugtFkMPmfQAUZWU4tb1t0VrHJLKy7xjpzB2kGmgf6RNko94XkkhlsYS/fh
xH7yszOkDNE3OFiDvAQ4e6nChVx0RZxXEgji7NadUjeUwLdARO/thaYTzvjqCU/wTa6Kj2Il78KV
wbNWGm9ZubzMJFmwJO5Zdqo5k4Fc6E0vqCF1/R6TVoADuCMOyRCIrnPKLFfsDzUCBCDfpYH/2soF
wgIVV7MF8dTVpcdfdKUI+xUopIXbOCJNSQ9TGxfPdeWkr1Jlqwa7aogOzBMizpJNn7WlMpqzXHrB
GMF55Kld2UYUvGCOwwV5nC0d79NVPFMkCCQ34wpHAkKtfZvhNH5nF3qyga3H+lf0C4fvtLrPPMpC
nXb2r+kiQm68zEMk4KRvGsV0UVxATXmBNvEFAXC6K8sZX7DOcEicD2oQnSaSjesxcgXIqhuzPC7N
kvhbvRKiiO3AFUo3fCC4zZETkBQ1p96kDKy8zr3NilB/Vit5asJrsRZacVS9kqnOyqguF1w1X8nV
cGVYjQvOGl/Q1nClXFsOsUOUruyrvmCwmsX1m0KBUZGibAeY4Kr91c0mZezNaL3Lzu7gWWc1P/Yc
/YOjY8sRCQXts8dMQNaH5Yrkxhc8l+Yq+8XWZnqFOdD5GEiLV9T58qLd+KxAjhQVBL/ylfmVF/x3
Wklg/KxAwfMFEHYusHCzcsPBShDT8BH+6DLnwzChiz1SNDfW4M2/3YZQMa8Jq652cRBXPzmlgicX
F1QZy0f3pi4A87yyzMFKNZcXwFmtrDOAq9o2qnuwetgR3Bm8n7uVjp5XTjpYiWmAKmD9laKenCbb
Omk47JaVsZaIWc8umqsNxBwINheN/FBfwOxuZbSNldbGQpc9Cg3Bja4VmJsSV8Bux4fxFivtvazc
t74g4OEFB/dXMjyZYcTlBRcPV3K8u0Dk8cqTc0QHLW8vmPmyEufxBT4n39/80hck3Vnp9NYMGcG6
K7PuMPf6rC8ge78y7fNKt+dySUOunSv0ziJc742VhPdWJr5d6fjZqawbmn1B5tUFn7dd7qwczu32
LiXZQ/23aMqtl47xKWVmKTaW2TwlsscVLMPxqkNZtCkL2W69yj87zay2uqqKh5Du7q2mLPeUSx6b
6P9bZIDlc1K5w4Ggdkz8zbF01HdZx5ZIzrgdlYb8Nafla7H1VBL889ptbQ/lzqxXNq7gcnA3mVah
hyuHI3SlNg4kUfa6GGRljrPvVNL8GczS4xyedral1E82zX1+F0+xAR6Ze3cWTbX7xSq6R68szEfG
MMk9j8XpQMXsctLJ+OI6VfXYQt08DhYMRMSNNn5h8F/9ZLUboG7xqxEJSSJfyOZyuu9H3lZB1lT3
Jmqt+9AHvOiT0t2oTDq3YVL2m1ovXE1cJP+Rxacdao85ux1EOCDT9tt8a+Mvvs1Dky/Xk+RlemKN
UV8YDW91iksjiE7vurX48pcJuNB1q5jqXFRlT07Qeac8k+NzMhgBpLWO09/2CgDinoQFVCsWOK+A
IBs+UMEVGkz4i382K0g4zp1Ld1g77EEgll/A3hCHCFqXY2Lh3c7Z4EWTpaiQV7TCywuvCPyyXCFK
Bj7MoB3LMb9vi6Hj1gHmGF+Ix9mS8eMIqF4TPbhhLIlauFoAJOcVlUxWaHL9fj7T7WuR/FyobKE9
7ACFadzJC3EpEKI84J9Ov8iC4HeejNFgZjA1/Dmmms/zCm+iqRgPrN3Ck17Rzi6uyfevuCfvJ8hP
zDgEOpqVB+UaBRu6XDDRCzEKC9I+sB9mf9CvSCnMsoUGEMw0p3zubljR08UPp1PPByPuYzHeVhCq
5oqqWhdq1V0B1mxFWc0xlqd+xVurC+maXajX9ELAUmQGpMBkb5/pXN7HKyoLSYu2XFnem1hBWrEi
tYoMIomeC2m7jKO77LpOiPoJdOQnwjS01TplhHuFRgBa16wCkW50OYZv2Yrzulym2nvvQvkycmsN
IoOedClZt1rzWngq43Psb4gwN0Z4YT74+c7XK0bcwRNPoG0zmQ0g44ZE8iatqtVnA4O8WKLOr/CN
9+VxUEb6021sN3sXHm9xFq4Sf0HH/ClZl6UXtYHFZQzRAW1+q/aAl6xgTU2c0kOJANP/xrF3epXS
qD5zPQkCHoP/bK06hRavAmmKGf0HqgW/7ZuNP5B0wbP56OFj4AH47eBnyJX3tk5VPuyLu8FZNQ49
PgfavmhH9oPivqU5ZHRK45ofjoiCVQRRAfR824tLgkE1ZC0R/hDGw+6RFceuntWD7Y4SU/jgpKRb
ujBJngPCFLtyEctDunDegV++qCn+M0P/X1GvjGJh+v/17ekuzep/uDn97Tf8eXMy/3AttGcmlx5e
2/gF/4t4DZiuMzlHNxrYTH0v0/U/r1DWH/TaE1OmqYIDK7/tv69QwR+Mhk0LJ++fg/d/g3j9f6a/
PgVc8IOuDygJmffPBGE8GsyDKtc9sfSiUREoXz6mRROfyUTQJzS7/Wto58ueyPiyR/UTn4MC5iTE
UvXDJZH75nh5/0qevX9NWJvt/vKd/B8g2fX+9tfNFV8dIYt13Ln2FHvrTfKvs2k8xV1soao5UR9R
v+MdnO4vymcksByL26yYD5xn1mqwWjp/Wxp9Tv/nf3bJ2YJv8j/86XTzEQkl+u+ZdIE69j/dLuNU
FA11xS2nGeoBMB1veDNn4Y0Mu3oNsrn+NXFMXEP27PlXkxNm6Ay77Ne0VMuXP6BR2TbLbJ+TIul3
zDSKgyq6Qe5YuXsPPgTKvJkGn4nmWGJIRbC+d8zGATocVjK3DK0N/FB5l4oZ0suHDtmYQcs5a4Qo
2g4DuVF8MKnRRjbEIhXznngjMivJ/eYMMPsABBXAZdfVxfCYVn21J6FfafrX7UDuE0CTlKNTmm/s
zFmbKzsDutF/HqalKza4z1nL+V5T3XbOlLBfN0ZggdrWxxkz50Yaix3lixrmaPFHTVg39tJNw7iX
s+mEri1fSSSjD61rbJMxV4NZvQY0dvRRZuKSikwm6uRL3cA7BraciegWHhduhG4GGVNE2p5oH8PB
yB8AkrK16qA13/BEetu68s1ui+Il3I2DTTMHlRdEKTPeSqDEQYKcqm094E0nVc/WUFMlrPxxOOG7
KJItHJB6ROocELG1x56jnWeZe5joddYWKwmd4HqNZewcpFJX1dSRek2STJCq4ZAdQUo5/FjJVB+J
TQiD6IbXRaPr/vTzOeBz2avuZYVpq09aLpCDS3eD0yl0v4lJENkkyr/v1OjeE7o3Dgsema82FVh/
zWzPmVJveaeGJyD58nEBeoTnq4f8vORBvg2IrLzDBTbHBRnFLiwadZwzLnl7JVQCtZMLxHythjbc
0BffHxhmWAy4g+lMmRgIGvdF1NDpyCLDd9PfhMP1nVVbE+0dlV/+Rt8IpQdQY0etm1Uka62kZY+j
F9eOPL/z8i269SfwNbi8QWYDyEpOHHF8sroyYz3S+lWN7ceOW1ry6NZg7N0o+VXR/5GRqunygzDr
8YtjE42kWnJrTBHFN9q86duwy951RkHAMay0I+76vovPy7AgyzXtXP9cyVmshq6o3xeQhgG5wjB1
vCtaQ31W8UCNXReqNt14qnaynRpoqtnVcTDfQIJW86Y3fWXtBo069mmmTnAmyr0aFgwmvKhzq45W
TGbISfMLES7ZeT72Mc1DxNEvkIySZRJjJj4KVHXdpWPWbFvTrt/72rdPVjcXvNQnsz7NcGCPls9D
M5lS/v5yyaq7fBn8W0G1R7iha4Y/rVv/bnMau08MICxkFm4f9xyHnR5FtEeUscvoO91NyVoyW0/L
MavH5g0SF+5IC5rUQ1djVEBCbAc7fDtkgQZzGj7MvBvMGzZwrnkbEvSnQlA09XvXF6G7xcKxAFjy
KA/5m6c0Ew6CjFLAc1TSpgI4LZaXokcPW28kmR46x6ZYxAUjBNoE53d3GDqzOQcItPgfCZnKmKCY
rYTNa20to/6JdaHI+gjfffXOKIvz6twt/VXdLd5tS/gHoKXWtbEfB8XizTG65tAGorhbm+umCKsU
WW3ugvhZskRQulzzxkLCV9x1btFiwcDU626DWevTVK+FZ6ZWaXldgm/nPBKZFUSixFZA2WKgb522
m9hm2G48bKu+838ZqB+Jq2Ydc6UiWSqLSYY3Y/tKuVVHaeuPb7Vl1Lepx4R7G3jIHWMUOARNqYtg
olB/9Jb6wdrIO+kwzN0D1OX4MHiFTYEip3hNQUXAhsIK2CNGog6xC7g52rHBlDeprWNmY8ZcXafF
2D0LOUzsk6ga+OSg5+UkxKx0X49yl4vaWDYFGNS1A/98Fac6vR588rzQQ0FxmtqgcXfB1CEDMQp1
CoVAyswLiJ4aPmcW/srhvHVClLoRsJYv4Mr7PkBXJrj/zQr/wqEabSY3pF3ybstznK6+xHW4VvHA
70u7f/3PwfF/c3C0kUQzFP/XB8fn39M/mnb//jv+fnIMbWxLIRyAxT3G9yF3/uvkaJneH+zbyfJw
ZuN2vyIJf8IXHoEoj38laP9m1L6ak/4+fBfuHwGhFM545iV1BM3x75wcOW/+4/nIsuj2FFw3CXSY
kEViJX/+AiuYyjB0WzNMHvmoe9WG4zMImD+DSRS3i2W0u9Sw+mgqa5o5xuCmBwv/SeFF+9Swy20Z
D56HmX4N5grLjVMPtKTHthcfdJ2n9wz5jHcIqToKMX63YNqxzwLJFUl/X/nubD84DivMMjKqwvIR
MXWBuA3BJGqK0HiwE/NgLG4fGqma5iZoOtOnXZyKoYl1b6gVlXZsy3KH7qnEpOyiGbuu/VEEFQ20
kV+VhXVOw8kTUSvQHuz81HT6fYqyujkrJ8kw5tDyHbAGncRMjigr88U6+/UsXpw56cniLLUFPKEc
Bu+HQPizexqyGnNaxNrPz5/ZGdIdAfItdcva2K3fc7Z9X4mXM2hdRD/RDNGx7tdgBP26peBUxhZd
8SX0BznV4gr6Zh0Ve5T4xLmFZm9UfPDsNUcMvVtwHAdbLAHHkpKNN9AMxXi9stURV1RA6VXgvlHY
hAPCTlI6qbKnhM9eflhDftOKqj7mYnzJ68w+5GqEJijD5MhojMNMWybpK8435mQz1mMI3xu6665S
IN1XRkmgF0UPOIhHPqp0iEkr8T7VFK8dW+Pbkrv9RvBBKCf7lEzyhQs4JoXQwpccOB9JVnc7O5bD
E0FVDAos4REHihfDpq7a9ZvxAOfvo2epDiIMmQ9nL14hvmsm/VcYRscolMntwrMc+7h6q8v+XOq6
OjKBb7ar+W9iphT1c4NGrDGtfdcu92lSYpoU8qUxjWw7dEa9k6X+7WWVd1N6S3w/hjX5IpPP2JAy
n6inb0/Ogzw42mFVueg7kdseC1M9sXSPOThjB7hGqdHdBGoUO7rGzJNfZ9m+mihyAY/E2Nq3wUc2
CIzw2s0+mHFO56mb513TusZj0syrUiz5zUGqvmNl+uSqDCMO9vgDoT1m/VmTHSvpeRQ0sD3nMOMa
GL+GvSLIfuK5kO6ZyIR75noONaxGeNDe+Lt2ZXliuV1vY54deAuHtVFiyj5q26mhuJnsJAn5kNAs
+21d20yiKpxK7kLxh2tiYLFwsEaBmJ4tPJhInuWLUcSnZSHeUfZNG0EovLp0+UU2OME5bV2OO42T
fduD2/0aFn+TW8Ss5egghNItvXfDbMprxPhIpODQydl0Qbu1SQR/14BA1JJAU7oUV8GtbLtcU49G
MMA4MskZHtmNAP0Xjmzu2UMi1W3jLrttYNX2a+SbWg1uGhsLivq5X+2tyrSW5JDR3XyuhqQjGGcr
/jReWHKJ4lF9DkUL2h1rfZ9TrUPihJdFEuK1jYJpmr/o9jLNXeI785nTS3UUiqF0eFC8tKaNMXsI
7wlzuuvda1TfVtuOWUQvV7P3pmFIv2eoLt5rI8GsyDHbZrwVdES+9S6vFsa/Ds4hS5fmFeKT8jBm
IDlpa4gDoRT+ZnIkvJezjkmpiM4npto1jUg7l/YLZobLCk+29i4OF8h2eqEw0y4/J2YSL37WTLdF
brzzlnql58tkTURHQ9mqM7NW5xb1vtx2BXm2ysi+4j7otplospeyyzk9cL/Nboif04MIXmBvIZ+t
e/DvH20hJLVj6AquG6eoz1ao9mxn9bUesuYR+s94gjP23wUs/jaRIRRvGQJeDEnK23ichNjFq1Jz
LmbzxotRBKtY9dtEKXVb9Gm947/DXfVi6VzfteuIFMOltvdxC55usApgNaXvi5SDfjb3x9EymZ7F
ihqtNliCaI69ionp/MZY1T06ugw/O9E/+JOTjlEvucLagfrpzXnJXdQ0dsLWJ6ewArAK2tYjZTXq
O64JYOSGMkCi3BSsabCgw0nlEgnjYJsEyT6mkSFC4nObjYG8WwxT36D3BimbB5Io1cQ8uoeq1lSC
r9G05JCGzhSZoyD7lrPSbCx6ddfOwcBWN6Df68pmRtBDencDHlGdlHTcyBs7NyIV+TgEi4hkUKPy
hexeR8bhsZ2mA0XE6KRQx224yplc2cPyc25qvTNX9HuwDGPb9Kw88rIGpQ4D0T+HWR5uGQLM23ZV
g5HoO4VGCJVmNN9T6/8g+FTvlnAcYNSabDPOiIwNx6l3aTWl+2Eop7Mh2y8tl5uCafuVNSEeX0Y2
VDh9qjtyn4xyp9X9bM75fsyUeVpIyx4NoNGobRhRMJPNSH4Qi0DcMEeDBEASFIjcgZH/WrAE0Byx
jrml+iVqKa9c+uoja0YuF9sc45s5t655DRAJzKgyGqX85iQe7qdm+QVPzPVtwXYe5dQ43cS1xWZE
5zz6ZZh8sNPGwkDM6D6WIt4gAO8RpgWaD3fRRJ6ZcA1wv5uw/e2orNgXLgcGPTmvJbfDDeZyIkoB
/6mlc7qoGSb13Q2OQF6Ryy3dZCiK+jG9p4cjfwhF3ZzMQCzXhDT5Nvjy11DG5paHac1TO9OvwVzz
gaHspyxDC62TifnCFPBc97LigzmFYJYy16fBKb19zh4NaMGoQKGW8lpYYtypeXFwks8ffQp7pIVH
Cz0Lu2hMpdyZYRu8EIlDyGz3SMqqBfg0Sn04Tb5hDV++VjJ/420v1c2atnlu/bXT2TaZtGMB86jW
2hhFmDwMuKzu0d3kb37uPYH2jpu6SG4dkgxHUo0JS6I0X03VMd9oNi3Oj9CVWPMQUHDjCHbOElNz
0MJ+8ZPW47xdWkZXmaeZcCW1QPY1Ve4WUpFWy8aq7zRWzaO5TFT1TG7wa5Q9SiRz+sybWN3hzjTy
ndapPuaNsklKeJqwTj7R4mY2StNOMm9CoUMQDdflFWGWj20Quo8jO3Rzw1MTIT/SSbFxnb747js7
oLu2zxN+pkD0NWVWnXdAtujylqmYJhy7PlyGzcCAEneu/dRkM+WJyrzGo5ajPQ6hXBNq8MY0XrZ5
nSabNrG/yGe5T1B24tNKcqPcLETGgbOyYTo1K3ERZTLNB2jAefo0i6BADTb0T8vYMW3k4UljtkEv
S+XdQzOiK/cV63c+DqajZSw5L2dP+19x4gPjid4nM+Jmr+ycHbbPmbvtyrHYUY/ZbJq6WZiMtH5J
m6VdP2J5ZAXKcqm/naSAczRjzKrMlAZ0412gyq2eehZyCDwOidXluBlH+AkY7F3D13VQnWccwD3i
8tD6RfbK00y+8hE3/CzGyXySuYqPZu5nJ9MdOfHGrXduK20AZ1PwK6PZG4uXREBqX2lEIZRnpd05
NARvCDb+ctdAD5wF+izYEwDQaHIqtuo6MXeL2XcPipXiqxkswxdRL30M+jq8qvNc3aH06n7UtttJ
3n91rraU+VCc5ZIk4HS1vISdIjbH9aFn+WjxhN1wTxqw4oSNjc6qaGa9y3LeD1cgS2W5C5DA/hjj
YPF+JtLIlq0OJj5ZA/AM3ogdppi585iKOtLxqKKQKR7IEYlz7Q9PuKjJHvdpZdwU4M9vcelWe7Tt
pQPsNxUndvFkAemZCiLHkehm+hJG02Tt+6D5pcep5PGKjeqJqXDFIawdPqqywhCa+vkeB3xy1VUc
SYtKt8SMSl0+W+kId2f64jAS9b3O2TbBfuKSrbGObxpjKfqItkx3P5JefSDjSCWeS305caVM7nRu
DddltQwUNuXVkch0ci8I5uIq8/OuvkMUM7lbbHJm60k6wAjdZl9lk4bzOlbAsNf0Xxw3s4CePOm3
o/NUK3otyeYNcx34XX/Mw7QMKRNikniFVt0g1JRbO0RDVcc6OeU5OgXFxNHJs48q9dxXwQxl2C40
SfvHTvJe/IBAi7emgXX0OtMaDQwv4S7fMT5FgSQGEkbS8Kn2SFVXX2tlNMeB0fPj1CruAswI105h
MBTM++d27JoTjsR8Oyg7u25yN9vEYvC/y652Pk08h+yrM0a2h6lsnnsJ+vtmWQ5FZUwGbxTvxyjo
l8Xden0Q/K6DJjl6Q8kR3FJAXC2EwMuSU9qceTydd2FfyH0v+uXd5GB9NWIuQFta3NY+HAagwXBe
RKsemiZrfqaTUz5CC+MHR1m4ETTybd3UYiJtpaW9g2PAUIRacWO263ROshDoqBq7dZy23Np8jT96
TpE7NU0ha1Mr3yV81nE4b2GSBSXZQ+GfjKZCAcfF/VElWbjvpCneXWdyjqXsGqA2nkwFLTKRn9Xp
IUtsve3qNaCawelEsk/HjyI09KEQzp09peGXWXV3OBxR6iqInEaI+chSs+UoNSTX1IQHpBLJ7O14
3bRsbPGxtzOrGixHmPatPIPEjUvI4IKP8Xgy5K+eM31Uh355NLLY3gKRjptq9KqAMCO+ZMM0ZmaX
tr2vY6pEqtA37pS9zIjy0iN1s8UNrl0qHJLKpsx5NC4a0vR3Aw14E8dZxoO2RZtZM9+X/Vpa3qB8
LtJiw9Kj3HVSaT50xvkhVWZ4iySJiVyVeUcJeb4TBXlos6/rMw2O90HAnK/vEZuQNkjee7/KtxUL
WsnBrg1uJYWhwBOm3FkFGtG8oNLjwgiydCAuSpKjfDOa/q21faSrOjjQnWOZ4Fb6C09vj3fOpNOv
ZBRtcfHEIYWqIZoq5KqzhCTL/YQV1FK8I8VJd5qfVkTy7yeGl6s0oRRlaZm7Fz+hudfX22DWu0FV
jPcn2955GMuiAsHFOc969132UxyViUlxGaVp5sagZKSAh+QzLwEEuoaMqHi19P7Bgr3biM7JrpH8
yXvmD6a5HRzs8DvNGg7tH+ft3NQUjqzjH3C65hTi5wZN0nAaeWD+HiuuaLnK9bF06PsejVY8oG9k
ItBQ75xO6kwdJ5A2m6gzc61tms4AUsDcfAAb8sxeRD8sMk32SdZ+cF/jKIZjl4nnkpenami03CS6
n1+1YqTOvOfGtsv4haPUc2a0INGd8q9Sj2g6BXgcHGvaJMalZfo+GN220sOv0GpvRmu2ozQXL5XB
I4/dIzICD/kG8orgNZ2IgNK4QbzfDPRGDLH7vNRU2bmLFFfVnF5nRvWmGr8/zn361HnWt82TdD/O
nI4o1GGDUgsUHBbl0LpyviiQ6rZm0tmM6MuXiWXxd9OUxrKHRfNUxNSDw/dE1BdSonwMZpT+Ebg4
eosmoP/OHCSRBq1B9ehJemwtPN9REcQxYyc1jnu3d+aMw39pcceZXLqq7PCx4oGlIviI2uOvRwcl
7AHcO++EcueZsjuLiqPkkrFLm5N4y4+qAYnL3eZOew4Ha7p6102RzKzIEwSldzrA1r4bzLS5JWMZ
nPgH/pWsgm+RiEcnr3l4BBnWDurwzrPLhyvLt89YNkN7kIZMdgRbncj3CRq7xXSm34+EgGm9dHwk
MQ1H4TyIdRbYVMlmDgcwectbzQholuPMcg80UjubpEdyG3lThy4ir4ejr9tfSbCcJ17wG4Kl5kkm
xk0c9px1ChK1eetTDq3VfrSlv/OlV5wbl/FfG0JbUsHY0gQz0c/ltNddoh8wEHxB4fCKj2d3F07V
Q+s01ZbBjH+qHDAu31ApZUO04/hwonf01r1mltPjBzXohoYr3SSFXR1Ss0l2WV1a5DG5nHXu0KNf
SkwmF6qOTOl+NWMcPgyGyRguHjPcH/MvmVhMztRs731JxjhX9kfsautpDKgK96Z57DY5lSS/3d7X
Tzz70FR7Lvsxsx3OXcswyrTyjRUbzg3SXIM5S5aJXWdKeQy96sZRRb+JF9sZtiIbYQn9xCr9KDdT
eWYXuLHILyPZnpv33qrrNxc4oVxXB8unFGk8baxZGu9kfro73ywgYPnAg2fyqQYNZN5d+8RdNuQF
83TLGu/ckfHY2eU8f3DO4q2VNOV7llvBXT3asEwqHT6NzPtOOmtucKsY/bllDP2wTE68cTOfTE6T
meOPYHKHeyFSZ7kFea5xr/hlfWAKWmKtUHYDVh16e5R9lr/1ZDZtG5GxzcsWVNdZI1LuC7FxizzY
1RuXD4NjFuvnOXF/cEJwn8ir1SzJZ3XkfTDvIJYsLlfByxhgqGPPLZ4Ss2g2fWrfBbB37+VUIT8o
42Bj+TSSbSm6ksbVKDjUXBcUCqED1+kVZwg17RMPxzjyQG84OxRmLZGnzCY/JPE4rUOignoeZmGc
aUoi6jS7sM6nUqBxN75Xdy9d49Dh1AaBRsjih6ywTGZ8c5PHm5nnAvoeIKnbEdfps+Y/QDlVOyyv
gySMw9s4ZmjEgJrOzGrub+yhGa5JnXXtxmxGdRjbKrteGmTjWz6wQpa2Q8KJCX1vZAms5nzMrych
njJvpfT8X4TwSbPJIVdHUlOk4I2p5dAaOLgbEgOw2gns6ckdGsXwyZSNRx4cPUUjjPAFe3vy5dI3
ylI+ARjdMlObH2epJwmHVma7pZ1mxNQ9F2+EuQXCArMkm2I33yPHa0qj2oeZMj9QBw8XAtrYrdsM
4wGOs32YEi1eqRurJvaXPLCXzrUoR60xXRetDh57+io58XZJfV8shn41nGw4o9dnLkMkJ7jpZkO9
ogMyb81ynA+iCayQy2tvP/QuBWuhEXN9QSIbXsE3i4+5oL5P9YF+EsJmGEoeindpXfFYjUo3qIC7
+jTdZm5PLwCheT6xhpGpYGRDcOW3TPixw2D+ACzPUVu7e+WNLj/pEuGvQm+7JaZ5TwyPZas3N2Jn
M4Z6NqmAOucOj0oqAObvoimtt9jqOagtnkKmxYDpNg1DlFNJnrWvw/9l7zyW60bSNn0vs8cEgEQC
yMUs5nha0RelDYISRXjvcfXzJKmaJo+6qb/2HdHVFSwa4CQSX37mNa4sd6PBqRuWDocZW2pDsRNv
zbBN9pWBQAX6EPlZE0yoPo6YsVWtm55XVoECRupZ5nm5lOM9WAYoc8zj8w2YEGftoiFKOOnQCU/r
6lLOo3/IIyvctsNS7WFwOWtRpewSoxm7Cz/LxSPdW4NDbKzuTPK786asx13fkf3TzvTo0hjRzRwl
A1DHEOMAZhnrsGrzi75TP4zBsrYEp+DgRogKG/Ni4ajKqwG6IdrGNTSpyPKvislFRWiWw6kLMw6q
H2wiBzgEm0Z5a/rNzSnW5/0Fw+P0HFOT74U/WdshwI0g8ecnWG7R2nbgwgdIuEcrK4D0WzfzgxGL
YOc1VrRF2FRsDTb6PkKaaj00s32Stihnrcu0AIuqfCTOxWSh0Aqrq5Mluay5QPjMHJSSu2g5zM3k
gtqw2v7Khz9pk+hl2aaAH5jdTDKKN3PEYZPIFApnCgj93PDqzSgZ39Bjtcg0ymhnpT5ydsgWyXTh
v5vBdSum+cvYwQmwh/QB0dBHERKspVFsY0csGzolT6pAG0SFDDxG1DnQLcrMDYI35c62UucAIHEP
7RYBL0b2pSPlWvUmRtvh8kVEsVhlSf1X1dbJlRv2h8CwMR2ou/0ALuabMTEGsYXxiAiCuTMXMuSp
hldZMapfTX7/lKsEMGuPGipUGbzSS5+j3dKFYJQZX2AMzbgl29FJjdXWuTMYz4Bt+4vSLhowxMD4
Y8ZgNHqU8wiGpocOOJ0PVTWdNFn937H1G8v/D2wxoIg2M+P/PLb+a0aqpAjfQx5//c6vwbVlOv/b
lMhJYhNrmxbH3b8G15bFtzjpheZ+ifekMa3xCY8fnJ3n4JWpwXa/5tZofCqtmMvUWsOPGXn/k7n1
kWiA6Zua6Y63EGhHxDAEI/r3Q2tUoyDpBPV42efQhjP23fd3q/FvMIss1nvU4G8XOFL5aCaR5dXE
BfyEdisGBb16iofLWNHTev78UvJoAs/43/eBlKLPhCGfI01to/RuAj9bLcrJmWNdJJJhSoJ0imEL
E0A5bf60lt/aZAr9HxE4qM5keIiJHbbmaP3ExakpzDrMn7EA8b1QW8lEsO32QROae9zn+p8xJlRx
ft43Tms4Z6ZbLSdZq5KgufMTc0asxCiDu7nudokdy1OkNq2rpC4RRJ7xNITtYCOZzmSjoc6w4YSD
6BsHnPBI7/M6Sm9rZYdDA/O8GDzI9qVPbkHHBAhQ0dvYHFTx/Txl/VkW1D2DkWHOxh0kvEzkZx4O
bxtJ7Lz0cRAfvxmAAsEwhYxG/c5u1gBxHfGFwFEtZ0lH/ng7Mtt1iq3A10FBVKDtzURa05vidv/6
RP7LMf1T1HCAKb/bvL95kt3j2vohZLz9wv8PGRBMoW/SMnctaX/AulhEE9e0eWFN9GNNh/ftb5Q0
KuyEF+uVfPorWAgPhqnJ5pUWEiTECvlPgsUr/PkdABmZHiUEMiZv+Bb3WLKHtwPiyAyKUAFGWGh/
jtU878A8qoc8RzY3nSaUtIYwrM4Y5rbP1jzH2GohIDrX2Jk3NWRsMHjTVdL36MDG1nQTYYB6RW7W
mlBJoXQHfkp2b/Z0SPLcdYLxxvCwc6fhoQboX/fUVyqnn5mD33JDoLb0oLLA+KJyJpunZZMwn1jb
MM38Fxgkc9wfRqRXpuEk9HoLSlPgTUaCXKZfD7fVwCLfGkXp0c9HmtvZhgk+ZmesJa8M3hTT2uSy
FAcV71SY2yHAXmeZu5smd3LgzxmyHFrWoUZpXkBqdIO7Ireju6UrxYEPBdV86Y3vY5THxAmHsqLK
o+R6wnCom5htLBIiOfGof1IWbotNm8M5j6loUVNIxFqVvOge0qCLZxenCUwYiZrGkjI03o7AVesz
m9K6sDDG8qfLKEwH42QaS0ZK8DRChOZnq1+YsIVpouezlbS9vR1jN7MfAhPvlQMiXoGFal8O7CbV
bA14pBcVpiEFTyGXtp0PJ/+NCP8T+JuPUcFnAWHzM3san5qf74PC2+/8igkeGQGJHJI7SPygIqQF
wf/WCod2TsMYbPgrbUIT0v+Gvykwbq5NioHXuGd+4J6jWITQtjRpfNivxPR/EhksdcwOUCZee9Aw
TAuNJEWI+nj2pskQAbtS9WF25+ixSzo9qqoEmg/AjMr15DV5t6vq+SqDvKSlKoc12Y1C+casGCLF
cMzRorEeg7inYVEA6FnHyhx/Tp1rbHz+OEbDGJ9kYXdV+AaUsj775sDqQ3wornZFqFpcdsxwi5AF
Bz6LGB8YNUno7GNxPmG1DPRDdiNDK3M5QFIKnHWQ5M0p9Ui66csAFQiPTkMX0fJHIKg5m2pAGm6O
y54xyWQPBhi5LtG41Ym3EEdKJHpuChU6p5C3IMnWxmOc5cZdiLvCyqmnYo8tarilm4P4Bp1f+H8t
RejUXmMB9SyNlA9Jq59Zhn3t2HO6UyrFuE4KY5WERbfnpX2BPxuPK1OBUgJsgRNQBeuE+Ui1qxeu
Hg32tSsAOcQeI+sSoDrjp+vY8u9QMrmgGMdVcSpuxxq3iWlEBSfDxAk8DMwF28/Pyzk/d/zqMcip
0harm9D5CL8pl1l3XQ6rTIjrdE6/1XJASbUsb2nPLV/TjHFdJSjeU7/qMbCZURwEOsUWvJtEANKI
NC8NXH0L2AxK/rSqJ7H3mCZ/EamBUxf84duwVdlDOffOgwVhe48xHlYYYSB2Ll7Hq6Lr4EOa+Uu7
VFem6yyHwDEAGs71U+lgdFtBDWCyHtiCWhrKGDTXq2yUByaUzEUkplLzEDWPTurfuW1c7ssJcVir
nTF/DWhtQg+0Dqp2/W2T+fcM3uCMOGK8D50gPHXyErawF2pJJRXQejPpba898O3XHfI/l3lcYwA4
2tHkYwlbL9ssKm6FYU1b0WDCsbFLcdNmndq18Jw3QkTuGu1IC6j1EOuqDnJ2PiFR2dS0AU4YSVmr
MJ7LVWJJSAH+4Ja0jKf+LAxpTezGxpD3njPGZ4AeTMD4yCC3CEExMCHR3EjWstxZ0ILoL2LQxEAN
aZyTMjHpv8ukm1/A7S/G3sdrLniZlTdeZHYjdLfLSbcZcKJmZWUhp1Ji3f430P9PAj0Zw6f8OETm
2vRIY07/xt+pn63gutmEct8TWiWQwu8tzFM4ErGpCpUtsYN5PQB+hXl8JASdQ5JBrAWEtLTS/q8E
UPItcNN8VwjPoaL8RxIj+sx6V83p28FGiA4hryGfk7PlY5T3vWHO8950fkbmUiUvSFUFSPmOo23U
3abroNw8JFmIxkQ7U/et23aW8scUZFVxDv63rO1dZThwPvBrNujjoCOtJUb9LI2m+8bMDTyUG6dy
FxeqAz1LAzjPUGvmXdbPgO7ipEfRH75X5THONGnS3SMiiWhjhvYXPT5nVrGNOWOPUf1etAzFEN9C
qUs1awAZBrbnxZBoDBejqIAG9bsT+9+UupY+4/6VHgNZoVDX8xz+IUEEAfNxdZjYW2XXLvJn1Y4D
kuc4sEdZukIiS6QXKpSKS044sucvNdT7+Q6BGZqcaztCvqyhsz2G0/3nt2T/dksewUx6Dn4hrsBg
4+iWIEEBOG+b8BlLeZlegEAN09PF6ZH03keGG4/keZjIWwl8rgqKfJpMVapHHVAIn0rAL3W98npJ
yoxWWGtG2yUIF8AI2cSj2HaADBGca9zAmLZoLtfu5bKk4A+3OcKDsl7RS+0BuX3+oT72LBzyGL0H
FdUPFFKXd+HjMgdROsWYJBY/zRGs6a0sYqO8ybOgXK4+v5BG7L97nlwIyqOWCJXWqwG0Xtz3/QRq
c7W4U/AseNqW2FZZkDrmyjZ5wyfhJc4XiDCScDq7MsPKtcIebrhByKtIXj6/E92GOboT6dOr4BAQ
QBZdvSTv7gTD49lUU+I+D8BS3UsJ4q9j+pAbIE1PkXsDz/FPF1nipEEoEXSa0BLSIer9FQ0rNLwS
E+cfWV9DtN7Uc4U7JSjkJUAN+/NPpzfhx09H4HLIKdnwNDV1h+z9tZhDZRinS/t5skIQjD9tqp6I
UXQF3/EUJwy9xNns6prx8wv/tpMke8jV/wNgTNAl2L6/MCbObaOStP0xmZBrF2AEmT/cBEB6WN3P
L3VELda7FlceCLCk2+woddycSsrSSoE3588tkKPcOwA4KO4zZMdreBEeE5/qy6SWwCQxi5vCNbdy
iNLlIWm9ihQSMXUgUStsPHN1nSQuBBnAmgUCS+kQNv586EfHQcn285v+7cFA+NU6V7ANLNP6rd63
VArCHceQH/giNtxFY6g0eRms2ZCPJWI/dPEDOAVd8KfF+v3B6HrCZhJNX5Jq/ShsBYZlohghje+L
NCwbLX78l/t2jYdM1JgwVRmWZYxqndR7wlYXoVzGEU2jqnVuTPZwF+fLSGM88qel+x6C/VFYQrr2
fIaQtEMa/odV8o9fT24Q6xn9mtBJ9GnNftxHMkSmPO+b8nvkxzavIkOTbrlqmb2zqZYZmcBhr1rm
R5eGCGLeprZwHA6DwgW4BdwndcL5BxswT15cQCT8hThAkxwDFMspk5e3AOwEFdFFTn3oPrYQDgN4
rbmXslMHoEA8naLpXI7hQjDED3BuDHSINhi0cUGb9qF/HaAuNX1dZp1CrIB8gHaF455gtrgyl9it
k53toMI+rlDTjrXCqpPkP92RxokFqzpolytefyUfixiiwEPDKIp7tKpEFf3KQhjskZFPlTCLROx8
eVg64Q13Q1O7ww2t14yfjYqECLKKIqayaH9H08ilc+YoaDgkojJ40ZG7LPkwJcQdcC1zVLiFXLVj
YvOTuL0H/Ejsem3u7uUwRd11x5ybw2yuqU+6ddsg0z9vk1BxaYPhPT++MNrjanREKvdSqDSuv9Z+
jNpI4Ax1fJFhSTDvR6udijN4BnN/2k/9xF6a/EBHPhJ3az7zkUrnsDSDTp+ZtR/YvG2VX3ctIy5w
mUAHfn0A8u6IjwotW2mOMFN1FlSaBduvnUIdxLLcM418SxHq8q/Yq+Y8WbcV2IC//0Zd1ZjwiDiQ
cbRmy5WMwkW0SNagFzE4qMNURQRHuLt8pvBtVR2syFk5SWHGD4xjB1yhyJreyNZWpPQVBV3g5GWu
ApdlqWav5uMR6PV2KdGgSl5EWhZsmiRwk/wG8heWwDvQZXq7VBJFkAKoulLsmtCG8jKvqT75gwB6
rMDbdWGX+uLUcLAw+VHnE3yndTnhwJqtJYHRCm79jHZEslm83s/GE3gJAzNF2Kc6d0uoBPnezGxS
f4hEYR1zUWMTVSBBZDT6uXv2QBTYNmgM8WFKO9D7t8Echa8QuazFcKraAQmGTTmXDq9CnzBhSXjy
uLmQh9llxy3Bh9AXwlld34ujImSb13AOeQVnnzZYuRGL6yKqigAyt5fksa/ztmDAq+WydQBPox7j
8MVaISHFbSUOxHysWoacFewnCL1ooDLD5C9lpIDOgf46Mm47MGV6i+rUerir/IL/ry1gfKCako7Y
QOq4kGVQ7fGez8286OARMe98SmrR6FfaQUu43DQmRXABy5W8UcuiWGK482D/sQogIKp2PqBe0Sb5
BcJWCLBvaxjW3B/z8l7varAuDYJaqVoseQBqKqcG0/c7hYiOGja0eDwdmaIsghztmuixwhOoxK6j
O4BXMXsbY4dwMKvlSs7zxPb3W4hGYDuBWc8FicJYggKW1KYQiVEErc21GyQi/lJa1OwtA9NeP+Ei
HmZYZ6D0W9qWcWtm8byiKdqV7XrK2tYYz9KgxQGBoWrLs6kdH8YgLqZWwYcpgmQOy1uFDoVTXJZA
nyefpmmM3/2WQEy42XYiTOaaWTnUEMAK5O3TsApsyFWHQCS9xK+aFq+Tuj+WURpoGBJsZ00IT2hi
I8/ZRFMUgdoso97y6Nci28zmgSuidyLgjLrapXOg9yWc85Y9FIgYlYgzYAEL36vtoW/QhpOCUNnW
Bau0yVOeR7GaTMPq68t2dLEw3iVgmnlKheXg6YWHJ2p0Lk0TU0fBnsVn55oxWP9hZ3YVQDEgym3N
9zrEQIhLqUlD4Vp1AL8xo3d66PmrypmYMZ2BwCU6DKwi74Jldy0baqgbAYmCp1/P8sxHn9A5+Mjl
cePRZPRc2rGyifsnXHIcDVhYcMrnAViSdus7mT5ku65HVmo1uTJGCs7zGyBsCOZGhoPG19xgfk6I
ks6hqjvMvLY+VvfNCrKhTrE0xGH+kfs11civOoSorxdnpINVqj3AW79W2zBKRmGc9MmygMSlVRpu
6mAsAqb64Ohvg3riw4PzRAxwO8yjxx17CXAOhJfzyOPFTmh9s3n8mA5+Cg/9dVvn8ai/NzulYOMu
zM+5c7c0dLhvDZ9DyzLYlWIrvEY144pMNDR5P40w5s2FdYseBXwSywPYFxN2N61COhFficWa3W9G
MWbNrZlP2R1EdAVOqWmw/Tx1UXVId2459NUPBgC1cdYgfgkClzsV67JA0esbUmXuskvRjMienSRb
mptcI8ieRhTPxi+LApSAw2jWoTmL5FEF6jrBFJ6umSOclkbRKKH5NzXjEbhquZlb5yLjWEVurwMY
XfOMGoL85NdLwik8oGICgAjFLlL6pRlnTBc8NDjUqmqMufuK/2/v3LpZNzuIV9ROqgmfmT3j7IG/
UGRpr9kg7GBQcpJlaw9Pg2XZqBj7o2YX0OAtzxD0BVzldunFaJpWtRuUh9ezJEFb7kLQKSUHn9sB
a0Xd118JvE6t9QxPD26OG3at2hilrUnKaJ6iOSGz8ODZomM2ao7LGb1N09xbI93TXVBNVgH238sW
wIGBkMZVhSy9c4/kDHhwBr3eXNVbVZrTdDd1E/QyA0sX48YxnHZ56Ap2NYQA123uF28IIeVlnesh
xwCiLlwmYLNe5W4YwmTpPoi7ZNotAIYgRKq0FKh5IZXYwmC18sQvniPGW8O0AX0118ixS9GDG/aq
0lvZopWMnbugqKW/6RHgQuElyI3UvUQrFYFPeKkVaW30M/JhJkMGKv20t8uNJSE2uVtXdMIILxub
D5Nc/cq+zTkLXOtmhLaLk9EIi4pjqcpFXsl78D5V5WyqYGyCgXyKjnKKzIcnycYCc+SFaWgZsv8L
o0FOet+IadDHiiKQ8HLXvk4fEXobeB0ix9URLmecQCiJ8UCzgl3CFDqEqCbaavTPUAQxSEllVEMu
u0DSPOGU6QoZ2st+9jz+5q6Xpc7+3DbVlYPHvIC7nZnbIXnf13nsPkp0ebgVqzK8VO1pgdJrABQr
CZPoNpDZ+ynayfbesSVZ8GiSuxkYdY0VsSzxY31oBMYYAOUSeSvN7WAV7iIOyrEzUqLCpuI3TvI+
N/mg5CU+/SYp80YHxDyzOaNHXzikJnD8OhaoKjx9cvr1OHGnTRh5XBv5Ca9cbgdH1nwP+duJP2Ym
ZcC71MqSccAeZICOk6njZfyInViKOyqCqkWbVTVK56sqwLzvwe76xv0+gjMsdygSesV5WCYDxyI0
fZ1LFZWnU5ZIdXqNurJwO+ulN9o5VZsRy9A+W3Ee0jcAGA21HvCT2UiWnxiOLtEW7RfaPS5jRU6p
XycYPoasY4qDEhHNVaO+e0sEBgtZoV6iyv0cww56yXqDhSXMABqo1n1rwKI7/L0SKA3CvugrsZCR
egWSPXclWuSQelLkZfwMZnemt2KMWDE1Sz4F8jFrLG7m7TFyYFrWA+Vf3935dTDxiZHbtXhGfYtM
N9L0DDNhDi5jYgbq65B6MkkPUeWG+XjikI4Od8xEdRZrLZVuPjUNZjrRCdZ0OqkwO4wQxtVoz7qQ
992azZLTr7OmdTyajddtACiTpYR2oLP5oayaRh4AIreDfwXiFnk/RgWeyf3AWtHvAYq/Jh91SEky
77Aj069InSOsdLkUiC632wBJLhI1K6M0jmtcALDcDlDLsve17WXk2eHb6RoNQ8ihCTiZRHUtREUW
6DJWIt/sXL0fgyxJyKzRDKbUDhav4Av+u/5prZO8XI2Z73FcWhDmOMOiCBA/DVUXiwqSeVHpu317
PVB95Llg51TyUJuWwJefiwnYx7fBH0OcKQANpB5vdc1eyNYxvFbeMwcqJw88K2xVXOSjFQ7dJsxa
3wIQ2uVYqW8QeMarat0bQ861Crifw51ZDVhPJK2lU2s1lJR8oafi5mlo+liz51NArwSXeXTEuTNa
XVpASESi8CU3bV0EJpWkYjMtpBR4jRxFeknhyXPuZkR7z8RoUz8xF52nYT/Zok6fhsiaWJTgLfNp
QxMh221b+hiS7WOkakkMflXEPqqJJAZTGDLO30JPFHwVUrM0W3QnjOkH3HHED0wDu2PEpauIcoQB
UtgaB58ZZn8Hs0T0xtoYLdYfCXtddHsumGQtL43WBrhF1ehEPqyQBLsL2iDkqXU5Dd1yM/nGorA4
RFSAHEXJEpsAkhBiwGLV1LwntVcVIw6YQ852ciWXp7UXLDpUVsRk91B5csIvoICyTUZj+RaWBXMK
YfnH26tXDJlOrTIj13RX7fbW1ptuGFq9MYpR94+MQMx6S6KhMhZfTGcCUsGCLLrilsroWEh01PQr
TrUcVheoUDokr/OYhPsAnnN/7U7e0p74Pe70UA1tagoONmjQyHFPHaSJnQubnj+jHEQnFZKghc5E
Ne6JODO+VY1TirokcMZksAhSJPw9XpV0ruxsC7ZVV4FvhUUWALqmB7DAPYJAWrszcvidv1DxOoOf
sNEpkjAMWY8IXvJIY6vXt94XEyfhFoBD0HVbY2LIdeFVNEf4QWDuyxW6lzpgdTxGAxR12jK6RN88
bhcmAxHqB0+ihL6ptvNb5FDojrCGyKHpXfl51+jf9Ix8eoJKMNBBC/G4wepjPAmvIRu/T0Gn60xN
cY3kxmDKmalV2zd83j9c8rirRpvKpzzF4cuxcB0/7rPOVVH4Zoc3iHQZB79kb1sjY5zO0fX5p/v9
UtoKSTtrMzBiNHXUWbWRDlsGuhPfYyfQ8al0HTGQFBKsiV2fX+u1G/i+f2zROvYsAXwFjfjfp1Kt
iezuiPvM90nkPYVMH+U4q69l50S8hlGTW5yFi1sSNPrCkS1NlCFDPmpddRASLulC6MmGouTVsect
Mv+afRRNqEsENHZazgRYeyNffX77vy2VoC1MYmuZqCbj3qS//663PzUM4MPRk09YfE7cBweULgs5
XCmhPr/Ub3tO0BhWjIKYBKFuedzvJo1CkpYE6klFPvr6h2D2k/HBWjz9irhBOP5xyx2PULBQ0pqd
tuSa4IWO3aKauhV+SP/+CXyVjlHdxMt21cdE9pvQVvrMChT5PsnEzNc/UUwwmy9Eu1y+IY/+o4Dl
8TIzNZWA5vRUldcNv4WPyzwC0x9GFYpv9CQoHecookvlYydEBPxnq2xLQKUMYk2Pq9EcO2peI1NR
gwZKrG89yLL0ArFwXZrHCZXaYYhsnTV+fsGPGFuGJpIxmG8x5JVM+GgfffxoyNYtBJO5+dZgD84O
avATJcwRFGeea9DU2YSVSxzOkVp7KRyT+U9zlN8W12UTa5N3DyQSH93+eAdUiVFmVV7xrY7MOSy2
zLKWdEvXI1LJq73DcjUgq8yZ5zrQ39A8eGuKG7LTLa/cBaEfnYxvi5PjccUa0fqfeYtLMIlUCwti
VBwJbTqWfrvxRYezCyKXaUe09kapD0ssS1HUwyrF5MVfIRim+6+d19M8sjC4QYNmSGnRIReXxnZ3
EjNahpVQpobOrVpceggWRmN7VDG46+jjHJsWchuvFfqIhwVUcVveW4O+JbUnaqaprZOmBESxPl5t
ZPAqDSxCNmdltuHI+uPx3tCZtIcJJ2M0bVLasp8//+PXmrhng8kE4KlsiM3HW7unsohgU8xfAaRg
NXwIq06XQGrpdAbwq2X9+SX12/I+5OpQq15nND5YAE8jDt4HLQZlc1e3/vhVhcDCxBYhWDe9gAtk
p8al2SI9ESAkgIxLtZssdMxowma5vpvPb+P4kwuBDR+RU9vE8c69jr/fxc7CrYuRZxl9TUvan6dx
jrLBvZ2OdnNut93l5xc73uQIcEtP0ClyEcHwnVf4+buLgRQLsf9o229DXSXLg0w8vS2SpNKZ1eeX
0hyD9+vLXwfR54D/9Zi8gbk9miiFyEdkaBrY9xhlwxALaF92sHxpo1LpxsnI6YB3+ZLzL4+GDfty
kkI9UKzJxn9VEKAFQ8mj5/fVKDLyUGtBw/jOjEMqlMgjCICETyLd1poM3QbwO0Qno5PBd3WbGB11
fnowLGBNiMdJziIgSXpSBKlex2sKghTjV/he8ZztCkSYnIvPF+FovVkDRQln8p46HpyK4zWQMuxU
7vbTPY67+mTGFle/csZYUjl/fqlX8eJ3+1k/U4KXC+DC5VgUx/sZOiE9VcsJ7nynfL1WL2mdalis
PpoI9YSgt9l7BkiHVUCkRXdJf33VDJDt0eoFWi8fpePpfia1YEWks/M2oKNgpElvLOctryoif3GV
pyOAxZ6CaYsuAOVxvBDUht2vwR/TIj1EMrLE5t1ZfOB/w24oc/3AF5lwFeN1Oo7ChL7wYNEBhf8l
I/0kE4usBWPggcBfbrom1o3lXyM03kj2bsLMg3MvCOhy4F9jQeor/3De+h8fHxqNDpN80wawJDkL
f2Nj1HyCwTer4Ec2CO8xaaBy7WzGowcX6KBDjz/qdjDq1dmMvEqwqZygOOR2mj1gPWEOKB71BUPT
UKwUjmftyo26+j6gfm2vsqkdojVuOdi4qeQ6Z9T2Y6icFsGiBjvfNbMc98sgg/IsMuP2ghMp0kp9
0ZBuDEwD/lqYIw+nQTMmEp8eZTobuoYIuC0GuMMuw/ls3armyuFUSndOZogLb24GGOZzvWUmnj1g
kOGcZpnNlCDRjuUcIiMjvM7KvoGakGfzBJts1S+1aW1E1Xh3NufzU4XzuFwFjRvRwgixCYfNXdyN
nugfYoCC4KBMwykg8cnqa9qr9hkbiebWddqWtCjoDwlyhDvGBHO1LpgXTetpVDFit04+nGYFumGj
GmjYREnyV++7Ll3zoE+hkTbl3QIbekP6aYA6NQxnDX732ulm87s9d+03y1sA1veyX0eTm5+lXhtv
4WTGZ5+/ZB+DNRuCsTLBTJIqODaJwlFMK2n/eDhkFs88r+kK//gi3bpZ2QGzbUz3/vOLfTyg3i7m
AZTTxzw53HFGgqE6qV2jimfX9HIwQpN5h3Wc3a7yPL0YHKFZtGGZXzMihDH6+bV/2/mvHxOsDiMb
gvgxDqyXrUKAvcmfa3S9KjzgqnTa5QKa5h+Oide/9K+w9fopHdsGeIBuPQfycRE5IRJmD2Blnq0R
cUzyD44LvJlyK8ZDM/NuCjsPbmLkcPHJzKSqNmJAVGgPkcDdTFkH7AuwnvulcRt1WhhonXHeomtI
X7GD0UHyYndFXq3sznKuzSEpXvJe+OcF7dnrwZ7tv1RCnbpCNRtJdszqv4hcsY8NL3fp3qTM4pCr
p7HWqPkZ0YOOUULf7KxQmk/m1In1wvP7Qy50BMJjSXQaQBrEugB6t49TAsvw2snBs/PZ6fXiQ9GM
9qJMssO0TE8FpNKvwlDTprdDhh41ft4HLAQxVf18C0i9mT88GU+DNTUexAKo5npHCRIC6jnjg8h7
DnsGB7TTEGOafGDSm5YpCU47Tj4dvLxD5Cw2qpxpT5kfSvpWF0OlXdvwTTW+LOhJH5BzoXHW4E6Y
Q4uW6yY1LuK58M5ngXixyMUdPdDsS2nw0GD2whJfL93E2AXlo2DtVQp+tk3xvYNn/TK7SXwp8Dfb
p3SKDzFyqF8Qv8i6TRm0PcTtqL83pZ1eG4XPAeFO1rgTyDtCk2/i8G7MFEj8qDb5ACh/KETTQkYA
XlInDEI4E28dafjncTQ7f1l0tYMVQwc0JD5fXL12x2vr0F2AGkk169n6/XuXiPW0hHnuXvBcx468
NGqRPFQxYoGbFKLspTVqQ8rPr2h9BL6yqzzKLFC34JEEEDznqHqEq5k1OUfnz6RKnFPaZngdB/1s
nNGoRMwEBT0ivQyb50qY2QNKId15DH/h2hiU2H1+L69Uio8fn1ST8GkjlAsS9xgM2Iy5bP2wKPCl
Y8BA3V4G35AVj4YNQnJyVaNjSYcjL7GV7yS9wk0SufIQAYfd0CdRas3AM49QMnK9x7jLBt36pYVe
GG10gbJPe6iFmC5d5N9PQghHzgpZBRupyNlCJQIqVN5D9ffLNVaWstobLMsuSTvjQrmW5kqNnnHu
ttF8hQkdxxmCUtUuHDm918gNpOc5Y14ySpHjk5rVWQGkBC2s7cDQ80EOlKbkIu1tZ6P4GOUZAPXG
Ay7DTmRctHbp+l0JFReMXEHUoZI1MVfqXKwO16jPVxdjpdp2VcYI1KxZv9I6AZwyNnvTDe2/UMOK
H7H07fCjsWMtvJqgwvb50/k9/rBTFKA5oGv4EvzW1xM2k9B0GtOfvkt/YKVGlXwH5TEzNeSRUVN5
z0urBQUL4/s8JCOCv+5Q/ck5+99tWFg9pM0C2K9Db+DjOwJSqs3bxct+Ykkw96hz8UDcpY8w/cvc
DjL6oO5gNvQ7NKeDbaWC6WvkN0PFPlmsuz+syb95YTW/WZOBbU1etD/ezJL341BOafIz9Ez3tnat
9sbOEHvxaOyecS72lwjOdqeVU+Qn2SSsi67wOMi8rJuuYqxBACQX44CSUC9eQM7XcuXXcfrGWPiP
DSLrt5TBg20p4EPbYKYpKo+WbMgRsVC10/+k612H92QWyDPTSUSmsUXOCeuklJlSu7hISTeyfIkW
00PZGvXEcS+8sn2QOGqcm96Y3qMK1TMh4RTYwUjMWO4w8dYIkxm/9tt/KbZ3c/Xz//yvp2fY9Zu4
pUj50b0nxyGTRn75n3n5/xcHnrL4SLR4/ZW/iRYmHFvHlFDFqekdR3sK/eLTWXBsSd3ABSPkqLls
bNe/CXWaT8tvgTeh2cJ3uIe/qbYwLWwYu/w5DZpld/0DOXmS1A9nnDTp0nJfWs0eUq9DX/vjK5PX
XttOqTtiolmBx6E8H5kBA/uQCMCfoYvm2znplMeEfI/we5abf3VkohbVZJW3d3budAvkHlrz9haf
xaYakzVuXnXl36KuChQVMVy03CxcMUZ0JXcQoNBhwy17RhN9HBmPUK/Z8D8h2uU0x1ZL1xdddVFk
c1JsEB2kJFN+VZzLIJlOOVAGEzc7d76YnSC4A1JakVC6j0ZbDvuxHLxwbU5qo2RSnSd6/p1TzViQ
lFL7LnJjPJHjqMcpDhAZvgsEItxsaDaMm6xZQhAtmTvdLOkgn6DtE7Opf4aL2IyY4NmRzk4owGOm
3wIVon0xDdkeLEPmb6Qq4xM3D2vvEk/VAZTlbOJrbhilVnSeu33XpOhGG3r+GeVOeqioCnf42nmM
9IDz4BmIfe60zocAaXMZoGQ2zuAtXCA0eyqXbhO1LQdZWM02BunhvNChzMHTyXp47BpnfgiWkhFr
E/4/9s6kO27r3Np/JevOkYXmoBvcCVA9iyyySFEiJ1gUJaFvDg76X/89oOzEUb7EN/NMvGI7MlmF
5rzN3s+WYDlY+UyMMVqbDyoivTe/sOyV59E2ir0ynXYrjHzYOnEjDdb67XlEMw6qXbjjFkc29E7S
Au2jg57r2c/m6Uxdhu2RwTLcgUS1ehEQnCHAeMMSfwBPuTVJsi73VldEnPn2xIg069wgVVmmhfZQ
Di67cdHWG70HrUzZWRKwEkGliofe25njOG7HDmZzGZsDUlyz0/mi4wa8zLpw+eFGqf622AZZ2Paa
h5VHabvVKzG/lQZJVju/Le19X0/No4Ez7gZNTPEFWa8TRDrzCkiccXcohiTWN2brXspybqnKOYwA
/bs4pZkoc9MYkzGAYi9geEIE3rLt9i+TLQlLiVqkNVLEJBOA6AlgtOcolixieOykJ9M+0+ojlF7z
2JUuKZi2G73yNLRMFtBjfEW3DvxoVtgR93EnzaeoSPvj2JbuzixoqQK/itSjJ4Z3HXXgZpgZFUeo
qIAsFnN6pNawwKbHiFzD2PGMc+kwEsgT23vxHMvcoxZ2yPbkLDVw6cF+UMScWxsVyScbEd2dZKLz
tejKaENg8/yMh7U8RAvpO6Gm6VCzwZQi9Gs0dZnrqbqTdpaNhB9lECUQwQL+UvkqAYjqT04M+HTU
/OpYwTb63MmiBJvVRcU1F2B9UfY1+6EjT5KAl7B1I0EKu8j1B4Q6fTgjh/J3BPNS33k2oh6iADzY
5HbXXNoywsXo6MX3ysjno/QVNl6QUMEwzf4aDvWeobfcWPM4hjbhpwegjj7jevONre1nMH421LiY
VssfTLfNN5L6OC7GoJFJ0zv3o9KimB+b204/tz+rsP+ein9yKrI99Bgl/+tj8fatnYu36tsfj9Lf
/tAfjeYudZjDQceCmlyU3w9G1ydNhSOTgd4HeIbD7/dz0f+ry3KP7bJw1vmOzmn6+7no/tXzOMow
qPOmYidm/ScH4z9WkvgrdMb8oG90vHZMh9cUmD+2fpXeZ22JL+YAks8mq2AQSKameP5UGtMQxjF4
pj98Pfc/26q/AHi8r1MOjf/9n/U/+Pdm6+MHupz1FK785oyJfykKOxreTluc+TBNWfuARGSAlzWm
+3//U3457dePtSbHQPqwHXbzvw4tOpsCU9rJdGCrQsSqOcmHvIb7nLqi2SKZBXuq2nEjZKZd1ej+
mU2Q8uSfPqaxFuao2zzsSUgS/vF77XuGsMPsdoe6gHS+m0YyGDBh6Qdkbt4Z3lx7mrKpxWRPwrER
NKRxkCrdpFoaKkZ+jzVeMhhma8IYxHfmLrGBqtJbxpxzAx03GF2co/g4tQUIVpOBDbYj3KFhB/D+
h+zm/GplXr5ZELEdEgGDMGLZfiIcXIIEkPMetikj1SY2eAPTQTKBp/taDrqcjCdeuM1dS1DFkzkN
031n9dFpdFTz5sFz02kMh/lHovhEQ1UMz0VP6BMC8eocGRz7LWlsBuhTkzAqqBivrDOaFyPW+YPj
lPpnJaFtGI4TXf2BeQ1bgGaNNnMZjBFxgq0BKBr12x6ADx9TdxUpJ0tqPs2AUjYk1ydA/JfqzBoT
eG0Rm0XQuGn7UDMVj4PBHRmKdS7YaydZbhdrAlsAYm+DTag9If+UD6rs1ug3d9o7oISPsiOQ2GBT
8Jzp5fAss8V55OqY20VR6VWmXYS9M8n3GRlDiMaJe2isZmyyUQ01fuHKkDigH0C28AyhDEXUVfln
x9DSg5Rg89gszZ/YZc6fZr1Vn53a885YccVRxp3x1BeL+vwTqVDX/rksPb4RIGaA+EQ5MhNxUF0H
OeE5W0WSPLqfwdxi+82vjUOWdW/EEFbNun0XEX8br3L4EDHwEh/I4QF2JHr5PlFGffK0bt47pPQe
a4+LO7vNuGH8jfVAWVVbUQ+p4tiAnA66BeSnKzSiH4wov8ajgdTaS+SdgHwUAuwfvuf6DG+x6/Id
+ck6Lw2jfk0nOTyT6rvc+nLgP2Ul876BVxkQ8+yd/VFr7iLk0aGjSfuiIS4LBefYFkcUGEgI3uGQ
59yKpIUO35EHzagmgUDHgisRDT4w86qZSTG3RLkpmp7vNY+bN5foOab2UcZeetJofOokiq6OHsl3
29eX22pM5k/mWKb7CvEvta/Md1pedRQzjvGUinTcJDHBdYbGd6tiruPqpWDPzi0K23H4Prd8+iWf
KTgkuRGBcGqS5g3uf+rc5qWI3ehUqPxl1FR/StK2vMTeD0RxzI5TsueTQEWleUyU/aqbs/yCw6YH
UM+9GYAbTvcmhLqNEJA3Inf43glk8ADDuSkx3VEbcKEcV+sIJhHNBRWygMQ/2pcetfBTlarmpad5
eUVsxt3q5suuNaP61Srt+SazNPuR2EqvCbTMI9W5Guu3GJ0jfYE10xa0fr75+HDeSgpWtdKuE3qm
boO9e7kdvVkB4dPy61x3hhdAtsLz1BnRaSqyMnRGPT10yMkNbDxTurentH1vCqRE3LU5QK058eQX
hlP+GZiXCxIageFd55ixZ372ct/InReSk8jFSdtevKRGVebxYbCWCkpqt8ASZIE79rezHCP7NMZW
L66EeBIBL6b5k4EZMKwZp6GzXb02Ui7OjvvQ1oOOvrBaZ1i8mvrqDqOKGXTcYSeh5fedrrQHZLpX
ze7vRNmUOy9x7QfQnbw73cm6I0D5MbKju5IJ6EZ3eYjQWidHdmiflC2AOxZEf/di/pp6Zb8VQ/8t
T8zyqFXxO+SN5JgssDEro2/OdTmM2wI/XYhysfvG7Ehu41TdTJ2MdsXYGqdpQXFszK0bEpYZb+Im
Tu/EIuZbzW8GTPtLdHIyjxyURm7SQlbIJfxIHrG0FBtTm0Qo9dgOyjQf6qAsih/IwzpU/3bl7nsF
AtIX1ZWZdrqlTPZvcP41t8rJxp2T8MDKrDRu0jmatr3vxcdl5kKaBg2nXmmQs916RslF+GM9akDX
LSBzA55PyMJuEyILAIuBtenQx8Yj9Gt/B3NPnY3Kt4qtyXf/rppxRC0mfW2Bdso1DOIC8DnZP4ga
jfG1qqP2jNYW15Gp98d49KFNF+gdOMKIuZ8j9W7VY7+P7ZgzjwPc2w0Jx1xiTh28dEde2TcbAZpX
taOzSqYgycmA8L3p1bOBq8BbnohWjYcVhJC/AFOtgXJODmm+eA9HMLeNR+dMRKvL4ooK0ZIPyO68
neixbx8b3q/6ZuYlQuBPvq64aJHrW1Go5oYo9wWjnG4ezalRG5aMPFWKfooJcVVzB84dfH2GpdOn
ZbQyKLwlnFFVHcaCVZFGmlHrLG8N7ICjOZfLU5M1dUz357NNsX2U9NF8n+ZwNIeol6e8ZK/rILXn
dgfDjTsADRCqpwcXjD3FATgqkKpjGeiNt5PIh7eaXywBHPE1o9HKvrhODLVOn8ediOYBVOCg7WRC
HEYflw+FoXGWp/p4TFPWwIEgHjbWYsi5Xmzsi5Q73rEgmHvDFG39MRK36J4FeZ6jdmXP4t0ZcplP
xFsOmF1sPxFb6bTldxHLO7JK3LM/dSbup3GE6F0gJoPznUBMoIU7NklJR5omYIEKiBcvfeaSSuba
I1mb5liom2SOcy/MjEz/3pRlCV3VrZxpo2f6cESK5ePJ0Np9D57wZSz6NN3gfMjOAoz8e2lljn5r
KDGQXWVULMdefHTIB1Jr2MTpdaUI75tYRLuJPXytM6MOu2Jc64JGPgA2KjaOHNj+ekOZ3mhEDzFh
mN3M5fYrkyPKo/bsS1WLsJ2UKvCI2OlhqrxIhRl+usuMBP6wJFXz1Ww8TYVtA4uIa6MHHyUS5mDO
ocJYDpmtqjNLW5uXc9N989JoZOc3kke003PFgYMJZP5RFUxdmlmLrmAk1mcgp0xwYTxFm9juKYiS
tAxpAO3LkqbaVasb0rMHdnQ7InRpaWOi+IioADi7Ec7UfJ2afmnIEeYiGQunM4phefpZfMnUNJ4y
Y1bfmszNMDLbrOUDlqzkOk3zbG4pQ53HKZeUZWvBWG3NQeQsQ0xQ865TnRktLQehq3FT1kQwk8gb
Z0HZmDLaJLbicPfLWruClmI/b1pQIUsqjcp2mrt4+fgtfPnF0pAPrwnL60uZCOofiPG8IPVdyhNf
SuOe12D1zWowf2FDdcjmpkw8OTBokRW3/DqzauZ9Ymj9M3hbrp0hNa8KcR7M+5jJ/Q1bVz5/P4yb
GLHkvqbYemlIFmSStZa/xEG+uB05KqbiI1ixMJ68cpp/eDMrPgzehE5lqR8Y6ajmgPwnog7wFRbH
3PTlw7/vYRBR/lMT4TICpWmkmUFp+usA3e41cEzQsw8TK7lwJnAt28rSn0nanrgr0mrc4LZ1f7A6
Hg4plr4d5v43L2s+j1VsbVObY0qzx3jTN2V9O7SmeBmaprpNFyu/0fXSegVCnEy3QLWq4aZNEg8P
sZFvdMH0icjlmalinB1iP7UvBGo323YqqROK0j9zcC9kDlrzjUioolrZj+TBcGVN0WtXEArOI3Fc
84/Si2EnmdjztcBS3NuOcKg3kByRVMONw8SFWokmhXowzvk/LahNK6ZiwAF/1khTtciHis0W19Jf
y6WcQspnZRcIPXUehZU3W3OKmrscqdk5w3iwGwxaPYLnh2cE+TGjJ9ssXlurz51TV+BJO+N8jPmS
UtjV2qS6aWvHeaKHiMAi+PIWblarDW2mfUps+ECV+UwcCDNEuTKmXNwL8THnKNnAtOcfRBRSxMco
z8A9kSLvIyWKSucGIYz65hbW1PAWpJZq9YRRbxQlfOK48ustuVRUgsVECeVOpHNoZMZB6In1A10P
t7Yn1Gc9o8Q3K8MOla3VbViyIL2dWgpmLxHN1znr812bdum+HzjV9HwE7rV0FHIY/ftnMsZe3Za6
fZmM5sUbCyvdtDO82I/vzs9HLz0tC18+D7t2bTPTOho8sA+k2KX7KE/cKoT/VRzR5NRvEzj0NzEb
nMlmYZI2MXE9rc4j62zgq5+xvQT9SLPlFJX6THCB+jxNhnVEmlC/dmtNjXx1nQt3wxgKkDdDgOOt
35GdWB5blVEtVi5Z4HHqPpRW2z/rBiHSOB7qN1tBHNMFlW1jfIRxVwtPXlcb6rOZ0ciTAtLcdS67
rSASU/2GKxCSHSJSj78XpPTUmF6GA2nWxGZjb/Q2nb7Id3IC+VbKBdcXVXlgp6DRqoR3EbwApiHm
yKOOT5lXF/a7ZWfPLo13acov4+x6Z2OkvVVEFZ1jo2lP6YzdzAEquW95ce1BTNtYDqvh2UPVEDDn
Tvfe2nmzgW/uypy+HFAQndlYLT88ntJlm3oLSiWnvB8mt/na9fDGRt2OL0Yl0NmMoM9QaTAFRDb4
8PFbT8JneICPmxujLtZrYI3F0Vgf1YlOloMkHzcNTeqrLad+N7Ul0+JMJzgUdxcd6do0pJNO40Q4
kHwgbYcrQ7Yrt+36DiQOA8UBPfZ8k2P8ZxfdjvTTlsNXtTaD8GzmmyVmSTENTDU+bkNzovXl9pb6
Yeq1+VbEdJoW3KOHj04bmAYcp3Fds8NQQERG91FURnooBAdZgZbw3EeOHX60ZVqs8TUISUfBoIev
fh2gLKk37/KGRnxMkh8oRufbhcetCqc55hAAS4XBMGZqoDdTfpWNmMqAwsOnPuQo7Gt3upcrDTUB
xwB2HKnBcVr4RGhi4d/FBL2EtT8y+ogcNgQxvtIQZWC9xYJIG8nAZNxWxEXi9i3ti5k79iMHjd4y
cBjU5y5rmcQsIpdfFrLQ8MF2o3yPMzpdpXfzpwoQC575tjgiZFjrdcFrjU4qOn10yKQV6qD8XXIk
KvghVVCaNNmSkfPWMvjxH32zK+jQppyZWVUn4khk0XddRxMTRK7G5StKDimpdHKhPm5NnDY7THHF
sSKp8KobRXVuapI5Jb6Ws9cp+aUmf+NgIGcgBmUd44wARC6DoMINMWvzctdM9a0u/Pp1Ao0DLkH6
Z+SRC4niCV9hYsuWYCuLC5LnvbFlYUMLjZf9gJPMP6/3M7IgXsMqqtVNoQomQX7qUmvkLX8cY+h8
k6Kle0rWaeMos/UUoDB+XbPOeU/06lsvo/oNl3R8cfuGdr1d759cUHjxJgoKh48TrVOHj7LC85lM
xXmVX8sRmzjCNd5IbCafPs4G2Pjtqffi5OLyyqffZ3g1aLa4oA+yOSoI4ThLn29YzqzSRgJKwxWF
y76HCoQkVbLjnMx4ahxLBWnPhURIVhznQq/Oi9WzvjN5cMr1GmCIaF6UGluMwSQbbPD+8TYT8fA8
j5Qn+FG9s14X5pNWVrxseY99qZXXvCROEZ3oG53wYxSDIkgcPbOJTnGVjJtsYpCheJs0IeVlvotZ
ge1kPS2HvqPILHmw951lMX2qUfiHsz7Ur4WpMRgcmdVBQKFE6yhYLKw3G5OhHsrE9eb5eM1OLt8G
Hft8Q1hZ/Jluam6C2SzXOk5NdP+tNd23NMufGpdqScOXPocD4tGLq/N6Swaeo9y3OLWQYFBbW9xr
mh5dibWvX81iKlOibGx5GpuC4c36qsRqS1BMbpFwClOcS5naTBs0DKLS53xgPcJUkOhAA4mmO98i
NDCeLOn2390qmvYdv3pQyZwHN/Up/hrCxb6qsqXkkGopjlj6KR6bNLmYeCmGweZbW1zNOpJNyKOC
+3Sk8wRYWg2j/EJVkpEbPM0g9Aq99qlbeju9GzXc/8EoKSegPkIRnod5M/Rc8NkjojQ3GWV+/O3H
gwnkgSMGHkX7bo+cqcTcimOFgOx+MjXYzkmW7mvk0cBohDzF7hoiiLQ2vojGXWy0yOlyC7CPSnh0
592kiB4VS+1sE0Xj8DGgc1XzKkw6gnGtAuYJuOiGuIiezOiBT0ycb5GNh94TLwsO682yTsA7Gtlt
b7v8sLzuvRORuPXPFdH/Ve6xTvYN9N44dNClWmDyftmw97VVl00mu4NIGQ6HiGPsC0QCcxt3Y3Sa
Ba823CvNliyi6d5FK7rNlG0dYDu/xsADr1plyZOyhvkGH5380vdCXIbUnD7xSlh2/762Ntif/LKG
wNgDP2yFskEP+/WXxXSTu4NmqQORG3owqMp5BONjsx/NkosGJoTyei1EjYGmKIf0sdEZZZxyap63
DP5s8HGx//0v9QtccP0G0cybq8AVsYL4p91I3HMns3NUkLot8qLxOkYb5fXyvIyE4mHJTjZ078t2
tixmE1HPkC1ruLpusnZyYsiv2chNZRUOb4PIrr+hTXUfPBbgW96yFIZaW8tAduxf//1v/v/pVFbh
3Hr10SGj1/hl3dGasBuwM3SHWDPlKfKZ2zC5p3qUmWwfinX4ulhydQFTi6iZU6QaK/rCvrN/2738
d1X5J6tKF8rSH67aPyHyqcbq9u1b/cdN5c8/8zcFD8B7gbrNB1XIo+HRjv6u4FnFPWzSADfCY4J/
zdbut02lIHIDDScPERIvTFN/VPA4JGsYLMGAuTE4w7jwn2wqxT8qgMH3g81z16gOzG48K78q8PQy
aWB/LdoNy3gJgQ5NhDf3X5C2iKo9sb1xCe7MqfKSbI/ajZPkbPlFOW5j4Jm22wV2PYsGIrEfebl1
W2nwIUFbk6oWr9kW3kdeA1HRa3gDaXJ2mp4B0Q08aQv/FL9AJBH5CeS8HBbMluK+7KfkjH3Hnpc8
GD1Xg5CnkWo8OF5VnlC9Wn2YU5EDYpIRvKsXs2oxw9UO8L/5MYMjjVvFEyg8H7xk6hP/kqYdEhFf
IDUtPUatod1XqDuLHoP1HLjMgQgghPvKXP/jXvjvU/MnTw1L9pX8/q8X/Hffv7a/EoZ/+0O/PTe+
/ddV8Ca4JwFf2mBr//DcrFk15DqvFig81X9f8AsL4RvHD8+Gyx1tr6bW3xb83Pj/idLNW9+1f9iw
A7S3dZ5TuJ+65YBb/WWlv5IVdEqY4WyVC2ELt0vemibDdYtt91ydBzcVc1Me0yECjdNrHg8NOqgn
GxDqUS1d9FiUXrSQp2aZt62RORezVc55ynxTYOYh4GSF6oA8t1ptR5fSfxGqLO9az5XZZjD9fud3
XnpnTp4VomOKCYIcWLE2RqJCe7atu465H9toXe70wSvv81yv7rtx7K/kURNCkTL6fW4RwbC0aSHo
TnRUX3S2CM/kP2omqMDavxYk31xbs3t2KMGOTF6mPb7p+N6hbV97nPY6xURpWT6//hIx4NFGqzvl
DUnzE+uBcHAAjIuExQUaMFk89Sm5Va5bykOq6igOxOLQJspG3eNESD5LtlogROoMw0c8oMRKXOPR
tWUCPtIhLlwXaNY0vZpIchzNsyfVJwCjHfNntLEtk3XLDHXSx56qrs9XDdZXkj1a4tlwyh/QQKRn
CbAfGV5jq9e0WkY2D1zDT0WelXfeOCQ73lLLqS3ROgTJDLurGDyXmAp6iCCLtPTe9FV20Ir4MuZZ
Brlr4sBNbPR51D4HnQyL85RU/Zn+M71LjNJhIIEu/BF5RL/LgXuEnZObF4+Z9mE2ZXXrSn08C1XN
B6Za1hte6/qU+Ub3iFukQL9HqibL8YY42jYxvSOLiv4W/Ia+k7CXQPMU1YPW6dYjwKvuxfLN4sds
Kv3JRFZIWuJUXcAJaXcWGyHMKx2yeRR/hKZW/j0u2PIL5ohhZyCH3JCtqm9H8Jh7RiHaVrPa6Zsc
lboYXVOfM/hTYAPXyOaMGyfG2+b77+sArw1la/DuRvdVYeYsknwrnCp5qBTcwcDxZbedo5IFlV4P
O9LzlgAtzttgDt5NtfZQAuHbnQCxE/aVjoqMAjtE8o+Uw8Dush00Pzs3OEAPRdx4B31wiu9ZFWf3
esMGMs1JM8vRZjZBZkfau1evS7QoVjg85IggJMAC3N8Q/evy/kqSU5ozK2CGDWZNK/AuGshPWwQi
Z2LddWhRqr8Fa4nxo27k8EA3vbww8TJtlJbNdEOPET/R/9gXT4qgJTN6PwxudY+4v7uaWOS3uW11
yK6HJS+5J0lf5Qzpad07srcd1SG7VmOlYQD3iCuwsiw6mr7RHm0yBFGdSIPQ6mhihBQ40BWeeY00
93NVMCyLJVAo4l63mG70WzchAnydRDahy9oO5eEsL2Vcxpc2ESaLFcd6LQhhzwOe7emzihLyVwhu
mx/ho1hw86tC2y6ZkRxsJypP/TJgZyiJ3o7CAd3AsEMEoF+yCNN2qNlVXt5pRP89uwY6XAAydcSk
VUqUJTiVyKIr628FcFlyxJ1yurUWt5y5NHbK0mIetOd4UMrfZoiPo7DQSIi0UgN15gJA0NxNk1zK
oPGa6YFgZuNzq6KqB35oto3cFag/9ekWx5o3EfdixVQC5q4dGkoNdjiz4xE5q/dKf0STY87Op9gt
m+7aWSweDjWcIxKylsZc87I6LyunZiMGXNaP7UegFoNwEDFh4hZIJT+VeBqku/UaMi52Wt932TfU
G42R74FStO3bf+uA/0vMACxp6s1/XQb8Lpn/S/3jL1TSffk15Zv9GXl3/Pa///Pzz/8u+aPwZVNE
Bt2qTaUb4tz/rZJ23b+SKYU2DRP6z3iZv1XSlke5vGLYfRYVnnCdv5cE/CsUehAhqKXpEE3+1X9Q
Inx0Y3+oEFZ1nE2lTxQWMn2M2r8YR2ejyrExTfoBOCti5B8F1jimHkdWbWtfdkDkdVI6S9+o/0IW
c5BZ6k8aRv8fvSFrq4vu0aHNgHogeJf8IgOsbfy0HruhQ93O+l0kvsx+c1YDh0rJ7M7EXsnJtPGb
mDjGIrptmpii3iRlbTRfeFbCJdngmoxv9UUL0trbdbxTGte4k6tMGLnbSlHeaANTR715X0fAoC2D
vuI8yF8zhsPr/5yFCLDlflILgKtSBUrbzrZ/ECQ5MerOnbPUh2oOFr2rkbS3ykIVkqPxtapnJj9B
yz1xmDhJS4RnwrRu4n5EDJ4tOIGxTnsFoydPuyU3hEFvZykGo2eh9Q8EnPSsftb1lt89OP6LYWlb
FbtvC5DWLckhge9YoXBcQGJ+oCfJtq+LzTCVYdvn10nDDSDHdpurcjt0zSuxOPo+Lfr7WLmku1Zf
l7gPuywPpTMWe3ZVXjB2HS+pqnovJ6Hvc2jawayP75VAeOL06lypkRh3LKeNQ8p2zU4gt9jOZvFP
7ed/m4w/aTKwFK7m7H/9drnhRdK/5/Mf3yi//aHfXimeQYwJzbTto/v9aLJ/e6F4/l+x1QgB9Oqj
j1hJC38XEbMPwnhFp+E4Kzjgbz2G5aA85kVD7J1AqArg7z96ofwq6l1NNRBzaHGIcvpnuS3vmIRF
DGk/gxF1SQjDx32AdLfsMMF0+1S6/mnQv+KDmY6NFGIMstrzr0M9dAfciMPekobc6x17lD9RG2NQ
/8duCPktH47hgW46psBW+suLZlL0HDlN4NEd7Ka+kAqlX7zF6fkdtMhmp9zXj6kBunSbAnTtYlKp
tWbApzb5ffTNqyrjQXHOy3YL37t0Py+8de7mRKIzFYkyXsok6XCaFAN7iYUkSm9TAPbW1/rWUxqi
C8A6hzGPlg2I66pLNuBnwb+SfOvm7acEE8ahnjT4NqFvF/KKjqRAvAMip+RVVfknr2WlUptztp1a
HIZen7Q9ahzPul8Mp//k1w0alFYShQtPtohZwGbyazmX+lVE2LSDQbRNhtSm1knxwjps7IaItOtT
Z9VFvkOjXBQB627xUEm1ycd43DGjeJ6iWNvjQWlPkszvfd9b6h17UEssoD1tgO3dGHF9ampHPbkV
ZHvDn2aGLn13w3p7OE3aoG1Sd5FtUNCC3Ulhzecqpo1JsxwPeW/UV034L7pFRjW4uLpGwFMkqz6y
cQO9t8dbDarjA4MXfwpdsEvbMR2mc+wuj3ofF5d27lOC0HwqWajPOGa8XBNfyftDBtYkKpjgqywh
nJHUuepe3lwJRLNC5KjlvT0sLmFpFsrOW1oDZX3KYmK017XlZVnkVsyRuZN+MT7Nuk52Fhi74+Q0
9r4oymrXuFDgQ1RcfagYH22XyjUOBHU1iJR9JA6LLqn8mvoolm4MDUCZD3zr8oZY93aXUdGdYsPy
Tyt26pQYehFvokovvjSdoZ5qF3yjHElLDPNeax7JlFnurMqcztaAyzV2EwcdVye3peTTt+bQhcU8
4NhK6w4TUDKIHWq7CUBN3iRvObc9AIN2Ig0DcvgCPOmqu8N4Rx8/3Nij6rfsXP29YKS8RZJfretu
iw/UWdekK9sd6maTjW+acEtj44l2bNMUXngp4MryHwkRR2nEC/j91mZh+mbGeNbLbJ6/m0SP3cIH
ERuPNvcgWD+OHEmZ86LMeWlp/hPjaA5O1m7q0ZoT/PXr4mmoTfp/yHDKC0xZumZo+xKxGqaKeVPE
RbyibiPtyZ4URmABvPkIK9bAMm7XNicqm9zBXWirWSonZw7w6gb0CN+e6KMlFEPGwoFWuphNOwOH
Eol30OAj2RAoMp+WsUGOheOGr2+RoJfsjPlBTWtgsobk6ULSKhAyimgALFxYyDA7f3xwKz21925e
O8e8az/5ybh8dYdl2kajEkeAWfWaO+uXm8bQ6jvehOPLkKCZo7NwWIiUwPqNTZ62+do3VOMc1Kp1
X6vI9fsNe9UpC2oDQckdBGJxnAwWbkGJgCBjMQHT7TzXbkcY+Mzmp45pSjaKlwg+xsgrLnZdO20w
pLF5Aa8yPjjtYGA7rJJhCuZKFRfBg7EfWYUhmQT0pe1aZZDJ3bQL2ExeBzclcg2wK1FRPkddJa9p
b3WoVgrTuo3kKM+EVNVq41pSv6RQJJ/c2tSKjdHjYtJr/r3DPepvW2NOTsNit7ekvCX3qYmftymN
6glliRHGc1+SJT/mW17PvHxtlefvWYzRLkCfXYEnAuZ6r2AiaV8aCwxPOKH/u5oW0pUtRFns9HHT
Ou1O6KX/nSgD5GylMb7EXlKEA1HwV6Mb5GGqm82CtoyYq75ODroJFRhpaSJuEn9gYDIO7aNt1cC8
I8NJHiidzc81CsArYamlcVCtiu8ZtdHQD3OXwyB2E/Vazzp8UAEHxd63c1ZsI6fP3xLp4ze08c/c
dh5pLlg3RjbLs+XlRZDPHfulqdNybGyKH0cA4/CD97t/JZd+3EnXUa8OsTBFGKNgPwPLtQBDW9mx
zc1pK0dbbnk3TMfMzaMvQz4Y/IWbjvc8D3lOMBalXV0hxFkSSM56aVYh5kn3jA7Sj5kgm8kKUjPk
yQfgFh0HyuybDrrNx2U7aF5yA8wZrE1v8SEHw91ivHvPLH3cjJ4AYyUn6zll9nLMWAHfA/sz+Knl
uykVWmvfpnCcNCypEa/+xS7O8exFOBDqo+/2uBlsDUy6UZJAqVfNtmlEdjcTirEXNWieYFkm81Lx
oItgTL3xzu5NPTTN3tyUyWwGfctfCI7WXqHByYfWtKYbtskC6X6TVC9oUIf3wUI9mrNm27RlPe3X
uuRroeX1O3epTVWNiI5XR+YO3nZOouSMl2VImN1b7Y3lyQlhi5XAkDfU4ootPIpZbMayhTkxt1oK
e3bp9WcH/GCF2FXmX5EWocmd/cqaSLIFf7zJlIZpFQDI6hpM3JGABTD4+wa9GJTiQW9fUpXkz5Rw
XK7kTRPZcNF0gdJedx5zuM77LGNiskU94i5hpRLrVqWjAxSGwusS5ZU4UmLVr3Mddbuu18pN3elc
r0j/f+ydyXbkyJVEvwh1ADjGbSDmCAbJ4JwbHGaSiXlwOOav7wtqqqxuqbr22uiUpEomYwDg75nZ
tZTWQw3q8zdhy4KfmfQfJpMe0Q4sUTxEm+KGxaRxVtzOuIrUNKOss/Bace5i4MqRVfiCAJx7N3z3
TWmGs7Yng16kge6QY+qFmrviqtOslZjGMA6www/lRmOdcR1ivb0QppzuLcdIHsa81wV7JYPBqMF8
sO2UukY+0xGHIvsmtisysRWX2DkxQQjAgldKBeBUkDrswoo2PgvmNY0U7o8hHeV3z5d1v0IC8Y+u
RRyKA6ZtNoxKFWRZY27ZeVEzfKAR3YUiX3XOuS302Vohf3bmatRmV4K3SPH9GRA2VgP3EazZJXIX
eZa0wUKGsnLfky2xdh0P/Xuu2pmiUL4DDMEkuI592vAksMDbyj0GWGtckzqJQx6tFuevKhfeA1Y3
a11JV8OYmE7OySMhgjPdF4DvKydPb1iGZSNFG25xWfqFnxFN5dVA5v8mQy/dVU4E+odVvPbDMkLt
6BHaLXdS4bkMaB/XxSo2oDyupEvfcEIZ8h2NCXFx9OrEp2DdrX/C8LeSINcj/UDoNNeDsuq1lRKd
o5P1kbFoT443mZXz37Hub4udPxvrGKH+Yzj0UA2/LIkWfBF/4B+6kf6bYbvMbgvK418bIt/5zQFz
9QU7IcLItPfPgQ7RyNbxjyIcej4z5SLt/FM0+g2HMKEFpKZld/TXBjrEol/HJpZNaKyCXA6bmsXT
sfgnfocEmoq27YmPeEed4qGTlqp6PWQm6wfAbh9F2c+HISSvFLj50vtCNUV2EaAy3zjksfsIXaXd
Ud6nR6u4nvo7S7ThczaboXWSyTj+iNskjQ5L7DAMWKsKjdX/HG07OnY34Zi7zxO+ufuuqTFZERHH
DxWnXv7R95N97mXnPcdjlfK8yBvW6i0LuGldVlwnrRgOsW8lh97u800aC8nGmlqPZFUWwvlAyiB8
rbuHKM/nS4rB6IW6OOuahVo3r1lbhz9bMZPh0vqbLF8CRlOZpG8kFOQ7Xbb9yxhxuDIpu/ypQZpH
bYhsgpPN6N4R9ueQN05C3aV2NN7MbmMMxKys6adbaOSOynToIQgW0aXXTGg12H2oQEe5Sjh8Cets
xmlGO0c6IxFQeRS/z+y+9jlwgo2NUvdmoPqMATKCt1Muajtmeid/mIw4vgU0d7Crror2yZBHu2j2
vSOrv36nwwqA9Erv+0MRRzOAdGqI3NU0kaThXGkuCkBGQmJdWpX/MRl0xAWcTV09iPO+Ozl+0wbQ
IeSxC7Pl8Gw4eGI5VQa5BDPYzMAjbW51tDX4tXexpspPtmHvdtd+UdLA41b7TNPV91ijNQXPX5FX
+PkcJpt8aI+sSbWgMkfeHD8HtaWx/aeLFGVw5WHDvOXcXLFxt93+Ne+YXp3Oar2TAcwgXsXzNI4I
KiwWmMJCiPrFkG5yVTa3JS1OQTLitF0Jh/SUNYwxM0Si2mOb4mwEfDhGd15b/0T0mbq93s4yWWue
qH6Sr8l5ug20r3D4nNsfZSMcbR9ymn4OuzE99KKUm9mfUoE31unfa4AjgNlgGVZ1aW99zqqgdfDu
bI0KdgZdqQZdM62K0mepZ+HY388abl0wbqAR2x1p0uSKlTi+K0wfX/UHn645UERYIH+BN7PKWFNn
faZPI7nojluEl0hJf11QObEyrLZ/G+zBOXiApJ4ij78jhFNP182DRTEaohkbYBiKRl/uw9KggagK
oS1whQY926Tj1Fp4RIus4PLG7j7hIa4jiDxuaSBZ+laFZbUmXELsb5vGGU4JZo0NRLUFWiGIYWbG
iRnIuKl0w12NlXXVLX+fI9OdZ+CTWA8bnVkYCZH8LO97N45gmXrm63XpNXwDLUzCFw1XhrNWqqN7
Gibblv1pe6QLjh43nv8HMfrDuRNzsh4QYXfSRgBZVVixTo6S3dFMu+LKPttiWqgce+ekZXvVfHU/
x1yYGfM0FNAn0iAQT7zsg95ma506OJmrJFWPGgmEC0W2bqBKVr7JaBsPZEi4a3kFR2hfWexfnXQM
wgxSVzpEXtCbFv2AXXYnrPLZx+HLGYoLW6sErWTR1UFi3BSVkQYhrEISQXpPY67KvT1DVREAoFne
7Wp4RB6I13o/+Qe3suaNmTv9zjNT8+rUnSIgBO15shr74NpWsXFsH+kvWlRAe9EDqeYbz1Nhzy8C
XuqrW9jpOl4URErs4qPbte6ju+iL9ZfU6H/JjgBXuVcmixqpz0xDXPlolDpD8ipZdEt2V/knmVpv
Xy2qZrfom8OX1BktqicdRGyVFyV0UHYURKjmly+vKT303gmHwTv+aRTGCN12XHRVRvd2A+gGsVUs
uuuwKLDkJRBjnSjn3Ta/RFpv0WuTL+nW+5Jxk0XRjalPOSfkj25TmMgf/aL89osGTLW6vtEXXTi1
3I6BFa1YEqm+i78E5IiP/zX17K1pd9rFXnRmOl2S9UTr1CMYrfynWvRoFwzgg4vafE9EO+IIiW6d
Lwp2T4jykBLbwIm6KNz2l9hNnWL3kCwKuIcL810sqrgQEkl9Uco9o1b7UbONW6XsLCDi2XFVoa0z
5yziwKK4t73fnnUqas7M5+FeX5T5PlUZW0CPWyayvbHo98mi5GsEaL1Vtuj70aL0i7Qla8GZfz7q
eR1vi8UTkJh5+BR/GQWoJlLfCEvDX5sXJ4G5eAqUGUpmfYwGxeI4IKYyP4rFhVCHKYaE/Muc4GJT
kItfYY7DAY9htRDkHD3l+7Y4G5zOeCCEbwJaw/cwDbKdAofx9aVefBFicUjEX2YJbkxyzxN9fI8X
L4X4slV0i8NiWLwWuskqLuVbebSb9r7tJpXeRo0w2hZbB/q2CbCNkLn+OmlRXrINdZvkBRJlWLZB
S86XJ1Gme+ntXMU9oRPRFRvozeREBZrIptbH+cNre2cTZlMZNE3CLTjGTs7A0CzR03jqsA4UjwOK
7g6jS7ThSxoe+CjzdVeW+b2AW7QmOHvsiBusJU3S/z0f///Ox9iPOLz+e9lj/z68J8kvosff/sjf
T8iGbaF7IpUCZBU2e3ysTv9wJDr6b3ROAOIz8Dvxr2BW/LvsYZq/mQgMpk8GBROt6f1L9jCQWMEn
IwZAmF5YZMZfkT3sX0VMDvPC+zJ9weDj0E1X/K+HZO54+cxpz3xQqq479oYFoUAqsniSzktIrrai
5j5OcsLxLmGCOM60K0Mf2SBLw4meJwRScjUuByiQ1mvNMYLW1+qNPcIWAIvPz3G0iCCc1lfJXdpQ
Jc4pyRaHKsb031nmYqsiYmFqOKpjn5wD63UyjSb0jzkV896PMDgtYcjPctbAl8XWYLF9wg8/lvgw
VjFBgnfaKKd3ejenZB3FvG1kb3oiPE3WzFsW1vJoT8RwOg6o7/RqTNygJmNtUqH0NjUsc9FoMzcQ
09x+9k1krMw6tw4RgtF9FDv3RqslCQOyMp86Qej9T3TkL+zwv6Tsr4/AcbCF6gjKvkdVz68fQcGz
Ch1HOQ9zI/yDLTp7U5tYxlgDjLABhSkXQJdZ+HcQpsxzOZgL9cTxKjtIaHrczTGsTB6WLKjmrr+Z
Qzu+mJ1VkdnPtBeq5dQ1XmCedpKmNx0LS6jScZs/53no7aKYbEenRHXrec1TCytrb9fD2eWe+mjG
Jr5s/yNlT/T9dxfJ3d9e3e8ROj4z4+8cfrxoUBvLFxg6nr74Dv+gabE69iIiwMBhqyJ8I8Y93kWg
zV4N0xrvNAo/qHkUzQFRqcXkVhYmTyGQCEoswaFu1L/X2RLS8u1hvI0o9TkygdgP4cQ/SWGan3Tu
GSec3MNtzG38LCI53tle+Axd3CRDn+TPtCARiclyfU8ItdzFWqPtsl44a06R7WbWC77TotX7kz6L
D4KI56ExjX2LKX3PgAGKEnFqnYxTthlt0miYpuKtnbzltU8jkVUNPxCsxCpnnvtRU1V7cKe82Tct
N/UwRryp+25Lb/B45aLMLhj5uZhUluwz8aEXCZOhAxUcOSudqeS0CPcmoTd26wQOw6pyU3/HmRoW
c7IEqMtyvFLe5EAqZ9i7KRgaCXbk5svUlvWnxzq9WZUDFkjgej6L5Nk16DZSau+PdXKi1UK/CTFT
3Hml0d/YmeTFmQLG30bGc7qfmjj1g5nV4JUS9PFWcR4/CzY3W/j0836wl2tTy2ZWToN6QVGU333A
z2fLavxAj8bxTzoX/nDPsnXdA8m/VCAgM/FZ+n8Y7BeqDpOsq6Hx6PN96wOF16DPPQOXJdrldn4A
OYDvTlPNP9AG5kBhZpgIsE7xB7CC8VI7pNVkq8sXV1r1Oo9zfYcf+XVcAjgSp9UT8pQfZH1joywy
Me1yPvtzhTCIqYOUI+fHcTMVlXkd9SYj9j/xUqevrGAc0jhJY+gWSpK53FCr7NjYiGMbu9WYPfRO
8jPHfrw0WTXff31tiZzQBsaweNNI2zgbdRX+JPqkv3paoQBqExEttVleEpU0Sxw9JgovRJl8L3Xm
iarBZN0x01Bw0nXOzsLK7W4yL/ZuPZ06581/vnT/GPHg7Rc8d4hyI8jbNp1Rv96vBmkozHtNeMVH
5mjr1qD/dGqk9pAyVi52WzbejlTaY0pKlyqxsfZr4r5lPO48ZlhmWq7BbmXmMjx6IGjes95pppUv
hxr7nNGEb6wceDHwlY2DTDpt+9dfAF4Wfi0HKBlNOX/4/pRzphojjtwrIZN2M6bGeJF1FG0lPdOE
IEvuM2hD3C9Mh1tMGXNyxw1fv+uhbp+MwQl/cu0JbsxT9S5G1zg7FC4cY7Puwq3MvfAxdyUxzhgZ
wPubx/3fJpS+nsf/elgs331hwUzDdItZwsT79Ic3n7G6ma3BvladTbYHF2n4k29zyHSmmvzZmMle
paMab3PInru28HgFZlkyYddJf6wKLwkG32wOuT00EAul9khFo7/zB6ulzVJ2JSE2lZxdk9c/FOjx
q1YN6ifVdzUfUWJ9V+HQHfR59nqElHm866whK3du7zJ6p2QhR7PhNtR14YsZG/h5Pc07Up0DAslz
YdwoEv51Ho9vWKLnXTP04SGZ4mYRoUsvYEwYP+lB4H4FrVQjP16bxoajv4+OmX1fyiBRE0q5IjFf
H3KrD9+IWzcHzgTjnbVceqGvRR9NqMVAMzP+x67MQGWNjXnNTQX0uEgJefqmjD90MB7bFF7oG9+8
/tPKi+UOsrw1KUSkDgvzjYU1K4EHxJ2vThrIKLD1H3WCapilpJMwtaZgXooKEFY8HqiYgZWBXhho
Vm6eKbJXa9vNxwuUap4l//lLzCHxlyco3wRfsNjEdsY9ezkO/uHYwL2aqsWsl1egmC28Ip0LbPV1
b2YdIIGySeAwTKEJm6Y42nIUq98ds53vZ4N7EokSdYjB+6/jPM2PMsnVsMJykWAs19KkWEVRuSVy
t1yuhqt/nwgZP3H7b7+z3ek/Oyh02tp37MJdq9irCPJyHLvpCSRvQHMjH7H5EeRaRR7m29wAkbDy
YT7vvUgb19Ncu4fRKp7GoYL2hQ455diTk50vHe0eluA0rFWndx80QnOLzMqFTC6rPeKx2llLNMzN
l2ixvnyu9ZC0L2rM9phLSTWOZjJvfDG9GGAi1qLyaMPRp5i6yZQLwo8svqypqYDSENX5QcClWDdU
Hh9ZeBDM9ulIXTlilrtZ0kd8A5XBgtTSZfEzz4HkWWkpZpO5HoTH/qVIXwAc+NQsZtKJ9jHnFnzl
grvBSlEZ+aH5rnEl0LwccJqxOureyKNKFc56WTxGK7y07aYd40Ln5Wbc8nJay6GsDMTkGJc7LgP2
nHMYeI6yrHU+ozhHUasOIWqbxWyciu8xWLgJQdKpsxMLueX440/3UZtU2JCxNn9nY8l9tZWFt564
s+uBVs7GObKH7DjxRfDIj1fViY7BuApIRYpXoyKfzvepm+8Jn1LYbODFvzacLfdI2iiwSs3zT+IY
HtWPs7bBaZrBInZCaH96Mw9gpSCgespJSFA2obsaGo1vYSI5Za6IX69bNFZtZdehvk7EnP903eHa
VjJPAptjK/l3Kq+DfMAa7bpFfGcW7sAETinLSvnTfP91If3X0Pdnyo/Jwft395z/FbbbfVZN9KtD
2Pjbn/mHn0//jVM80G2Xm8+iAHGG/4ejz/7N0THF6lRvoOlwyv/naCuYMP+BAdV/Q8W2HNihnosB
zfwrkyxm4l9viEC78Svzw5CXLBgSzh9GWd+sMMRUXr4XXvQ2AIXh0ZVVG6A0r2CnH5pe28MKla9e
YbySzTG2HelkNfbHdnK9zaxJ8yCGYjqonCu6NMAq+12W44rQAS5rsgxYgTU/p7B3YPS5FPx4Sj+z
76m/kTvUr5o5mTt24t1a0Hwe1F7CWkwrAZRx0kiBY98NrIAzry0IB4PwapemZkHP7UZppslyymqO
ekvmoy9u6egDvtyyp03zEa6IO9/bKrTXlTu4gTEN3aOZEHiJELEPMQVkOImM+2EW9k610YtjFTz0
B6yzbpHHN62eGND0+J10vUzuDEc1G1tz5J0n3I3FJERcHK8EKOhJUgpRuP171VED0wsIQ41Vj98T
rvpTNpCgEP5M3XsunZ0NXGhDL7C7gyW5KN/5uMmF+KAMXUAhw0aQZI6FjNa9m/1EorDtSd9kxbZI
SKynM7wAGC/o5K6/GoC0XAuptu1XJ4J2Gy5OlE6T474W/rAa3cq4+rWZv7Y4IF8ApG0LjEuz0RbX
jADDOcnxGK5Sz82yIOzyG1S3aNiYXq8Hkmz9azdXCUAYUBNC0W7G2XkEOhxhmJFCCx9wXdonoDyz
u9IKm7K81pHnMK6TS1PlwyvVIuqD4Jz/PBaCkuKqghTkVOBTYhSzjRoyUJhd7t27A5VkZS64tedm
b+9bAQvBTVIXwqXb589lVtonO48Z3jjbXiwIMC538RwGTaTXzdmV5sJEEqB4Et+EhR53SADKrMsj
2Y0wXc2VXh6lNndEoOmplPi+QJlRtlMgrrTcxpc7/NaEQfbNNXuNQp+Q5kXbTMLn1MyrB0+EdOEW
SfVgZJVxEc5YnSy8EfByx/RbTRMrI7XhLqNdNhvbImVtQARqvJvsPrl0bYaXvWOE3ihGkd2MrWQv
SMbDCMGFCUHJs96lLjhHJZP+velccUBk7NIgUi3vakP1WYN1i6Z6mpNBRiegM3TdeOwruzyOLT/S
NTsOaRRdT3dmxFfThibHk131vHg5RdOVbQ6/Y1Hp45V+6+qksOFnrG74HGov5wcaPE/lhiBsuZn6
gvNAW8Cj4PrbJQ5FG6txZGKG+Mgw7C5bkNook8skwRwlZGN3RifqT5CM413Y0YPz9ZulYQqcru8M
fjzQIPc+WoxJid3YtHWHsXdvLXxQS2uLnzmOwWNpl92jSi04NM7kOPQ888JbUUzXifXLkzsW/Iv5
giG3e24iNFcypOm+6ndk39NvX9+01AYMsZojHxS9gdvvlIyDT9DWr24HNg3Ih1HaBfYs82fLH0xo
WXh7Nm1hufcwIK1DhVR3NThfrZumZU+Au8Lak2LkrtdZ5VErZj41E14bLMei/WiBsF1KvXJuEZin
kwwN84odx7sOkp7cmG8kq3nfDr8xO0jofEXMYBSO/CCW/PeNOwGjy6NYe6hmyUYKz+CDjKS/q/LW
R0zi0yqGApdyNCkvUNmyF8fT5gHq4Z2bXMs+G1JZ4crxFtuME/Hju6XnmeMz3/qZ/0g8MOoMhoEp
KwDD6XxRZXzp5XTXaeqxlzQC9Hb1rUw40ABJC3zvxmy7W32I7uJFwcnbeF+kzU978E+0hwKA0nzg
je51VGIr+njXOvNzxI5kTSzKOzsOPxCaAhkFjX3gRLWNWVbXlucYo6uoup2RGM7VqtMnRa/rxem5
h2eGF60dt8Z85ZZWkBTTBa1xPYwplPfqKEo3vGObON4ao5luvSqasC0CJdo5VZYS3uutzVQTb3Nr
2ez7Pq+D1stkvNYa46NEOu+l+SlLOpMlDIJTClaGAGNBn41p/2iMdl969j2PyZzNRSduFwvrG7vX
V6V50D2rAuOkKraU+7SrYir7jVYAWUyBjIBOWcaW2nGqB3zUVtDH6fxR9HYAPHSB2MVqW7fjQ5l2
9dF3sx2CThzY9swHnDjGdpRdiLY4ZZByjCdMoebK9eUhG6fiwDJH7AElgGTzOphOzGNo7d2xjuZF
zq3eJE0Dq7Gs9POU6S67EkBgKPI65sLwTTcKGVAntOqM6aeYauYwz/1MTDfZW4PUv7mORotllj22
hkrfp0kTG651ErGQGgJIWWoVKr9d8vKWXPXzzP1A9Pk+SmeBv5Ha3GCu1qYfPshCfcRTG2700psu
Y9wM4E2gu7RAW0yUeyrtuw1WM6jNhnNhWMru+VrRbcCxFyFpskj10O0bFJ2W7gH3EIdTWk9lg1l/
KsqzNjMQXTZG7HPr+r3LK3MtPeXTCNm/6hS7k8zlac9gau80p/sBh/0Nt9NOn2T4NBjM3tgiYbKJ
IQOnb2s3jWU/hVPJpoXLkOBoGb2yzla47QQbGd07D14XbTgkeB/Q6PqrayfGE9i55QxBN16gLGc6
DnTCwqox2SzCmkufULiINSqr+FShm362TZMffXzTqzJS4RonVr/lmT5smQpB2hZiw8Zcv7hhWt0L
S4zs3iUnK7i9+NMa71L3NaRUfcq/DaYhLk5rMWFwwlo1tHusseBW3MnbBDRWXNoShbrw/KXUKTr3
Y5sZRxRAA/uZwsuL5NBtPawrOpdE9Nw6o3brGI0HmwAwOh9ipVNqHCGx0ql5du0GCI5RYgaspF2b
ZKGx+dljV10qz3CPll2Em1DaxQa3Qfjsy6S9DtmcpBCz0bxXrV9qZLw9+8BJIdsZeiUxDdCYkQ92
ZW3iZvzJRtq8NWg9fRqaZNjXsStfHLzEAL6mco1/JQ4GlwWAZtVJAIj3kBWcwoq+1456xQ2sNky5
r0LahOqmTXE7T+G2SgyPXytneLfy7+AiQYA34XCbOZp+04Rls81F1ewYTPugI48RcGa4wUW0tTRt
h8aCqcWb39KmwSiclnR4jYNExjEyYwXOJt8Wlg65gX3lboZxjYQy7ZpK4zHQhWJr56q/mzPOePB4
FU+u3rtFMM0fZKqGvScy7U20/gWjsPocFkyFREjd+rWD5ykPYTQLiVOygWMK6IFLnCl+RdcnCRm7
ui1dcre1300rRR70WdTjbhzGCHD3/DA5wr2MgDtxQeEhnEpjB0xfBbnRbLB0R5+01+1EyyOvhwe1
6ZOU6Jk+jscEL3jQpSo8DDI8J5EkLmLbaxcn4mFC2j2FqRf7LXHkOFs4sPPVz7i7Gie305yk36RL
nUi9y7DdRPfUEcs1l7AaohUveAnD+xprzueIGRp8ua9HUxG4Qz7R2cL5d4aS1U1ZkEZFZm/Qg/v1
6NV4/20qcFOMF31HvWbhJGjDCo4jzboZKXiL5UJYmXuehi9jYd1rut9vi9LHJGR1w0PozvPGmGZ1
iVK72qa9bd2AeHuVs0g2c+1cE7/SAuwl7RWtzFzDDk9vJanq72oEY5Wa5fzdUEZ7MxSutk2M/rOJ
oJ4OttnfeH0v1i7GvKM1Mv3QiKLu/IFF1eA68hpxVNnQKCrWk+Z+IwsWrmTRpe9DG01BojWW4Hkf
HgstwfKVEnJCJSgDOn9wltRezKOypmCntZIdINBHX2vHlZ1ZJ+j1A1J9+sFCsWdpVjQX6JxBXlk/
YhZy67BN/OMEO7UkxLwc+qOpab/r1tB+0EqOfWMoFed4Ze0FMJRDk/oPeg+bfIWbdtbWWd9mhxkI
LEYByNNnK2m0+zov5pec6psbFRc/GECxIlem7HDNQiM7TWVYrZMy/iGLgqe+JosPl9AT96ywbbcU
RPbbxsDjzPHF2ZgYtK9tCHOBM9BVJKl9iwIVqZVh5uKIWUiu3WnmSqNC7plEVneiPBeMGmyDOpBT
m99mpVzYlTQnfiePgC8nTBOaP/GAYWL3G5euu8Qj5DTkvvdBmpQbRx/ZBkGFyHtpG7d+m0VBIpL0
E8b9UFgat3zXL4NOH0pgDFW1sY3ZO4VVW20VN8aNZ8zsVMMS+i5DVpXM2SWJuuHNoFed/LqLv94u
Y7a99MdUK5O//Faylbsl0AZCoEz89pE2jyYKNyxlypmlDafndp6CMRlYW62FarFPSdVToFAUe1e0
yb5heY+DpPzMxjlZKRohGB/VOWtwzNdR412dQu/vorit6XTwZ1JaktNtCibPjipC9iFQz9T3wiO/
2BODX7h2/bjaamnhHXIE5P+Wwfw9yP0nWx9MCEs35L/3MzwnLH3KX9c+f/9Df1/7uPbiWuDnmKi2
3hIN/9faR/wGCwZ9woeWtEQpf7f2oSeGwJrxfwc5+WkCl4QDF+mvJsPd/8VFYwhyYXjxI/ktEEx4
vb/3/Xq9U1XVFBl7zwPwMKyYsYIGS0Uwl5M8J4PgEBp+mzgsEzGBovikdyxILV1UpySOuouoHKbg
pueZ6FJ/tGlcG3PWFNUnNIv8sSq5g2Bd9A4ybB/DPhxZlnbyHThK1oCm5Q1+Uo1WPptcjHd1sYzH
vak1H1SFVacqjvyzNY32e6nLHJSLqex3UaM8rai28TnZVBoXEXjCDGVh/GQ94rvpMVHWcME2umkK
BRp0TE86KURv5/QhddHCimhMjrTOYkY3qZdida09ahay44oDfM9onJKLkPTNKtYv1pramfFiNGO+
brLY+5ZnOaxfxUDG20KCbc/gGJ3TmiY4gMMY3TCjVAg4w2BvMZqx1VHkRoq5PEUDxE3bm601R67s
tUkV5ywjpHAMf3eQh2J4JhA3UWVLF8wB9x83pLqo77ij6u6OCIYFWrfX3lqQmutOjeNTrKuYNFmK
i5V5XLrPtUpICbqc+PzN3Mwsu8Y0hLwT+hEbY2qqW/NWskeWWw2k/uPXEqKrwVzilxzqNyuCEQrG
wHiEmrO8y5nBexFXvvHoZzaTymQOxiOVxxVw1npBGYKW1HFe0RpxUZxiusBFPgZ0g7e32MCThF/D
uWKp5WokY+9QsoYwyIiI4OsfcwP7Kg9FBwcHehr/HuoDf8YWU+ae6wXXayKFwMWi6us5Rf1f9t5A
Y9veYrWRxxG36Wi0/WevyqBvlTx+no1OA8XTeOSN+WoCGiUyzMv4si8ObtXNPHt9cRBxa7/XnE+Q
SYAa44AZ1XzyS9y1iDtGdTIjI8PJZs28IHd5U0zZWOmpzeY8PoJu5RcYDInz1o1S3l067mgIGWCB
rqKwzwrSNI1IiUS6OcFIt3LMS9jnQ8iDJ9SjQ1v3LC2iKm0/0pSDCksk/rs1Lj82rmST7/I0XUpf
tbJX/YpjLf+HBWgMOruzvHhvblOeCzS+z0EDBjdZzTyvDpZTkBwcF+j0rNr6zYnYH1lazYsIyVfd
0VPknL/+RocJZtyy+RKHIacmcSWBkiQBvtfweWiy1gsoiI5cHNVmj/zYGNa7Pi07CStiFeboTf0m
TQNIvWQHtI943lv3LFr8TQausDokImnUEpETIpBmws+PRM7LmgrWGHGYOy9Wm07a89dvSWaqi/b5
RAQwwMbML2vXIFhXQNuMC80/BAPzTJEXUs6wUNaKXs4P7ZCxDYSDx0fKNn55T9JJV5d28quT7yhW
fE3Ff/enBKKphzHWwbmLLz6rNL4QPlyWHadU7lBuyhLBKnRj2iayzn/OxBchJztUAQYlxxdCffQy
F7uq64fq5BrFCB2IVvJgdDOIua1vzntGr+GqD95416dT/UajKR5nne2wx/e0BCnqWzAvWq8LqtoG
yWCbmmToNWHSdAX89mBid31x6GU+pf7kP/NhOot1AVksZdpmndao+q21OhUCfDLHh55vMVswr9gy
oAOc4ih03yWt+pFquEEIeHFZ5H4+PngOpgfXbPhim83Q8GJ4A86Obmm8uiLDeTOzVFRBOzS5WNt+
qWTAWwY0efRtdz+QD/tBdzPFLnjdPLGxwmGZhBSr3ChK2ROXy/s7jXH43MCLPDsdjFL+wmK4HfD8
oXExcG20VgzkfEMCD5D7a6zeiWDn5cVxQFQquseyXl7zvkKr7LOcIC3AXpPA++xutaGZPi23EMew
4QCV9p7xkdvu/OxF3eiCvaYMQjIofwo5Do+I/dOhLspiwyE5DKpEe2pSrXmOTUutWa4sg6fvJbvJ
oEWEPEJ+NsaSk7c/llvdK6ZNGenz58Il4woYyBdC6yaB23+VVrALFG9TRiKeXS6lFjjrjUM3N9lN
sXRe2F/1F+FXFQbsXRekoLwQVy0+UaapzJi/6jPGSU7Hsh093OjalXwkUU8dPbEJMq8nspdn3M3v
Z0vEh173d7hdR2ADol8ruK43A7uTVaZ14V3ZN9xNJnYO4Ji6q1GWr+zyYVi1vpqBQnWJONcZZPKn
sBbV8xDnzQM4grvYRgqnVyxaDZjFryEIm4eSpDvgwbH1biUjzT5xaUbScQi+RvgbTlboPc6R6bx0
EI521WgzXNtDWbEXNKD77vtmXC78YY+DBYdNbd4pxVbQwYBjb3I91mnj5OyP0t7q9yrmJD6a/8Pe
mSxHbqRL91X+F4AMcwDbnAcmyeRUxdrAWCUV5ikC89P/J9jS7RJ1u3S1742sZWoymUgkIsI/9+PC
3BaZhLOPew3tgoRzsyVPUJkboprjl6iZSmqIaGnJdpRm9+VhbouiXxsQmLeD0yIzTmb3ZENFe02p
HscABtz1rs/cHsyX0RwH3+Guppfly8TyfqY5pL9FoPoyyqDVxSQzKctxanya16PuRvkLQDvAG49z
aLjnGa/LNbf87vvgTvLLHMZ1+zZ1ZjFcUya18bmTS06yKK/WKJCfCbpH1wRm9Sb3Ue3YCk43Q8fA
HgD2ahA+EGrlGHcIzP5W0YYBkkWUvxUdefVWiymRN9vXLCXjEaQ+ZR9l4t+HTejdTf0YixVjfYQ9
2IPNrQAKeaGtxobi3pvG1c3JgQtOxAwrSPsMrj+dGlVWX9K+c9de3TxHfWOe6Kt/6VgS0fy4T1Vm
vlp2fMzGTN0Ys+d+HkdCHnznZrm2ImVtsYUkZ0XI9c4J6v7SC3kI+pHEorC7VWJaqJiibib3ZkwI
ZA4CZLOduOTk48buMVjPxq3vcquYaXJTjkF9YIrzKcLGT6jeL8EZUKlCJVS+8elc2VjNwH1gNwhG
k0+zmRNC0IgxjqwqnyV8F7oOcAbbbpxrELv+fRDK7rGWbs9Cj8jL+0m6db5MO0IrwwXdhpFgHz/7
ZmudK6K8G8vRePNqJrXTleVjmtVDtaJwptjZ4OhxQhSZ0uZyY9V3+OFpNiW7XgLA3uWOOT+ZUg7n
GQTEJ0PygwOK94UnEDUcE+OdTVeGV+1/3DdVn/CvttucwTHiN/HKYlgTvx+3fV2ljCJwcZx6Yt5X
PGzmRka4jeg8ualzWttMVUT4DkvKTPrkcxaVFJV6VsCGYhri56EBViDU1LHiKufkN+V0mMwYxQ5Y
wc7v0QxXlLBAOChLk1N4IHpy8jOlqnwTyi5fN5PX7ty0Z3VkrkbFGSPPfTO6wUsT8saHZpKP6JOC
QW8bZVuWQ8SsTKWbViPcggilCv7CQxL5aMUyg/ewzLE61+6M4mFivD9P0q13I8YkB3NXOF1EOSUB
nhVvwBjb+9+ZWIxbZp0ePP6wK/BJi/YQkrVlCMXWiuZlwgrD3ILUt8oatn3mQ5prG2qghnQd9EF/
GVEDN9FcdOt5aIdNLoR9JiIx3C7A1J1n1rec+vPCQfcrw6m8z7oUBTf36oe+nGL/oSC1taw9I4SV
0GVsC6rR/ZozzY93oV8BGEGppvQI5eUuZpGNh2K6qXKltvM7nCRTQXRVbAMudtE0PHlnJ8bbRIMQ
xGPoJlhgXmPNO1miEcpsCQSlzfv5xlOed9tWCTl5em2MTV97/YnRSneerHbeB+9UFa9TT8lYnoAt
nJtgmTYtIjdomVp983la0kPbypMFPnwv4+CFjdq4E0pu8JO51+wd7eJRq5fvsqmMixN5Nwb3aYiS
v2JgDhamLirUk9L2lwdYKbQD5SUIGR55xbBqqlJDo3ouiBMtN3mPU/LbPEzq3sBIcmcki0y3cZN6
/dega56anjGWWMm0dyN7Xxo83I7R5O8R4sVDbRWfaMmZkjNFLiK6cSrzrRu1sxGIH9Mp7gUcYGnE
55zhCQ7yLBEP2sFnfkpL/pccsaNX0X3dqBafcLGSRrHGav1pSZDFXUcGsbiP7aa9Z/U7diUr6Hj4
4ST/v5iuCS784LnWwDLHC5zQcuAyYZH42FtKer2nBZB9rZDSPY4OJ1EvTeynZRbMt6X1dw2mnnZc
/GBW5AUhtAXkNB1BsYntoRT8eBJnlDfDNVL1oYI/cNOh/pDJn723nFFpsrHrHhEQd/htPAS9c5QS
bXReK8tIykvm4XyAtcPW228rV96VcrCotfOX5oQXN3wZEiaLA1Nsre5XEdu20le/Ehx3Qg70NJ0/
4t6kC7ydcnlI+55tJv7Et9obxu4RiKWndgtG5pGRie877peF8wTmARxa0Pojz2Gvz5RolfPEeCqF
07wi/apfuWWq7zT9VI8OmQO16lBBKRO0zebVLN0JvA9nIzyxJUv3SlhGRFpS9WoXZhwc9kFcy8PM
/1HeuXVj+XuZWAh2ygrq1/ezcOm31t+4pbXa8efPQHh04gY0g2C5Fx+N9jk75MhXZn3wZn1eJgTA
2YDWMY5rP7+70Hb++kJEutkGgH+3P95doHddo6Vz4ICdmo+4Ccpy21Utnw/fPfdNpQFn67jWwYaF
Vfb1n756QBcvEHwsSZoJpu/9H8LejTFb2Pym+iCzxn7yR5zgaZvO7B9x3ZOj4FX9TnAIMKjS/J08
/R9dudYHLyY3OqNCG2XbtoQT/uW9j5lHQV8k6wP0GX77MMa9exF5az9VROTKjWvpIhZyo/WZkB97
VFNWPQe/KhYMI93Jenq/Gv81tf2NvMnJ2fopzuD2t/H/nX6T6rf5x8jW7z/2h8DpkLCyIRG4LgSB
EBXxfwROtE/ONE4gcLaR17L5LyShuoSOaAt4gcVJ0IYbhfj4A9dAQzH5ddAiwRiigMLJ/gfkSw7D
f/mi6WaigFx2YAuyYx/Qlyg2kAB6bEohGSdnTcAbDjBPlvycRIN3JpHQDo8xfrFTzUa1P8IN665J
Q7ci3ESLmRX7voI6qDxEPmPig4ZCqsBuJjKxceSm13BQJjyoylnFYZvRu2WMt/TyJs7GmqPoabIr
77NfDW+FhfGUX4X7IvIeOx1nUADesJtm66JqcKgCDaFpz7OIcKEbLZd+dDGtB1lgPSifM3rXdObn
EEUOEcNI7YeqwpWq5NBt353qfsMPjr4wtuTnpttyAtVkGRanu8UGM6mM8LuykUNWYJeYMw3lIo/M
sbHNulPevDmDRZBnVDq8QmPi+4XKFyocpEi+8vmna8PQftvRGuAEkxUL9qjdYb3Oyv645Jm7Fk7P
DypvVPbGBtybcfgLy/DTkC1tvK50REOU3XLxGxyvgP2WQ0mW89CNSh4HA3PvYiGaElgnD6LSLlyP
ae30MItD6cHtTKmLGZmB8tAKQEjZTWy89j05JrbPpS5OdqwbGajQ3I+ehasqL7AdDmzFPpNYRhrK
J5Pfhudouguawvi+JGO4niBSnHA/Yj8mmHeLLoNMrP8+fPzyyJ1N1oKIhjzaRceH8V4EhTJfjTtT
kqTpe+qC6gAUYAoKa6toqt1WCxWlK9GlNuub1ZM9xwqWjzcED5LkEBVoigcfi5ezSzxBJ7DD0Iip
UbQYq8og/7K49XGQCLWrLnuPPWFKaQwCJjucDYEJWYjSsr4ruReCJj9lsHY2vHq6Dskjp1sMDN4j
gfniRRpO8Zg0cv7cgsi7YVsXPmXLEOwSKHH+Biqxg/uqj8/UDSefkKyQjMLZOxsNH3bgZ/iU885L
10PNmyRZZWy9xVbV3sPMuoJx140rPwREN2XN8rrAMtsHrgrB5tnO99F3aLeMZFnWK8tZpmQT21ma
s7SbXXKbF8zhlpDq5Z2PLDrabOkGPuHVIElrURiTq4eI3kOKC7FwEGag77Mzo0vpl4xQh3gM9hYg
gp0sEoc68iDfl8FkoIn4SVhgYkuBZuSWqR672v1MnV1/U7KzhMEz06o4tNDWs558JDui4lLG1Oex
j/L9HXVsMH+E3TAuzKtTTC85/Kk+kHACi/oefaC8KsPxd+M8wxVMXQ5y9Pox3mxjjPy+e1iE323t
0F1Oidtq+pc9InQXnvM8Wb7JwW4OoFgQVVuNMD9wj+R8MWymqAzLo3xXdcO0tetOt6lEGTzDURl7
ZqTq0kO2v4Own5+hdnv3HSHULX2HYF5NoUxaYWGmcJQxQvemwKHRY6MyxWemvukFcYe+YuaXZHzr
o5z56JeGNugKMzJQTKsGBwfgwqc0k595W6CZBRuD8Gl1oLOnfWxDkxrKcbDg0ibY+jWmcnmevNmE
3N0mt4PTyNNiNvWL4Xvz3m4FPep0Ttcd2IjGNLbVvFis50VHt2LChJrWLI9+JR4U1qpH7tkMPi66
MWrqazItRLh4/8jYEUY2VLxaqI2/xMgnEbhBY6YgnUbaIMeWVemTgdn2PXRgTK+oOI1cM1tInnyB
ggcEXuZrmw68Mwe9nOIq2IYrM7OZWEEKIX4SDtM+MeNqPc7lW72AcpTpbB/rqBW3NQm1p5wm9nJF
FHbZhRjTSF9URUelVLDIexnk+UlUA95mlK2r7YNF3yi/j17fnyzIjNF3zp/5iZyC2qCTkyZ4/xY1
Pg+tCSfrixzJGfiGyWN1sGviX2JmhZEooPuJ0BjMkcJ2+TqM9oPl6Reiy2zaVDZ62boY6KIazXGA
7DAaYXXLaj/fKnJy86auiWqpnlCODDDr/ne79H8hhrNR19Ub/3kafKx+Td+qtx/3Sr//zB8ZAPcX
TWwiJsMI8E8MqCD4hf0wG3I2MEFoMi3+ca8kgACbHEc8iwC8ntD+EQkQvwj+g/4x2L7vLT3/YK/k
uh/3SvRjWfpUEHr6RGJ/ROf2tkrSJZk4x/PE3jhorW9AMfGF9akGxtGFBzxu1hw51RPUWecxOU8/
gTO3vCPnKBoA+aE5dKK3Sno4pupL+I6pi8OcYmp+CmSS5tiV1VJ9KT2CvuQT7DtMYT7u/UE6dEpg
y1qj5+BDUWHhY0QOHoXMiwc59cOdObyVmqSXaKYe/XfylcUB0N4yFCTkcrOZ3tQ7ii/l7Lzgs9KI
vukd1+e8o/saTfFLDMoHVo7UPXezLSPN201xYGoeYFSE/UVnBRyAqJzFmNXagbul0gpMIJlzcN1Z
kDn7ltZBKLII1TcOfvWAR55GDRpVAcwblkj9rVFN8wqsb7lFMqds1mGSEIdq/BagFr0SIfQAVgbx
fKaxsb3OTRa/ESJnxclsoJ9Y+HigNGtfMxEnTUdcvKm+ZzBakwEIJnSkmV7NfTGl+W3glNOVp+ay
02yLGfyiECPSKMrTeqh68tHuvB/tVNzjHA7tVQbBEUqNtXKmEqCRZzVABrPu0Zlx4aUKsYv8r0Ox
bEN7J3Hl6uR1DAKzeenPwTtHclEgJQcGoRhz3kmTqQd0MjA1f1Iac/ECwLR/7DWkMusteJW9Rlem
GmLZGeAsmxGwZVWFxs24YAQjiu2vapyh63FCfFpiq/9U5HPTgoQt5c0YyfacBMHwHa0QiGY8a6Cm
KlzdW1kV26YNqwyUfdjS4GaJ4VIYCJVw1cFztu9OKRRNbx+nJcZeOxvVl4xoWrEeKZ6mIa914vsq
CCvrgFiQPjDYcz7ZccnmfvF4NaL58tHCr7YDqueeLVuzRBONFTUcGshXMxZCuwM6Omr8KIw+kDdl
Nr0aFcuWozGloxyF3Pnv9FILpmK6JcoCATTz4ZuSQqmNz1ns+PfJOwF1AL1YQSNa8m/uOyO1T/DE
sqKVm9ADoUqJavXE55hjdlXJvZgydVEauiowJodbS6NYk6jCV+BTkbrhdq2fAgdoK8BBDgUG6uKN
VcfupR3cnt5KavwgFIo6ZVtS8i3/PFVW5mpUKSx/Ls9EZzVW5gFcd3Oq4Yd13WoKhznzH1QdTmZx
U5nmVJGDJy/Crn4Eth0NCz2Q8zg48ynxkuxADcq9FWT07LlwLimsjOHxyxB2JN+erZr64jWKIApZ
BUPyjejdUK3zxq4ZUCrvse89LGlzaoGIcecWD2xq3roI4DedhyWcpiNvhUqKmTufickwft8G7DPW
ku/LQ6TY2KxSPOLPUzQ6JfPJzszuRYqbO9y4DYzPR3dRBDQKSkUq79a2WuMw9vLFRa6+UjnCdolJ
wHh05HAa4sq/ULsu90jquAonTfvsy/kKl8gGxFC0qzrwYihdqriO0pEPBVDLtZtnRJwoKNsKuCEb
yiJWZURBPZ01t3QNr/qS8RtI9JshO5HS5Dc5RrvvRdRuw9R+9aPEA75mnLIMMGrLjgE2huLX0D82
kQZ4YfQCKVTJem1xWXYiDNRdarqvIX6dDWmncFuPg3GBNxcdOLhO2HDYEgN2haqGIzWff5VqOHcL
1zDqzHOW2t28tsLc3OExeZ4crO3MZF8CAaSrDJpvGISLLU7UB5M4P9bE4iV25J0/Ztl911afcZcy
rpnPgnDLjs6dxyFlulROoluP5lyuzDEfOCWyi4ET1gQHCNH5GrQcLqNBtQR9Ev/SppY6SYdJaxbF
uzkMhr3NOWFjqTlvVy6COMa3PDnJWLgpb49jSDIpdQmn0d357C5tbqOzz6d9Y8bSXplGXz2Y9Gfu
6ZIxdPSfu2mul9tZRlnE/WMNdCt7zbWd5/DBYabLsSXtimtuTOMddLxfRZ0wSEtj67yUYbs1FMP3
deNNeH+GivAHxPU5fhL4ATfgbepNO3n2dklVSe9CPN8WFMqv5sGSz0tOaQMttAqzdnr1pNHylcgZ
hA+Dui1lTvdDWZSPQxFFV8hI9FZo2cED6o6jcDiHEXxeWlCTt2KK3hJltle7EeO9PYXTGfHUefDT
sHrsx1ozEv2TEmWF7ZJbJzPMT55K2pVn8I8km6I1wWRs/Tns1WlQD5whxHoh5bYD8RLueqqbv0Ph
rm7Jqqp+gezRMeRbyV65tzxjjBvmK4KWLsaTD6S1ik0rqvyM+cFZe5Hd7GG9Jt/cAuMHiBaoryLv
H7gJi9uwNgvYiZEHsdEX29Rf0Css817gqWeAlsGkWBznvkCk3xj93NxxXvjiDdLftpaRP5YaJOV1
wv7EIa/dqRGvEndGwqmLfYFuzhbVDkyWxDXp+HurkemZor7w5KlxJvyRTke/Y4mc8sU/GgW03c1/
98n/l30yYVIb0MJ/3iff/1ZVZNSHtw/Oyd9/8A9h0f2FAu7AEpr2826d/B9hMTB/8SiftBAKbb1Z
1abKP5RFWFDkWuHkIFOGWpH89245/EWA8dYBW4vWCr2R/ge7ZdvXyuGPswLM30ietFzaLoQJpPQ/
i+hF6ailbMz54HHDzxtGfqm18YrRubWjCVBxaGdM/8syleVu7Pw2ZHmU0BeC2jLh9ssxg7ppkquC
IFN4mwSZHngvz4WNDL81QxfdjfpcXILp3DCznazVUgYcnBm1Ke3/ZvjqF2zLDYchEG0EM/5FOyGL
tmUyuwB5sesXSfXqadandKha5lYYy/Ic2QaHeJdu9a18P9qz/rePca4P/Ob74d961wHeJYH8XR6o
36UCU6sGZT/R4ppU2EOW9DfkxfjbqFWGiZ/57M11RomPViHYBCFIoGUiTjAFwAPRa82i1upFGMTF
edCKBiU93WXQKoel9Y7IjJA+aq2CBFoPyTDWDWtPqyST1ksYTOA7LBnr0voQcWjWykogucyWIfji
c1A3TxWGt22l1Rhb6zKEYULUQ7SacQnL+07rN6TXyisV6vV9ptUd2nQResi9sc3V6k+mdaCcnO0O
hCApEKCzF2ofYnM7Cx/xSObNkq0rJCU07u6mR2SCcdM9WkpVqKJQLSkLwGDG9FdrU5XsnZepyO0d
bPdgX6L4ImItUXRxtbI1O2a+LmsO657H85dWswAinx95J8cYze/KwO7vltaDGO5BjFQb8hbt3o3N
e7fv03qtatu5tZibQYxt4mdZOtPdoDKPFnOfBQoOq0d5n45vlnuSvGSUChndhE1WXT2zcy+5a39K
R9ff5DW92Mgr864iC/dI+rLd4vQvD8D0sLGx88qpGnyIejaSpAgFuVB3PFJCgFDuBNvSHcc1fpR6
Ey0kbMl01NEhCyNvByIo/x6O4zdov8audt2oRtQtrAducvgIYPqoobQI3BUhBjO8VhtySu6Gjdi1
5m4jHhieaxOaUBm0/sZI1OelTGnOZna4S2yfcMYc8FeqxFvHfYzbmOzpqRgS47MrRHwEoKJXpqa5
zK4HUDzQzFQjmekpmIZ14crk1hla7htuW9LTPpaVBlS8Lo/CZm+6NLA2PpgxlJSJDW2n+8pTt473
JMcxTj8HEUewnQqt0cHday2u32+yMYmT4GHE2uKD2DXCoH+07dwbHz2lK0VXXpsn1otFPW2G8StL
z740xbULOE5+mtyl7Jg6ZoWzq4iwYHP105nXJ1UcwvP+BGKc/V+RWXJYEwYACONateFBZHKq7DjW
NuOzgmoD3k0GFr3SwSU5sANL3ZHJQ9rDRKe8OXNusbYM2WueY2WqNsQVKgEh2FP2em58ggeDsiee
bH0ax6+llcbFOkuslM/HqEtuz5E+hO2EukfrlpVOvP1gnAVdlVkVBNu2dIhAH+YucF+xvozdN5GH
Vu6/co3CfsBq1tWntKscNopVlHcQ9Ss/ysFx1h7Hn8Tsu+ipynviqSaUMn9td5LDvG3AmfzvSv1/
WalZQIOfrtQ3dU80/aOm9a+f+kPTCn4h5ExRHUQLV2PI/x1wCOnCdUWAJy34V730v5dphzZcmxIp
Vmp8K6GtiXe/i1o2vzDEXxgKYGUmBoR/hGx09Cr8wyptWZYDvgokgVbPBO6KP6/S6SzHnoWZkRUg
/mCTZYb1YCbtQsIrbXZ1mwX0RDfC/KoMET0B8JMET6voZMg0YrhG0FcUQKtqE02WwcugOzKQhIMg
N54C7EobkdDGua1N5lUW2+k7q4LwlmkC2pTE5M0BEm4bTZJCF4hAJ7uJVnDFAAAAuyeLihz3XWks
B3oV/Me+6qe/8TR8MLJwBXCvYJ3hMnBNnY/D/gz+Hq4/CFAoItM9fPFwTwdLyNep0++Lv/uHzdz9
v67tj7RCpMoPV9yFGGcy1AVNz/ZIWx9+MBfw/TSnOM+b42hIB4RN8VUTkzWR73fO6n90EnzQK/U7
Ew4mAjCQXmjZug79x1daYBUutJUUoOnpsrKpo6AZxzP2gBvSx8Eu3P2cZNHDP357OrLDYJqbiX2m
fvs/vL3MtBEKaNM5MtmbwXPqc5kCqe9t+sljWvjPX40gELtLNmgkfj5czDgMxrQqs+JomaOXXypZ
LrvJBzV/1xfh089fy/qwo9XXkyySbl13GOGhXf/5rU15XCRlbqbHNpkK8NwJ3WSbti3rDXssFoaZ
0Wkve+tmBKV1WArRNVvQEOofv2cdRMJ9Y9JwJ3io/PnPKCwl5rKnAaftc5xPk5qZAMXM0kNfr3s/
f9N/vYc80+JYQJmdRrraH/wBkuIvp5M+kyZrWa51IDFvGnyDG0TA5DirFNS2qEiG/83r/vVbgi/B
5wzDYJGKP/PDcymPszGN/SY7VmPLCGfg0xydXo+/0z77Z6/lcnIgXBkSJ+PjtfCI/fmCuqnB0D4J
02NKPxmaxEz9b2PK+RyTP3/++fXUv+uH5+37a3kWirgL9NB9rzn/09ej7OhcoovmuMyYDzd1JMpT
kWIu2Pz8dTjH/fV1HJ9aDB4y3K72n99T7xdK+vWUQveCcEM7C/1IK3euIGcPjNeSNGUPNaF3korB
+QiqACfm5ed/w4d7R79XfCU86Cyf3g7z471D2VSethAYjtGgYgq/IE6s4oWS0siZy1MdB9isfWf+
m+e5bor/+NaxsvDGncBhDf148Bxin7aaSKTHJIicTzLzyxOevPmWLX2ylySvcNoZ9QTvcJ5isQZB
OA/H0a+mX6nDaGETw+E5QRVBBzSN8hSlNC9HS2b8ixX2H5/O/9vfiRWArQGpO0xf7wfoH56UuedE
4yIM42A6wv86z70rgXIUjB/I/oz+oTIy/LNzZghBq9CIp32wZ21BjaJjn9fuOezC6Mjow7kNDV+J
nT8kdQZOKhTD/uef5F/vWm2Ic0z28OxI/I9/qhkyGlfFmB6xIuL5yTEm5tAhVLf9+et8+NZzx/zL
+oYnOeAR93FtTA2bi2KolCIZRsZhysl5VWHfPxfK9R5//lofH+fvL6Y9VqyOHvPBj9anOVCecqeM
xzl2p00cRMMGoHy/LviqwPfX/NBpnM8WCZpXgwDSnoqm7m8urGW++1b//EQIHCYkZEbZFPDnfFhV
CtkYNt+M6CB6UjxHUdg8TLuQ48Ix7pvlyoHc/OppHGWa9hri1yQU0aZpLgMMREBEIQJEpxCrzX1H
j0W/Um3GnL8tuj5d23m5XIoE+1YCNvNhKZzo+4Ay/RLMxXKhLwanU9hK/xH6f36yEVDOgzR54ELs
tx/AD/iPmA3NQ4dodJNUoFQ3ZpMSBxXjcp3jSDuGKNDDUGt2b0UEqGkx2MYpo2G6SF4o+o63yGtO
VdnSgVDRKHNgMuYqpAsc/CtHSL1HqHPXXFEy7r4lYWR9q/rSeR4dp2lXUzSUxloBTvxeDJ07bsoO
qR0jUZZcGAiV0Dd4tHDQS7/2CQ/vWsXed8ZFgc1chG0j9VJmEOOUCuN+Zya+ux9dk80QDAn1K/5/
e1tlrXgNWiIvuLIz7je+/XG+y+uQl2eKYVwDW/HsNFUvXhdk+82Uh/FF6J9VFHcxC/Ucd9umI8xL
kRbGU1g784V1pnhp23m8e7+8kQ962q4S89qQ/QMQuYgiOQI59J2TbZbJJY/Dst+24LebrXh/WvXW
fJbdwhMqsCbjS1Xn3JHAj7BJFIWFxSltuHazF4C3kKaZPLlT6n7qQRUYEJrM6t7JbaF7Ifg9I1y3
i98x6WB2kH6VZjhW+GzkHO/DBWj7yoU3/8iIDbmIzJRNrJBrW8Jl/lrEpb2z6Al5y7yWVBtfGri2
UVpCkRsp7lt3KGP35tBOd+nsDglJGyv9Uvgdjybt4bBmkzSSo+/DcqyB9PbY8kmxBh2mpcliA0OQ
YdlBGOFeeve/xeNcRPgINd23UwMoaM+AEbGU7HMIjwBfzngDtFpmIzqU4gbbMoJp3pIxpj57Crh7
oUVM9zKiFenQJ5wYUPCNJ5/OFj2NdedLbBTZKQ+KbbgwJyWUMd3BLml3XUZ7aTwu9baFkIcwUUvo
l0l6NANZnYkTaA4T4WLfVubFcqrlhNrjH3B9Rk9xJ7a1qweqfpVfZl5tHUWeuCsXsc/TBYIDcB3S
PpnzGjAjXjVuSSERESsKLijSNqaFEkXbXls+bJZwYjLhyqrI11xV+yVMh7uUdM4ps8JdklCoQyVS
fULhxXdgMPoDPBIC2eBtFXkg1wnOnM08wFaATkqNr+e+SqGcC0PbO0mEbQW/Y9oMc+DS+GYTTm/T
Zz/ySQSqxj4XTN7NPvfWTVeN+zwElAPBjWzOYvqbsAHrkobJg0rmr3D03hrUrm0G/wl1jN4ZGxvE
ET/e51aPRSA3NKTapoBVjdDbl9JxT4sTWBh60tvE12KJ6z8NQ3SuKxF/7uDhbhMi7aekKHkAu3qP
VNrzrZ86zoXpW3u1oMtCCvPyzbL4N7lo5wBkYZkJBr76IRKr3+gWag6zhdiKcjKQophjJztZtVtb
q8iIxU3vkVGHwk9oajXM9vLskSXcTWMR9dtusMNzZ1ntHRslN9mMPs+LXECshVocP2M3GB/n2mP/
UKsmiFewQ+ZLLhZnG5W+2Lnkgn/NULUhu/jTMWlDkq0ons5FxuYD6t34IPDHbZ2l77d6/aEPp26G
ZJ02bUlcg+Gv4JtWHF0KgW0S5nW0ljN7kRxrHMw/X62JwKY8iohkxm7EiiDiUByajKNPz/23Kdnm
7YjE090HI6ZZy8Yu75TZvYhiaTcWxcG3brsEgPQwbWSbDrRxtvMymyaeRmGyy3Lv3uwntSP/HH/q
sng8O/206dJoPGVjbyKjB2P4xYEMHQH/sBUWSJ6TxyqUyYkaGCbX9hiowzKU3JgZeweOCIVxLWYp
tuUsP5OR9QgsEuWDHhd87/DX0mZFjPjJLj3xaUKIXvamlxrMYEf8gHXPfqya2kOzLOHtZLT+VRY0
7+ILbUBBtuLACTqEP2+RvGusXv7W2AhszZjNgNkdQlaueQkjORaw3K0bVM6KLUwlmB4X4bWIWrTT
yIkcDv9ktpAppPVkgKlZW10RnvhQmcJ7FKKxCEM7q4zB/TYtproKnBrHqa2A7tWtvQl8bgEKl5jD
R7G3H4VR7HyaWLb4GVxwWaq+jzvlMNa2smOUtbZma6cbpxzAdEbWfvA8buywuvjIB2v8nfZ93BZU
KLTCuQljjBSyWagl8FprUwZjvS9MqGfFooK3HsjUmgdNux4UpcXroKt1Rivygn0yVDYeFZwQtKtF
8UtlTs5tbwb1nYnEviX/UPurBhQxiEN0Sxd7zUC0Hqnz1ct9RJy6jc/U+QQI10wfjoi1828dx/Eb
4sr9tXONKQBngM17jQ+GNR2CoNRNi94tJ3ZNRBKCA4BVn3B4AygeOgK6WVncN77X3QXI2wenVQnI
+jA4lBOuvjGoyNpZUXCu2ym6ZD1DAzceyq+afuNvc1J+n9yYpJ6PB/d76JVptG4EFdOMr9GSskK+
CNV8KfnVW9nW1KGGGHMpRYWM9mZSsYr7wlDGMSailbO4MsFoYYZtXBh4ZyuaQWzVtIt7fbrNS/sb
5sFmk/YN0ELc/EDy4ni+UEdcfxVWNZxwYdLeGrIGkuxa9rNHnRcYhu7eMgf1NZM5z2xoxGTHolDm
cbceXNHm3nMHUE4QWyMC465Mt5qS74mBc6NLVZHwxe4qjkmd8b31k4pYWGPfpqPXPxugE766Mg0I
0YUSxzUWISy95hIgWntUAwrKHaqyOhhYmk7gMkKst/5AeQO1S2ZetjS7DRibslY3MY+5tWYXRYG7
PYtNV7SoGiTQac8rJhKLbjcd3CozL+6YFvSbjawZWMFgV5EUhkXJwymBKJmBVrUi3WAnMTVtOteu
eZzNSwwiNLNB/Xg2hXx4Pc21hTrEfUnLKBjPxXhKATHvwrzmc2NR2JO5607NkvbfGs5Guu212FRG
yVWQQfolsvWtjKJkXhLR2NVK2HI6+KYTvcye7bwZdmOAku7HmyjAZuBVTKEsGG37yZ3CZ9CcA3Qy
T5KbdlO2k6YeLabPbIyBE0U+lqW8ffAdIF10f88YtjmHRdxU5YvpVebKDAxmTNC4M1FBvxXBzqVA
mXQtPhA60srVpJOtQsAWs6r/z96ZLNetY1n0i5jBDmymt+W96i1Zkj1hSLbMvgPB9utrUfmqwr5S
SuEc1yAzwi9sQSRBEDhn77UlkWmcsUlnwo/nj8lzhuy2XGuck1ddrCo+lVGAtd6k+zO8KOQne87y
9rqRpr+D/OhCcHCOZluItQGabFWIhVjnR2vAxxpUMqazno7G2SSKfTcbhCPyg+Oq8/bm1GT4W6d8
j4JuvG0cM16bkGkucIj+0mpiU5u5KFdO35vHhMLutqWadUzklAe+TnnAHHv4gLXs9nWs9OdMgSPg
jM9Xh43QET2Uje4waXbFoIjiU2N6nhnjPoOyiTUrHpEKj84G1zbdWR3mrD06gZDQ4/Wih0DXEJDR
Qfgy2Qpej0ZL5nSe1jtPtQACtWpbg5/YG06yCPz873LSip2k13KmamoHM0GuaNNuUP48JY69q8gZ
YZ/iXyKBAibWfBuK+aoD0a8q52stwwuWXApGZHvRPpp/pU10b/j+F9cs9zW76XWZ5k++ngz7OaNI
6Sr/2RB6u54lPWZfM8TXKk+AMlbm8+gbbKzAX2682DzkjlQbOp/0K2sS1d0BjK3zo+j9mqABqtpo
RzgRREPXPczW/GPsk4OTduauATQ/rCd/ih70uo1mCHdedsR4imp0mgjsg/dgoLpvkscRXykmhvhc
NF91r+/uGq/xt3Gb3LpWFAfu4OO8afruUTOltx2HXgXo9uV5hys1kCP4Ofgr+lFYifsI7r0kILdx
POj6BDUkjUN5FPMtxwnAWOO+GmiQ68mSPTITaQk7RmhyFxfjF+QC/k/dIQ34qNX4jsm29ls8FmaP
cP9MeUWLo6WJofDmplx+ntlkkDMpOsP/T41QYaRUzGh3yGq5oqpppwqFeW7sjDYihTJjPxS4VudC
SOyUm2xarUqbleZTNHXagSPn4iuSAKC/eVEW/mpDhxeQUWkxCFIoJVsRDlKkLyEaWEdM+24DrJag
iWjpaZCXGX4DfaZh1m84Y1Sgb9NkJqGDb9y914TTBVwjTskJriA1NY5+mWoCmp9a0PBF57IsDYuY
vDSW0wk9vP4lnc3hKnUm41zHqbIzIklaRwaVPyo0itwRYogvRisUoXGSkwiJ0vpzVQ2OuFDxYnyx
fAVcL4bg8gB9la1DrjmYVgyCJ9jb86PpZ2toDjmgwwiIiJwyXM5XCIC/O3lhbhLJ9m9lx/W1kAiB
jb48lItHauaTfzAz/ElJa4VHKxYUBVoO+V7nUiNYOjWv4/W1rW2nypGHEPrDnnMCuaiuXTy+/hXf
K1CsORz7MZr4e7wyc2CSj/HUFoozGBEJVAk8C24J+FdQsvrS65lL59bPuJmJRISnx6rZvRaK63yk
jTJW3qbLqBvneCX1VZJArNZ8fsUixp/lwO3eO4VoH6pEcQGwmgoyjcb5pqXwgokkNx6LTueplwAa
DuEwyoMU5Xidjex3Zy0mZyHrAFDW06TWo8512QW18Fpw7Gv6uIYSisADNF/N2b7rchc7eBaC1k5m
qiIUL1kMOnyloY5Mr7J7AWo21IuC+U9gx7lfRfUTxT9QhFlKRdGDgCRlS9xo7hNywrcDWWIZzdVO
ZcOAuwR8x6UwBnFWpTMdsllQvApnfEjLvNMIAtn1kOrY/qMIRPQ138SqXYguI541Pg1E7moYcZZc
M3u+oQe8WKs6umwGf+RZjZeVS8DEqwfLNur5AjpDuUc49o+hwZ1gfJLXihkCWN/OsZkByl7QPwCB
+YF56txGpq9t/RjDRI33YqPc2tuMpas/ktgx7zIM0odX30ZdKe6WAdcbpaPlThc9PwhMq/TFphk0
/TEGXpNuMpX5+6Rl3sca22sCHojYeC08GST7/poNm6JSymyyMFdtUoxIT5QSSwt5o9l/VeZonCMO
CI99HFZPYUx41xTGvDpazCtsWx29Sdiyx7A2qqfMbdXBb0bNQmjfv6K18tD4wuGAKyzRQ3XINaOM
HTBZ7Hu/xGTGuUU+KPib8GH1PDvSa58vemQhUFoX0NnywoLqiX8WyJWeGvBPQMG6tj/magoPipIr
DhdPa59gOawjnYqcavh3vkyyMxbf5w6gOCFNCUcPVf8o8TGQ7EsYWtvL8Kgrno5SIS/7yBsYdhPW
ORCde7X4EiM4mRcWJfCLGjjWNzmICbCcMxtnOdaBq9JywqPILX5zxclHbEqWw72OqKtd0Rb1NoJS
9XqoKc0JRJbDStg2QTqe4kw4+B2zxJ3150hPSRtyPK2CM1HzTldSwN/ldIqAn/URVUe5R36p3cG+
DH+5sDeLla+WOSh1nG0u2RrHJDLhanlIHgPNXVLCPJdjH7Tp/sVzOCdDKjHGx7ZKxu9j79GFatmQ
S0qpdbSN2VbwZSSX6txo+/IyHlR3lwCC+ln3dvgrqUb/2Is4nwgP4ctkJ0Ozm4Q7AaAqmQG934Tf
UmcJKGpRCwNzrChwb/I6+d80qv93On/udF6CBP+zJHFxOl+8jMmP6nf3DhLC5Z/9o3QgQ+1fum4D
c+R46jh0t/9PkGjo/r90VKQYlnE0LyqI/xMkWi7/CJmgTx3ePbE644I26f95KBXd11SQvxEkipMe
BjYghgckaUOEQRVpn3Qym5SlcIjK9FyaXTI92ZCv21Vpu8re6rFPFs3KwoaQTkFiVW2hHRaZkCDO
EfliUA2Jvne0FhG4FXXA+vRarMd06uezEXHuCzQ6d5M4UIzmJihV5GSQ1LJ8mOxbDcoI9OxV35lm
3f7M3RKlrz5FngsOfp7T2L/SE025N33V9Ya1rR1FnenWKmWo1g4bO/1bDmQrmUC+aPADZUxsQ3FM
vEXY7rnw5PtCENLGTkNkY3zuILSuvdvYdOcKCSURYNgNjQKGBU6TEkXGXethPt96KTJlcCKNq+Zu
X9a9ZxbrVi9K/Swh6xE+ud78IG5b7tymnq6FmZfonqch5Z86kzZ/rwmOT/7dMfz/F/CTF5A26TIf
//MLePGUlC+/v3v//It/3j3H+ZdPUqztWIiEPT4ATP5/0nNcA+scGzhfYOzh4EjL7X+1wC4UVegD
6Id19mymjtbpH5GRzassMNTRljJ4bRb90V9ogU+7emgVWBL4OTSDyVpcmLG/97wnsscsxZQBUb6d
/K2YLkgv/u1uXH8qqqGZjsoKTCznN35lpEx/DkEPdzmdYZkHarzKZm+lTaABHG7p/93z/2KU5UJ/
69giXB1HETOKW35vte/V+KLE36mD3lzIibjDTSqb2hlDEJjl6jdk0Dbz88dXcdofRyxONgkJMzZ5
v1AfToZAc2mWvebJALAVOQYaVYUEb3FRNHsR05T4eLQ3D/91NDhBOPAFn4WTJ+OOYlSiAo42VRGH
A/pzKxBGxPtEdb75+6GQOfEtEWRJUjj78/HorVOP7Ca5sNiL7sbUbqCL98aFrnDRfDzUqbRhuYcG
7RjOBz5QD//kHhrAXqfcYqgS9sp5lqsscGQ6rcNxHldNNELC7GGdfzzoe7fSxINqISUU6AZOBhUJ
4nUNF1owZdxFkxroypFUD0ON//t4qFP5yHJ9wJN5c5EZOfYpfyeztHqua00GxRRb4SoPCaLQGlj4
mQlmDrdKc11P5CnAVo0vunwcPxl/mRW/N8Vfx2dbgIzDW5amk1kzRXYd61nUBl5BapBTcoFOM3z9
+CKX+XA6iEXytbfoqfAPm3/Ol9Go1KR8UwZKNcbeHeIhWUWuFV7mpj4H82SOfLX9cVvJQu4+Hvq9
+YMmVyDxZM0yTjcjbE9GIzItGaRDNlH7FCi94Xq4a1fTMchR4xGrKSZB5ONh2ZMtk+TPizaQynGx
Jh8FwzgVfLa5hpG2b2SAiFj+qJBeAZzTyRympjQHIsRJjCWTk0vecTxu9W5Hpg2PgGrjfhr7YZ/U
Ut7j+LeMNUfodCPZu5iCfJcNdaDh3AczSmVO6htLjf3OIF73NtHNBflBBMDdtLSx3NRNz1qnp7Vd
Uaj3SJjwvBYPsdEHXSrX5ArHOlUgA9W95sYXiNMnXKgduEzijyjmdRzF9dw9073ZQZvhllQaxRRf
6I3mcHbKp/Ws05SMNYFlL8KTgUlT5ZuZXMTzzi/mr4nij6QqmuvUbWDHFS46HzJIPJCzGxLSir1t
tud2ZqqvYznZN0PYGXuNftG2smRKiWEJAeoMe9dmrKHuWBsXHtX1bWrZI6mlY//FcjEU2BzGzl0Y
bttq9kyy0KfWuAixjwcVhfl1VHXxTZj2ww9fYZDsZwgxayccmQZ9ynjJ/DKg+X6Ma1SUG9wN81eE
QcLCr2i8SAmZdY2ERf3SGnuM2Y/m6t43QWMhgVT2Td/r/KDlBqOgvKgokcOEIMBq7UzC2RQ1SM/c
ocewSpZQg1CULlL8FpshJlp33eWpdplG9otqNRuplOp+pvP41Z7NF7/0xbfRFHDOOy15VGRUHPSJ
putKxrxI8AJflmqUD3ihmYO0YcVIEdYQ4hDO6h4kp43Rkd8jBQ58LICn3SfL1M/Hxj0rvC7mNDyE
W0tIY9+1Q3xDrkR6iErwrr6s5W5AO7QHLM6elw9OtPaJO9nCLtEpguVeRDy7bQYUMhnAnJ1106Rq
D0giC8DA9beAhbpbVYf8Zem3TAwcjTd5NFUrPQ+zI5IyzIRa1W17VFtXns/tXDVLiFpBH3Vjsm26
VIOfpgc4GcWO9DrSS0acmOG6k1Qi7C6MEMYk+m1aQo8mNiERV5A9030cRfresGX4HLqcoZglWnhp
Dj793SxGTrKyDeCC8ATsKzJsyfCLJmc9zpF9nGrZnDfaUlgs5v7g+LVzHWqWtm/r2LoGthydg0K6
D4uG2gT5pxwMRK+jfKD4f2gkEJSuG/NxnSVx+KxQ/+AOGsCPWFqn7SukGL/sNPN+0VoC9IJn80y6
hv8c+7qxjbrGxidO8DpeGeXTi/WX+xHqmbMx5vEncHDuZNuP+TYGZhIY+KwDknfM8zyK7DvqdvM2
nLBmMJgw9h6nH6i49vDomWH/vSRd/kYvGj3oEzN3NnY3UlJzk54mKR3GH0bWqmNTdMVlB5LpSVpW
eVF2kX9Fdqt1RwEOPUfbUt4dGzAeg0nQmwX2YxfV0rsGklc+TbEYbuREHPkIAPVybBsHmDGlrLbx
xVlGvMbeaARpVZNybuvJ8jYKYSZmbLpka6GbDNAYy+KVm6G6kXDmyxXGbcCOgP7EBu1dtetDbEh2
4igwWHkV3zayT3+K2WkDo2cRyojd3jM1EA5xLAVAULd7VZF4tGlryKhsKO1tp9vNWT4A2F3Q5vHd
TLUlWoHD4meKMHaIs3BD5CEITvhtozuTWNXjRALTGX37aZ2LMGnWqVPqeGCL1D9wwhO7Kk0d1DiR
fxCtT32SOt621iMNUGCWFFwAAMo1HTpKzL6utviU5eHfFd248aZdSNzvFqQX2ENTz/11T4YsQIeK
DY5JhfIaFl7zPDRKsYz12Q0pLDSbU31aK1aB7wlYTRJ3XDfAqtq/uDqFTxPF59lrvXKoCFkEx0Nl
ilRN41m5OCKhKyWU+MEe3U8thmIEuxSbl/KmWTriljA8KvojcqTVLNylAo2b4JUo1XtAXbbM4Ve8
g7exjWhRRSxDoruhq0EHhJCjyaRuZuVLUytT7YM7qnZD3Ym/aktL275Gpr+W0s02Mr/QkaXsZMfV
fZ8Uxf41GJ5qeLhNANUsNuFiPTS0EPVxKbRV3ZPnW+rgYdfkKN6lYuOFmb583qFyTbK/9Gn4UimO
wURJw08unGzsLwxA/P4KpcoYVPTVyQKgEXCQuLih+nl9cUxbgzqcW2HFXfrT0MA4wtNJGYkt9uHE
3hpjqz++qqQSe+mKvFopRO0RTDw4FA7numPYhAbFcZxJtjEkxeTXqO46AWy40iBEgwIgxLdyaUF0
cGF/vlZjIYw7t4V0xFloVFginAXS00RAeBr2m3sOovJg1Vp2P/iJvy/Lhh4AgctbYZNe7ymq+tFr
72b52GH+glSf0scYFv6aZVC2rHykEJByx2tLTvYT0Wz5tqyZ4KBSgHwxo9cIqBW+Ob18IRipO6C5
oniROfM9Eym6dmItulJp55Mkh4TCWdhaiaxLDIaW86g4i2ISS8zwPB9IgPx31dUMtfGaXGNyqzW9
f+nLUPtauHVI90SlxsbTnH+eU6bG8Nek88uOtgXMzK6NS3oR2l0UZiwy1tLVz81uq4kx+VZ2rXfj
Vz2IUb0TD1Y32Q+91OyHVNTTJV8qZxc3sbaZkkTbUNenfxeG1cUcafJLFRfl1gTCt4W5MkL+4q4r
EhFRMnrelbngBUrQub5s0zMh0S81FdHKZQcXo2Ii7uCM62cu+oVt6afqUEyKEhIADFo1us1L7PrT
saOGfRV6ZGYgt0Py8DqXZ5J9buB4e+wrPLKVMHxfum0ZbpEQRLjD4XWsqLlmV3qTFgeHru6jH4b9
nmwGW4AB4GOId47HP2MWyloywBZ0yjoafAs7JFBllkBjaQkgN8ym8ZJFYTqYdVheuXKeIbJBVqOG
X0/3OrpaQSbeQGJaN7U0vDIfShd8vC5z0yts/9qus2g82V1B/26Yx2vDHejpyXokr6rl0+3Gpdq7
TUVbYJwLNwMnJUPSDowYrOuY9wdfIhGCPdwiPlF5aaxJiK/uOlTgu44Fhz0QYowzwzYV8UW4mGTn
9DiSaJ5Mg1EfG/SbO6w22gQyptTuWgLQ5RpODTtm28Jz29OB01+j5pWoCZl89UV4fUO3vSYpnC5A
fq/T5twWNV0hy0+M51chok1Q7QZnKJnoVEi71QjSb6XZi14XxdY2wZmBwgStrYTjfHQGG5+jmiTw
DJM2hTX1iFQL3+mJJ+5R0a5KAIA3uoMUAd9zTt8m5A93sFQj8gDpqpx3SkvXIX/1OrXAEcGUaUJA
o6m9T3RrPqRe6OwHYh+WK7py49Fc03jAHj0n5NF3SXFrgsDdohsriRCLtT1neyVXFnD271M5eaAf
y+bW6i2E6lminaFWue5qAPwwCAixS7UXr1HuzrAB8XfIUPJ0gn48EQQF7JWVU0QUHD1PDtuKFsg+
DNFslOxLwOsLiTS70d0tO8QYkYgA3RCT7EofYE25tfjhltoP+m1Xo0kIpzkOxbJvaw5eDH4BM/bd
UMUEgXhaFLBa7bkR/RozCPl6aOjQoHiPWonjTKULbjAhym/jDVG0yiya/bqn0LcJ6Ou5W3O9ZS0w
YncmmcRejTynDi/qMo6IyiQh10lyXBWV1Xf7pb77PepI781GA5nt1I39dvTm6rbGk0ZiRYQYGd50
fBanTn1dEvX4qEWkAvNVL8Ab1whhYOPfugYS1U0Oz/DQ9dN8NMliJLs+7gLi6ASinKixr21Pztdp
5MjbOkqyLeo7F+3NKAv4cI6zHV0ZQhyM4z2R1OmubzKqcXqeHKPUmGhuq+bZl3NxZsD/pqeaC19u
hiqySHX1ujHLztryme298W3kOH5h+J3S19IU1U3fpEAkADAP1+E8VQc10eHFQUwCs4cc0QS2jj7V
1xBGSMlTJEdYPNsAAId1H8/TlW2o9KYUJI5Rl5ffHMn+ajUasXk5eb76luWxe8wA/zyEk7skyZXY
xfXlC+kYRU272YuDsSy7szjx7Iu4aNVDqSwRjKoZjrmI+rNBm7Ifyk6R+cUGD7fCOXvdu3Xxs2hd
fd07BLcgZKhMXpHaPRqZaZ/DaaW6glePRmNf2px1W7vbTpqyv1qlW2zR1hn0kPs+vqy06SWD7/9o
Vm6JoG72QJ/m8w6hNFmMxAav2OPNyBjiArVUBytl40ySlSzN0yCt+3xVA3zl8fK1PU6cKrBwWDMg
UW8TtfW8aZPiTsvRhJSKghar/IqarbcpfTQjmVE/AEO1CFWgp4piy206IAu+2le+U9xVWVGdqzk3
D1KinmI/X6BNtNAr1V6nBVY7aIRG2MCtX4iXQ605SHGAyendE2WHx7hGUMQphlgSLQm/0olU53wU
82u2iunTaFjV17TJmse6q0d3X2sCgQjQ8iTb99UCLgE2BFBbU+UNaO+hxItPfzCTDpi0jlbLsTe7
F2CV6Geo7J6PvleeWexsf5S17pCEsZANtexyrnryZeCn53uF3HeNIqM6z4gDjbEu1OqSQmB0CTyT
PBp7CSkAXt0gtnXQhsvU/ML7/1OVOphRvmn+qnPhpFqhmo/gVrrrDCPjxsbYdz/KljiayTUIcSlA
2BMI8kwZ7LudtsN3FMm3MwA4e+fS89xotDv3aTOzsteateZVy2893x3UGm22/CL0vC3WkLJ3Do7/
3dyTu4yU2A40r7L3cey452YGe2pFpJ17iEG1BGCLomfav7SkWAlXwtIiBF+je8dRh+8J7oDvYQHQ
p478BxuwwJkO5n/PTyH6dWzULQSHny7B5YRMq+k5msN+14OBBCpnTemF78/DvodUC2MGgmsDYUFS
X+GmWKH74PaxfZf0lUTQlPDCSj9eDSV7qil2/J3QxF5ZsXnNGeSeBTm7GuvZOTbIu1cKcMe2JiDo
qfKJgsppSlMmtNJLB0oZWb8apxiYumMwtmSyRv1QfinnNmKHq1FvLtRBeVNxEyaac+02OnHHKSFQ
Rtxbv4yoLAl0JjhXYq8/hmXcXZWC/lYuMnFLUrJf4iKYQ637lpYaipGs3Rcst9u+tmpoqKN+E4ad
E5DaRZ4QOOH91IN7Vay4q24s663v9/pe5t1d1AEdGl3dOVpRNe3J+Pke+6UbpBHBO0gExiMLqRYU
lt+fs5Vzj4ONYLKNmoz9b1X+6sDQJhuwl88Wxptvrac6FHgRLo/nSk9T/cyou/AMXke6oVoyMNla
864ztXFaa0AL/cskl5G5rsqmGVcWcati15SUkddeLJG2TTK/Kwu/RAI4+fs4WZx0lLDusCC8jCMC
f31mqyIbSx71efhBPG+BZoBeHpsqDkkNaj5CW9NDkfjGluNEoCEKPfL+C2jDzn2BmnUNcSIK2BXm
G8odP1oTPiokJSJhU76v0zAE3eg8uRxBxnQ+F1K/YQ+1pNBTJtI6z/hh+/lwZlfC2joNCY+AQuRV
FBpB72vhrxic57XQNfOmHf1fzWhr9xGv3lfTdGW8EW3VLAF5UFNaYDfwAUW11/2x25pJU24cFcGc
whD0iUnwbRXUpOuk84GmxA0Dg9bX750cq/Wdyk2ov7pNmh+Nov/qIPkKIofTLRF5/03lHqc+5jaw
OuB1TirNkWx0A0Eew7VK3DVms+cEMG6bkMyKzyq8b+q7XJmP95ptOB0X/aTNTZjFP0VtZ+6GH+1r
kX4Ku5+jokivwTTEsITgzPFm/SkOlxPlQD3u41/iveo9yE363baFCfxN94AUT1rtusQYE9k3AhLg
RR1RJ/14lPfaITzCpYat0/g8tbfbmMI6wC90lpZ2SA8DDXn/NK4MO60/6by8d0E2yh3PJr6SFuPy
q/zW+MtIZCU9ZKCzRIjxBvHqd8ervn98OZ+NcdLdSYQyHd5WGeBiABgq97ZXfGY5XR7+n8V/4Moe
zAfcjlDO30wOP/UGCSckqPmAXUSdbh5NIijBgw7JY6zRakEjqMNBpNZaW8htcdB+1tp5++pZUAGo
o/L++ZxfTlo7tqjR71Z+E0TkHK5UpZz1YGTNea6lSO9qv9z87X1lPKixPospGpPTd69hb+VNuO6C
ohxZpZzpBpae+8l68nYuIqOALiWo75go1U9ecD8iDxcIaxMkCnBdWxPKjann3E0paH58Oe+MxEV4
wrUdA2OhezJN/DZJ5mkiLoqlDdmg1p4BVr2rZXr/8TjvPCbDtU0dx+rSJn6F4f425Z26yCxfulUw
J/pW5k+aB92GLC8Uj8ePRzLfNhutP4Y66dtyUHUW6xRevd6nelfaZFEO7r8hmngie3DaBHAVe6RF
odw0tvI2ukQUBv0M2e5sqm1KC2hvtpylC2lRBStsFJfCS+ujsuD1RkM8X4Q5m0G7IYjgVRHM5kpt
cxOq69ElwuhyqDrKWBPG+TVnbSKUiZX/5ELt02SP11YmxX2dF8DAPHayNuf5rFk+CZ94YGP14KO1
uTR678vkOMlTMXfusctzmig5UkBgEzsXwCuNK+fgYMxLBO0ZoyFWxuy+FiG7I+XE+GyKL/XgXcwh
p8uiypptmw0UHRLLxd+ZEpseDaR8yt50j1pKnOGI7imgwUUmo8IkyzjphnO8e57ZaBnSzA/hIFbx
xo+G9exG4wbCau5vvcjU2DzOrf7sLsrKj2fAO3ONdQlIHOIsj+/+0i39ba6FhFXShp24L6nWnveA
6w489TGIUolLBdTwZ+FFbzu/ZK3CpxNY6EDonHZ+MQX1/VAXVeB7ijDQpCq2DfDXc8eq1T70InUe
U3+5s7EN/5sO/h9d/++8vrS10cdhO8fsffr6kqDea3HnlNh3p+mxd2A2NhR979CspS8f39V3LpIu
L6sRBx7+d9pDpznCpnPqyqDoJaVRHFWSmk2HbDst5cFps8Rbt3TZCL8iY/Pvlyn2VRZhRYhOkRKc
THUXTh9nz7IM2rBK9g3p4tECWyB/9J/07b+4o/aySBk46AGiiFN+DwdBchSBgQV4/h6mqRw2pjeS
KZ5b1l9PU7YbCKYQRiHDeANsqNuq6qK+y2kudgN0QaovVno1DIJohMz5+fHTeztRCInmwkzDBoEC
cfzPdyJK8rq084bLEoUV4Kcn03KYKOy2uZV9hpR5+wIyGFsbtgaCrtbp56uhQRw7XcGVafZdbGkP
+EN/pqN1hyL3kz3I8i7/uQVhKPQ5zgKGZHacXFdhxclUanRj8QVvLQomfkV0tpv3RPUudjqI/p/s
E98fEQAXMrblpTv9vNi160EEyILG6I+ZXz9Vk3FnyaxBbu/kgKrN879/dGy8gTqw62DE5W7/tpwJ
cEfY390s0LruCOgzsO3sijDDT4Z5u2G0dQEyArIYhBfzVFnVe/oIsc7Ogl4zFyJDaR/qkS/ixxfz
dhVhFAPMPCuz7ryhZGBRG8s0NbJAWhxrOe4h6u5+uaVzkzaKrho0eoskqo8HNd9+KRmVhQODiQCN
cgocCYsZC06MqspH27oacp+zOCFA+Dx8WnVzSSernXx8PjhWwQK7M96rsiUFXI1NdMhpJu1A7d3N
k2i+oIQH71HXbA6WbUGzuIDQxjhffRPKCpbcfxIg/uOK9O6DgbzDjDMw7Z0+GPqScU55Mw8oUZXb
dPLTozZS7Pj4Hr23QGA4Zc2DU4f88fRFshs+I1GVozd2gYJWfaBnxp3nqs92Le+8sALGMapKyC9v
EqKEm1tl3ZQsRGNt0c0O48Po6OPu46t5bwVy2ALAP+FQzr37852Z4YaNBHFnKAiwlPUunykcuJha
2vwZw8zf76I5Mwp4XjxoIGWnJ1TgE06P6iLj7Bj+XO6dTJybQoYPH1/Vey+Px9vuIsnlYHA6jcc2
K4254uXJE+FdZ5NBnT0UP6m4VjsZCe/HkIO4QsXSfvKpem/NQxFrs69+jZE7mRzUT/TYsvssiCLz
SpUaFqZoV6f3dTrfslx/Mtp7E55jj8lk52T5Ri0IjQQdGeyAoCaPbl84wr0ZTGzRH9/MN8AkAGQ6
N9E1+RxZyJxP1lW/M0cguU0WkLOr3yexXu00FMerMLX6nAK9O3xNST9cdxByr5qpzC5F7lr72EPY
Bf6X4NgorTdGA+QBgxRN2a5LPzvdLglxb75vnssJmzcTmODpxkeGrS6GouBrM9rUClXzZChSwJCW
tIfE9R464qDWbh1TySyt5D4b+vYQ+tX3mLbu7Cz256GwD1SR/BUy+3rlx1zHxzfynXeNxhZbUPwW
wD1OP4i5y++QjGy3h3L+Wc+G2uk1iqowp4k9PX081ju3w3gVGopFscqu+8/32gT/otvgCII5NH7q
FBw2hdCfwF+XgUsmBS5JR32yw3jnpYODbuD7RjjKRZ5Mk17m0yijistLxWOcROBwaN1TzJTzysIe
/bWRQ7OhJdsHf3+tQAIhb7OzMaxToJStLcGcHgmlnNUuMdkSKyLzG2TJEdby6H4i9eCTrc17T5It
G2UA0+D0e0ok5F3BhW03VaDpEZH0RM8BBLDUzQB1JCgcDtIfX+E73xwukD3UEoTDZvHk1hahtOOk
4tYSt4yE25bDRm+qZmMhi/tvhvLBT3hYiRDdnXwQaiILFBH1VWD4VXkt8ga7tKucs6QzjE+Wr/fm
qMULtfgQFsnzyRzt0cWUM5WBoC26O7A6L0I0d3nL80ui5saDKvHXhyMWMEwXJiRAdOSnL6AxUnA3
27kMZnNG6OMOX2QnNzV1gE8GemdhRluM9cqi8oyNY3mev+1E6xm7rB5yBMwj8RCN496bm7tPpoT1
dsH7Y4yTOeFrKeGGNmOg6jWWHML6CCNKfDE7B4pTPrTcRR1v4iBrcH9p9LUapItigIYNcPGM4l+H
JKpMaPfYIzIYcrogpoAjSCxFcJptxzemH43rcsIiGdZ6uS9aFBqcbqc1WrjwEAsPtbY+4hY2FpxY
Sg/vCyxzFBelAdCmKlq514mVJBcI/dhVmuvsDquFzpAl0M1HN94bkOAPuUCn1VtxcdHDgw68zL9L
qqxdc4ezXUGtiFwl1EIBCqViVQ1zvQ27WKAYJL2wsq0EzFja7T6+ve/NTb7irsE8wZZ1un7CHmrU
5DA30Qo+NaN6Ivj2yra0nVVUuNqH6r947dhzs9mjfI8y/uRdEPFUkvYzlYFq4qXmdEluxGFQ5Seb
17clvwU5bFoU/qgREGTw58SE+BNbcvTLACXpTV0nEuGQ96PJvtKJuqArve6E+T2S5SdHJuv9canS
ckc5XJ9uyPwaDl09CGoi1TQ/xqOOS0ja2g1qdz3f0jjnjNOIAiBI1jebvEQpBFWGhbwx+4NA6ivS
QTtYeqftDGWX6xB1GBOu3mP8oI3lp8/C6Dmoj+iBYEJFG1+RzJz07ryJjPDWzABpeLNoVliP7Qxb
L/7YlN8H9kr9gvDbuE69JS9nxAOLo4v/XsxiHbcq3brAQ+4bS3z2KN5b0x0I0GCmKTPgtfzzUSR6
K4oy6wk3UE8TvozVNOikQ6r+k5n13lr02zinG6O+7ou8gjsXeCLX1yX1hnURx9uPX5f3PogOuEz6
CvTb3oRO6I1ZVw3ctICmk7eeFs+wbj5UGRmOcTt9Yjp7dzDqlZxZFnPp6SHCkSxGZc67osVOwUl0
3oPb2iEDQ1Cpkk9u33sLgUPZn68Flr03m998miwnRUpBvKu8gUhIgks4PVS5fFHJ/7B3Hst1I1uX
fpWOnkOBTPiI7h7g+EPvJU4QlIpMeO+fvj+wSvdKpFqsuv+oI/5JmZBInAOT2Ln3Wt/CvBXaH5xJ
8av7wmGXxAYWL5Xzdk4zN2XK+aVOi8cUnM8sxdGd6+Eg6cWvC0ML92ZZgVwoPeM6In5gPymUzaqI
8jNXuUSZFuZ05+ALQKMdKJhxv7/Sv/x4LIi0kejfem8XRmLQGi0JKXOGqnw2PHUfyv4mNRgm/wfH
cVx2imx/F9/Mz49H02tTWCLK2bMTLenmtE/5pA3roqs/eJH+qmxd2NK0WJZ/OG+eQ2PwkHEjwNq3
CMfDBp3bkF/VhXUk4PgiLarbLPU+aLP86gb+4ZBvC9Z4NlOEOnq214Zxp7ri2TNTFK72sS76D/Yc
74Km2bzBCLUXjjS8e3pJP5/HdnAJEhudjGVGTo9tWL4A5bRXsKjcFe1btVoAHauMFXkTVYvgWBOL
PKtG+QNb7MGkqfIQVGDlOolsGWsLZoOwrW/U7MHfzgmrIy7M3Y7O4N67FqsmRLkG1YTWjOs5WVqb
hXzRB1KIHYAkY6k/xkV3jiex3LSUfJHbD342GdGGqDJ5U6K85GUvrQ/upl89xd7i1KXFwX37dgCb
piUZKIiU93M5H+Z2Fn6rmw/QG07omT600TR8cMBfXeLFnoFj0KHZ+va0l7FQU0UxtI8qoB992dXl
9hUPYijoVn6zCFN//8D84ivyXl/cxgQhULkv9/kPNadnkzbSSiPdg0k1N2E92Wd5SIU2xUXzEANK
36ND+vr7Y77qNd50ldHeSE4qjyhb2zd3l9KmlMlsmu3tbPZW4dDZN2Yo+lVuENgcFml6DwQR+IiJ
ZOtVp+yG8FeyjhzYFi3RThvgaX5w6sUvmpioEuj6LKu2827vq0ZrLsn5Y+mYA/RshjK3qNKMbRPU
zQ5MguFzpyCfsuCQqjok3q1JkF+bH7HAjV+slYsvHDkG0HoGbfLnS6IjjbAzUp/xLcdwjF7FzZEB
ewaBZW6dcLmcQxsjScRnASYwpYksNPLVfIA+/eVgDPp2mgJ4L68BD+2sf6YszncEhL/aJpItyh5r
hy73eUKRyZLdb0w7DjcIBs11reXtPrQrZzOGnbN21YksEuMmIWzngscWJwo5c/ND6HbeMdWdLzpU
vg825r/6/kzA8KA7y4T+beOIdlucNq3B90+T8QZOMII0e4weIqGF29/fib86FOpLtAa40XltLFXQ
D3c/QycCAZbXEhTgcF1W7mLpGckh98JUPfz+WK/X7e1dv3R/DXavvAbfbv9zzU67IYvYHPTQsPyW
gTGOj9kUO8KieyDHqTgRRANdtqMczqXU1JVsSdSC/FDu4DfUh9cP9I/wDWfRt7poipf2fy0/9q0o
pzpSYfuKD/j3/90WiE+z3/6V3XNx/pQ9N2//0k+/tvk/r3+snov1U/v00/9sXiNerrrnerp+btDw
fycYLH/z7/7h/3j+O0Exy5CTbfG/UALLEf76yeUr/O//eYZ++Olb2EGxa5sfMQ5//eR3jIP3iTWT
1APGHgYblB8xDsYnC5UTXTTXwkRPqNu/OQ7yE2UDtwA/Ri+NavTfHAfxif4exSkdG3uxGdv/JY4D
R+ARYm23ONi7TAHPmJDjllq5d6P0JSwUy6ZbBH7ksr3/4exc/nkL/yYjhS8hHEljkB4qyq53u940
RwQCHJojSWwb6MehjRSjPwRh90GH5P3zyuaafGgaJJS4prv8+Q/Pq2q1gPwDcMHtQBZw0OkXTZ/F
7PfmD16LvzgQmiekassCpL8rp3ueRa+oZ7jETfKSpMlLoEUvMf/+x2eOw1gUW2ysaZ+9WerRhKAt
scZyT2+AjD23qvwlAmaVjNF/cOq4V1l1mLozf3rbDMTumZlYKkqYG0QQjwCjsYdK97TO4w++lM1F
+HmdoxtBp4w9ncFQ422ig9PD+G69odyHA+A2ItiuJzXe48a5L3uQYr8/g+/rcA5mMOpCnmF73ls9
AdzHgmezKPde1QC6ajJM+qACfYLGnmDJg1fFLuiLCbPs7w/8qzuEmSECw9cS5u2ls+uik2mYl/uy
ioqbDkmvb3kY7NDFGR88X+/34nxH+i+sCtSgPNU/3/VzF3cTopeSCTUkADDN0yaWenDzH3yhH46y
1Ec/PFsupUivdSlH8UaMn/V432dDfnwlG/3XjvTmrh/IwSn6nCOFaTet7TF+muG5rz5+vMRyZn66
FdkHQr0kKwZRBnEVb6pb1aHjNjVGXS2tTATuTeHDQCVhwDA/V2AkkYSA83TjUG4tOHkrVEUfzGOt
1wilnz7DIkR1XW5OxzORSy2Pyw/ntQgyy82KMuO1L4t1qfcaOQBlO17OJO4R7kzGoPBqscXibO31
eizWROV5G6My82NfMW1cDQUEFpeB66omee6bE0YZ1HHi5he6zrZzkpcJKexBzaI/Kx0w35CnIVpJ
r6j8ouSvEACYbfRkkKuOl9beGavsipxj+ZA4sjhYxAU/9lk/rYdstPaBg1W/mKDeDTGPVOKMuPab
qSMPGKy3u+4rZR7alll5l6T5hmo0v8GmZh7x0gzfqoAXjWhtPjuGn6spNosT8OI98aCOGxabyUz1
rzEmQSaAfB6NOukpI2F0nYCa3haeKi+UnIt1i/iM/aYRLLmbpEPBaTFasLvYCLeVjho7rgDbacRx
rDKdbzdnrJ1g5duV0+ZyFTisb6GK8Hdh6sA/OIotu9gCoDOd26OZ9dGOCVNxInTwvm6Gh871CKBw
UhpQKuytk1GJ+FG5RXpvDwmaqMYov1R2Jh8CvnvpOxgNv5SZ2c18pj5AmOKUXrsyjInlZrRNzLya
Waf3ZCpbJ/AIsyuQhu1jwKnBPVaVF3YXv+iCa9rhonggUu1lbIbghjDP4jAsq3PYNMXJlFJ+b+sU
ugrLi5eGGOXt8RqhqnngpdKuSNyIdr1KDZ9KJFqc710O/w89r292KjpXRukBQFX5iw2h4xzKPiex
S+lhSm1wXf/1yUsbuAUY5d1TGP/5JoEA8kCzHOiCCbM3q0p1686YiuCtRMmjh8UR4O8AYpwo9Awz
BQk++FtrO91FudTLM9H1pbe2w6D/HAal5m2k6BsX+SPJCr6t5/UpYJz5wcU+cDvmSfYiHeIR+I4T
lSCLNwCYam8CWL0veLhvDRhL8QonA/DX2rTAAyEw6TGgjZl3WqNzoJUruQRtMCbw+cmCKXx8eRpD
RNu7b6qax84ED7rqTd6yM95NLDLl4vLBbxLeM3BXPdONPH7y6Dhs4Rj2ZwhchfIjD7p60wfj9VB7
/ee5npMdiuiWiYRWy2gbw4KZN3PsIk+qGzV0PsRb8RV9S/OHnHm2TC2YxDodrOauJ2Dsi4rBazpT
yjI+FnzYutOMIyS+aMJXCkJfJFwJK1TJY6VkfhwDHIr1SIQlzOMX6YbeaSAIIeGDAOXFHrbWpqYa
1mFmh+c4uMdNp9LFzscV6gzevoi301Xo1tAnCWu5ifsaj19YjuFzXnrWPk9saMZ2CEbYFN3nspn6
HaMKPOtex40wA3fHQBNB8qWZXml4CBuR7rDnPrdd7azDZrwhw2HfFv3XLpyiY5bbctMFIKB5GztX
YcdDKXI+li7S/qxva2+jEp5zZsyBT8Z38uBCRT3BQbKFh5+u1DyW7SobkibBkBpHvtGm3NSsiuNl
mJbTOu9i78Kgrt1WGk990qXTuienxjcasC1zzeoG6rrfieXVX5p8b5nFT1GjuRcuA2YCxjF/G30r
6CUN4jY2A+M4dtxRiIiDx84LmDynU7HumXBtrGbmMSKn1UOUsdgztBqGMS4/bRXCirkSdk1wu54+
WRYLZV2zfmBzd67mCAqAJK9lHTjEiGAP69wrXLz1qRggFEGA4jaEB1+RCZARr0po1CqTXbG2Bw5d
F0W9jzAmrTBTDN9CRghlnuZ4CRvcj2geN3WUXiB9LbbhAAIjbLLyoqmW0r6QxUkqSm6moQo7CKrC
ZK7B2YkCjzAeuxMk3LHqEjDzpU1c8awPrFb9co9Y+izOk6CNzmNrVNuerEHWOIoZX9NaC7SMtW1A
GqzwncmVZcysiG2xBP/axV00coZmJ8gh2zv1ihfugNKsZeVO9bpGs2Xnt32pAgikeU44V5ddNR1r
j6ZYPQaPhz7pieXrvaLbGqRp+ConHNYIpP7VE1170msknCRFd+EmTbpvbL3fxSFNx8xT2llbRxcG
kWyftThuLqaRCGbClx/wRw8P5Ne7a3dC0mrOwtrPRFRt8rDKLmBlBZdp8sWp8NtGRvhSqMWP0kZ3
PM/3da+De0eFCCUlg/GvGwzxpgaafUEED4v7V80qyGpxeOktbbODFoXEB+WsvHXOiqNnrgCZKqAZ
z1zS8s9FFuQBzTyuwZbtH1h9G3AQ7+18hVdl7PZ0L816l4cEa4uwHPy28WLA9mnKYhazz6y4RWIv
WzI2kyVmTwf0XjrLVBTeFeExFcTItDRo0BiqanVAJEO1ACbkXZPJ7DhUBiFuTquXq8LtqqORNt26
E3RP03VQjSiCTqZBQmnm5ZPWrH+ZMwTXlRzwwMFSxjtuRn0WHofYM/CvQzzp3aPZg+f1A7szHGPF
doBWlT9jQ3hppjiEGNIn2XNpIaggbdc5jK5TCojz0BGobiyd1J6RdX1yl0YIHJK2vYTOie04NnH5
rxqXNOG2DGuiwY1O9PAuRfPoJnrSruDh3gyxMWLGFbaiQpgCM/JLZ+qPeRona9DVX023I2YljoEL
GplvWjSPpM3zxcLRX1lWrC2RQBqJKk6G1cqU047nVBp+EQM36VK33csKSdtYBU9JaCUQt2QCW4V2
NEAOMNegkM873tHCHxX8rNyUnbYiOWY+53FV31TqoB9LRKP5qQNZO0417RCNlu5uHZWxvpk2y7ep
qE7YsJHVPODLs9YlX3if0CfKVu5kfZQM9763uBTEUPcsRqqoRN/uAkvE8+DnumQfZpl57PomeykM
DKb+0A7gRJeIGpQicKfpg8WiPe9tKguRMMUuBWUV6e9PvLjyoysrdz1JtjpNVOYkTBCwfWJidD/N
mXidJnbjER5SRaXfdoG1V4us3AC8VGxMJwtuMBuZT4ZNg9L3+MfO1YRzNQWC5TaYRqQAURQ/vq6B
eQ6TbTXMifyw4btsM34qzAnkpRWj62S5Acd99X/8UJg3M7SmrtHTPUh81l459GfYgcC1uzU1E2im
6HxicEb8AQnd5CrBMmPxs05oTaoIV/dH++Z3rfjl89CwQQWItvudQthREJHQ1KX7OhNwt8gTS3i/
DA6Rxml3HUy88n+/D3u3UedmQHLFkUD20nZ6sztqzN7K1FCmhBFQkObAg3hZU5rkeVicaCZwgN8f
7/2QcjmgQ3wfgciG8U5yldcUe6adLOJ/mE0LG6BYRw05c+uYG4uYR2+TkA12YVvucPn6CiZYkIl8
KAexDQVRaQDvrCcoGP1uBDr0T/fZWDGZdSFh5gnhvLw5Hyg3BptRUrT32G/vLE0VJ6U5fPQMvutY
cBQaFdgtMGwhbHizH+yirg/svIiwhFG52sho0UrbpNpIjyLfTkCKTDGVO/Tw/vPvL4B8vx+mPjCW
/g+yt/d2NCI+TQR3A8PgZlDBPjUL71QLAu8x66hLyd+wpgtPs7x7sgPvE2+qyCCxhk079eDj2oIM
+WWxq1u/IhfE2Ki2pJYzk3pP8eudxkXe/FEFS5CEFqCj+7Pj8o/61X+jE/33Wtr/P/Wrl0nIDxf6
Xb964X3vn7KyCaP6+ad+9Z8/+Ve/2tE/seIvOmMeetpZ35HD8pNF24fpHzMXPBALCfw7c9j6hHEG
reKyKv3Vxv7OHJaf4J/x1/FHicVsYPyTXvW7DtfCHEbNt6i7WRzeajNMzR5V5TrzPsmtcGXMaNGk
re5/OCl/p029HASfM30Uvuc7FRObFK30PGabXSKhADrNvA4dqJYwxz5KRl2m/z+9WjjUgi93cA0y
yH0rdyjoaFTkM84oL0kaiNIlfEBCZqVRmYGRido9TmhtN86WCa5vKja//6bvTif+Apr+zM8WuSkp
sD+3nGRKvtRgy2of58MttMwHUic/6Lsuv+Knb7gcwsLK4AEtfa+Vr2tt6vRAVHtLDLejZdxDDUPL
jaUXxEHFXfqv8csvrhwWmfeHw34EDh5Rx6u64+dvRElr2qPXNHtzMKqjSjJBHeuR95tY5P2mvXln
vta75p+1r1HE8IQg59R+9lofNwWAKUcq4pFCduuHbnCopUmS96rV+FpjN6/1tqwEtTcjQapQTx5k
nBlfZTzsVN+0L7np0gOpW12CvPMIs5u8LoN5mhvnYdV5ayNMjDUv7vF+ioP6NLLVoNAwL+AEE4nv
rW0xVIwmp/A9jK9XgSqsC6vNk2vb0nBRmDXRFapV510PIVVlHrkPlOo+Lcdq23fzfEgIhupirUdO
mL2YTnpdROY3e3av2poAygEL+rHUx0dFn4NDxDbAM35nBjRwnZRztUuqpYOSCzgO8fBch151cOLw
Aimrto6Yd2xMSazpQP7N+TgaoEU1Ii2kMu4dTQTHOIx4SxEVsYB0ng36STRviMSbRByfz16lblsC
TFadm6x0r1ckPyhQHUNAuHqUBptYH8OzvLFWXUiHh8yv4cRShNdshlojlEsNE+zD1o27cRuRdHRb
OQwLQlzcK+lGzmn5SufISxGIbT7WtX1n5o72ECZ9fZEXgt/jjqO8xb7Rn6R11O3xtSFm5WWV+bKy
whOAm/VZkeoWya4VCtHB4xbJqviyKiBvxQO8nX4i96mPUv3eLBLq274aV1oYye5LF+mVUABnxKmG
0fY2Ciu2ktGSUGln5hp2JxX9EAnvMLO1PA2CsL4q57y+zOrmNPAm4wsevfbW7AysBkSlnInRsPG4
cy9UMwjers3HXZ4ZX8KktgAFRZ0idNcYeVFH3pXOHmdHq7peKHTF5dL0kE1HMOpYlNXKK1N9C6Cn
+lLYFgysyC7ZcY1WtKs9szshCJJRzxzal5HTbMHZFkT2tA6cUKEe445ceH7sAYk4XdGgQmszXBFV
izejUb7Wx2z8shwub2MDUAr7BsiyGq60AKSONCJkPToF5JRhzLXKpjqZGGCTmKCs4iIj7VZyRwOu
9kHL6FdGUE1PZEYRictDcwqzTIP3a0t2Bl64tlONrmSMunGbBJWzrvSKo5EOAwOKPBiDuKox2AZl
OB1HzSViKmlRdBKztlNBMJyMbPXg53bDygZeRdMO+FSWZKCuTF35ZtCNq8xKiI0AvXScZbgQjAx3
GywtQjTy8SpLIggmTvhEtuSDJ+aJ8qbVr7Fe6HvZG48AuU6x1SuYtLrpC4czbWA6b82ig7aZ1Evi
Q7sOBuholSvCFXjQM62pSpx3Abl41fxHpNzG9SFlT74bqP5AuGmHdEO/Gqdu245QXfB8xz5ZxkvI
Gb8WcVd1VwvNyfwGmS0ChZqupyyMJ9J0aNKHpb1pxi39WePWskqP5KukJmHK6ZvLTiuNJ9Qu7iHK
BmOnizBdjX0oN2HYcYUs9F3nQZq0EqhQOd0Vwk1PWZDmgxg94m6l9aUuUINLz9X8wQ2KVVoGct3o
4akCVxnyAvCzXu9bXymyZtJM5OeE+x7SXt4x39F9GYh8pdyaxDRXI/xVC9ZBorlnIBmRzpIoOFfN
hlhm8wmcavk17oz+ojSbzKMry7PHkmATURyPp2QUpAca7/BJXHhHKLmHz8WIbZ5qiCPrXjzBVLV5
gMDRjPGLF2vpg6BBcsskw7wyZriqRuqJlUizuPHxrxo7UsiI/CLQi+fEHv8giUy7SHDNcZoJG62d
+N6i77afvKhIV8SFdCAWR3MVMy/epG6VkuLnkB5lEH5D+t5MojZc2z1uvAVg7HzDcATBr6ebuK4C
Kz64setgUYDJnVtRtqmlOa2cfor2KIyJ+7C9EIN5wfYSx9Teai3rwo6woYHMVI+utWG7Oe3SKeT0
9+F4J1i51tL03C0nKb01XCVo34mSsMU2kTdmZW9s+gcPWMpN8n3oDNu1PT80ZDjRgIc7RuB4fd6J
st0mGRL4dnLivZnQ2iTIXltbRvGSJ2RmBVWdbG0VNAd6UMOhB0EIwuu1VdT+2TiSSxPp9VX/30X+
B5kiFEYuVeS/qqJ3Rf5ZkSNWffqpvP/zZ/4q7zGJfWJzR/CkXKbENDX+VeLT5/lEngcmZ1Ic8XdJ
WiHfS3yyfuiA6NgeXYvyahmRfi/xzU+0YDAqYczCqI8c7R+V+Ivm5ceSUbds9hKLK8Jg3afUX6rW
H/ot5VwkMgim8MIpSx7HlKRQ+k6htFZWZSfT3kFoBuAzUSGN/8goz5Rkx5+iV/qjCaAwkpycyXLl
6mFFUvNckYtZoKz+NtfS22R5tKDAs3I6LaqkTh8iPEKnRTPrf8SGGj2GiHCB/IVMMK0zjUDtHRyz
4s5pW0ce4Ev3/XE0ono4q0s732BmJjKa5ijv4slOzkqUFSvRBa1vTdoporeSQrAkq17E+QzUbaof
iQyCvSxDsqD7EbDyhBL4GeRTRzbAIib03IDVFxwHOxzTDqMz1LwDCN/O2WsYig59kcWlX0f5CKNR
28m4k+tCeg9DPuKK1IBLrzIFApX0yTl+GK2mXBkd9LRuGk9DT0QIH2ZRC7EmJjZo112REljsgwm2
QBDmErQb8nPyMrWAdHBegyZnWZ87cRnJyDrS228um3KI7ZMB5dI3zsh0klATB/UtRsf50NYmaPkT
p1ZjskEY6tMascdyV7tlmG4kkrWzAqJfZKbo9iYsf/mWyjTr6fiaYdgae0yM0LLHVZMwenNOZrhu
tTevRINBb9wMYdLFIe1AVY+YN0SWCI9CDnZ7ZLfwJfG6JweyIR2nXPNyMr/0KJGumwZWeIpWdvwD
CFy5LP6ieUH8SODluaTYzMQN/UaxtdvIKRo6xIHzuRzSzqT0gxA3qAQcdN6VnKg6CRB1poQVRKaX
G1B0kishKIr1iHkYyLrhAiNk7y+9SW7LMSEWtkxQQjOmObpxUmxAxhNyGAFUJGn3QkTleN3anRmt
Ay0lCtKryZQlcVAdXbd1THR9nO2VBOK613PepAgwJ+uAprreEqndPBWyTL9Jwi4MeKeNzbCwmkO/
dUnS9BUCUAMPvSeOjdEOvmmo9EiOeSyIAO4ew9js29VMaNblYnO0ALqWCoeOqZ8wgcy2zPm1XW+A
U3U43FlqGyVZpmK8yotWoBRNiPwxReAw5nUZahIjwgZWqIoutWz6tZvY+aEfdOs8Ysoj/bFNzVPb
jedjHsy6jz18Widd+MRnjLeuniFSSNW5HTYMHzvTPtUdp8HOkwSPIZsQLF+0gMuYFNYEXu+xE055
FzfzORkH1tVyZ18EZM+uHd1gnF+Jszl2Jt7+TApdA/7eQjeGCm6U+kuBgfWisBL1WZXRfFJXJl6v
noZjk9oEfbMj28Vxn+yCCJVEUC1TWmaNu9KuvRtlaqjQacyeuolzP0udRL+4WjlaQG793FunZVRp
kB+b4cGqCnCWMajN0zEy5Bdgf+DaumkuFPQD3bhG+ExllzfGi4bqAfQtZ2ObzCCfmR1/ow/ireoI
Afxa66bK85PeNm9KYyAWQjp98c10J3VrxSb0Q6aG1tc2o32es/3ld5TaIXVTidKgpIPa9SkDG7s4
Jmg64LXE8Sbo43Fr5MrdjxZ9lKHMifLtUNlsW0tB9na6NjoRXtjdtiGGvpTzc9uM1RW3dXFN7MWp
N6DOsJLA22tEEDLGMSrn6NZa5NGsT90/IMqGl17qRkjJivwPJ9I9eMAToM4yQ4hDXKmp+5MuiCyN
r9usdg8TI6N1wt19I7SlAyKGSdJkNYLV0M53rg7Mexot5fiOUzGATHtW9k43HqEKL5vxTluPA5w4
xou29YXeMFttxsbXRBFGK9Oph4ckxDxgGXFxJtMS3krvjN+0Me83vTTaF5VgUUssdmxFGjbkS0vj
s8zn7GIWkXfRQ/i9nAAZbkWq2ktZ1+UJE1r9xhGM+1fIBxISUotGbYAf6k8uovy1CXXpGmURepJp
CI1VGHeaDxlXvRABoe/znjx2Q7YzhS+3FhwfwuxDuqi276pwWOdEzB5c9r2+4/b2maxmRQiEZmxN
JeSdqrwSAqUVHgsSNC4rCJvrttJ7zqwXTs9Qd9sbrJRVTMs4CCnJJzJoQrEwTMfK9oXo5WEmRaFb
mbJ6zrLI2IixYOdjyeIMP3u80oyqPp3zYrhKgVyj4PbOqh7bte9MhE4c2NonZ6EuqrWQVfyYNr28
jfHTnDmlO93ogyCIQ7ND79r0RpKM3XY8FGMQmX4RmAslONIv6r5MHjIESA/sFurLvEuD+zIJopNu
hJsZDu58ByR5Im2yiHcA9ydyJ+Dl6rhAaJbwbYvV2Eq9PeTp3JPL63R3JsZOYpfNJl9rkZWvsG0U
m0oP9Ut6EsrYOGxSjjl4RAQEyTCRtTBlCRMrITduYRqcx3b4bI6O5Vt9aJOOk/Xhir3ZfBSRsL8x
JdG1VRHk0SXR2ewiY917mGar2evmzIvezXWiOBrVRFsbftCpE5UlO4ye7HC6LGyOVeBGJhTq8bSr
gLM2JS7b/+6A/z3FthBLfNZviuPoG2iAp/zn6vj1h/6qjl35CScFYy7alq+ZlpTAfzXAPf0TpAoK
ZlL3cH+YNnX49+rY/YR1HrG+jQ2IhtEyrPleHYulAQ7QZxHvMjaCMvldsv5XRxO1+/8TQvMWRIG2
k7rYNDB9gP7CQv+mZVuN2thWaSNO8pJXd7XqVRaN+9pCp0bIbo5jsQgn8NBxIrQBxQX4IEKUQ3K6
6URaT6Sw5JJVVI+X6bwV2zPkLohUZnyiZKWRIRPkTJeqvMHM8sOZ/kVz9k0nmEp+4aQu9ihGZxg5
33xyt+mGFCdcfQKBcrwWYc7LA5XA6dQ7+jkwb5oNvz8gr9yfdxIcEojYMialyW1zNd/sJLQo5eXX
FerEtr1TYo+B5Kc9m6Ad1nZV6YRPadVe1Hr5xYOtQM3Zmb1j7j2b0dvWUmDFD4ETLXkbPegzn9Am
ZHyyJd3CzSPH2BQ5YdYQWcRtKkFF7swgL06g8YJkQ1LI0FokQW37VV1l88oCN5ps1ZBzrjW7H6/T
mdm4FLP1RPwHRWdcLW1jDzWc2tROsGheLLLhYBZqiOJsrgjajrbpui0myelssiN5WwuDm2AwmHbW
BtPnCVwFPLiWYIvaZRe/cugJqA2mvEFt0BSOl3popuAWQyVvhSCLyqfbx3cDql190ULKZMXmnvEd
iVMjaU2y/CL7AQq0TQp8eDGGGZ/ImyzjwJyZJkNNyxSPdEV1eytj3i74gNDkn+Oed7QtGfN2+Vka
XR4e27rh/lOEl1MKAzS+nutc3oKJlOND6YpRe+RNyJmLGiiJ/oRqqDiwdULg0MPgnAFvaxw6LXv+
tOwIHNsQQYOkYJx55/kabd/wMugFgtaC4A3eDoPB9wduaT3FDDHvu4kOXt/V/Lg3CPQ8FXAg/Mr8
ar2pOEnRZHIVbBOzx+dwYNq8N2ciw3krJEa3sqIlsTnSUmR0o9VW8w1lHJeV96EUJ/gV0/BIh1be
OsvJ8cClc/2gjZ94lYa0L0pbjaRVAIVnoSL5QWN7SoDWyMPLpg8ofEXaFGCkeuIhpAvFp6zhgDjr
opfpxgwctU6tSpDEMIzTrd3K9pz5K9KgLCb/guycrnhScWudTZOy77XeEedDX6aXhJqoJ4k2b490
2nRXkcydp1wl/UNp6BSAgtf7STgQz90PfetSoSySkozQrOkoR9saN8Q8evcayIL2SkazZq+t3uG2
6WuH0ztEmV1f6C2TnW1jKS3HsNlVhiAUwXTD2UC0ZmryG4Jhrh17dXN4meKpK7/wn1n8giN+vI4y
HYWdjWlsVSjukUbmJOIi3BK3FItcHrrA1Cu0krm2yTCnqHgJQPvCmeHhIpechzIpiyHYNrpWNp+b
wBqvGXrxINCD5wRHspT2LoHAfmLJGVFuMDbIzfoYyWwcyPES+X6170gtGE8N8r0U0TwdR0GjGc+g
nRqUqeMYc14YHNJK7IhsOSG1W9a3ZP1q2j0RcnN12spaqy8n2qLBNkURMtzNGSqmu8jUs+Sacrve
j5lWV2hxDeMw94uqZZ4yziWSJs7lqA/oYDxPcSJKHYNCQAE/MjcHk34sK7gLTB+4kZNR48KRLMRz
bPfLQ8Gem99Cr5M1NDcLeRt1miAtXbih/XlM3U5exIHHQkELMCm+OcYgzkP2YcrHXMkxtUTFI/E1
qo4fa1EPqvTJcWn/MAK3TR5qVgj61LDfrfqiyPKcPv2otMDbOClhNxuZYPT1dW6nY1M5XPM2rcV5
3M7G+OB2QZU8E7YsGaWaU6VIotF7KS8y3j9z5cuOaItDkEuXAKiisHX9EEqDcRz9F+TlGpCRx2ic
GdDQFD/PmWN/tvouWFJybhxoNcNKZEV3NxWTtklaakJujIZ+hwoP9HKDNbrwKPGzCBuwMMREmqGT
WXuEh/YC94jJl0fFjbpna6I/y+mpl1OQs8gUh7J09fvGKtlBZfqjhtLQb3Oa6cmUM6kNh9HdEymh
vqZN4DyPiqEtseb5BQj1026oq2lDo3S8gkeuHi2jzzcZL6k1wgfjGttJ/ijMMNvKXEftSC4hEaqt
U196ihwfp0yQS5GDl55FpUrvZNw4vqc37XbWWgrqfoSaQvANUSBDedGnc3ZqIbDbMKpMr1jWy8fY
68Kb3kwvB0cf411dEXBQTdTTOsqLXR8V0Y1q7PQOJFWjtnWb56dA95AfJ9V8TDUv2UJ5jvwevich
OA7iwag3ilteOuXn3MrKcE0TKGc/rRcPoW0vpxYOve/aFpWs7XTjeWmPhq8QAhLD4jQvUe3Ua5op
5l4uxDKS/+Q5mTAOAzHdyknSmCgH1v+XvTNZjhvZtuwX4RoaRzcFog9GsBFJiZrASDXoGwcc7dfX
Au/LeinpmvSyrCZlVpY5UFqKjEAE4H78nL3X7lpzQA9c1nuvkPPq87Dq4xpWs4tt4z6L6mbPaLDf
wNVvPmV5ywCWFpBzrBCEDdu5dPurVCL64DeU7Vq35Dtbw4sOIHfxcLo6zlVLlDyzYM80Uqr5OGrr
HE7l43buWjJiOIyHsp+zQ1J1zuOQDstXXS+ys+/59AjoQv0p2vanaTX1Cawu/nmXVSE5+ElIJOvS
8shQJMRLNaj5qlVVPJJTTroGiuRMH+pzxFN++H1dtFY9fxvJv7/q6mOFyEfYLSS5H/urghmfm4y2
f5IFq2gKkUmGjTKpMX7/OkhFfnkdsG5w/6j2Vt/fj68zJLXTd34cnQQybdZUvWXNrqbmxZ4iFox/
/mJrO5uPE0bXL6ZZg2dYiykCTx69wG1dJ+L47pDT0t7/g2ri10IWWRqtF2pxHQf4z6oJGftuQ8Aa
yRLObFyrntLbBvOAEFXV527lEPz+0v7D6yHNoPFPAAx9du8nWxfsOx7borSJjEqi539vQRXTwTS0
q1XU36Wg8v/wca533o/3CBe3IitMiy7HL8X6XMZC+a0Sp5b4wSEgv5bihwWVHbiaEPWiSuWnQq0c
1tEakurpH9+k+FBsPmd6fBC1fkYq1JUgYLTInVPf07EeR806Tsb4JyLpr48Cr4IuyQeBaTMO+ekB
LCJzrOjxOSeO8iQOpFW6dxEc/OHD/E+vwoGSucnqPPzFXeYoC2GBxrW8ew+dFAMD1M3/g9uEhHgL
NgOnHY6bP90mORqFlNQs+2RGbUpmHnA6kmlHLGGYGo2raqZh+cOR7tf1izWdNYzLgrHGy/74hFfp
EM1j4YiTVkfOJ6MnpnXRB0qRHibQtvJm3QycbuEW+f0T8evKwvAK0yi4ZlCHvzwREF5TfWkIUct7
nu6oZp1UDioQRrjeH9hS/+ESuTkw91KDg6D4ebF0iYfgpUrzNBH0FEJqrs9Lh0GnEKv+ej3BTetd
88+vbxW5Ye1mnvaLLGzQ08pKmGefCgcjZ1Vi2it0L9lz0Pnjk/6uI/3xUUeahQBNCNd3vV+ftNX1
o7OeYBbqfC/IjNKG6+bqxUMzLO21znCvoramTJ5G6jqsJ3N3HeSAyAIHh+BwUeOXic3uK3wbi6pz
qbCf0fpv/gQk/XUhhMdkgQViRcL3bv60oVSpPaazFnGHl6iGwzRKm5ds0tgvYclyq2U+Zf3vvwnj
12d3hclSVyLGxYL9syszpsdsRuxxJ83TqHUnz+L8QOiK+uq1Bltm0kTr/Z6lxlX2hXwZBnsxNlbq
Tw+yM1EASJKI5I4qKd2r2SiSze/f4H/6TFjD3uM/+O7elbx/G5bqskuWweOpLxePolu3s89GjFcM
nniVBqPU/9TG+eXZcxA/8zTQyuEWRWz34zMv024t+kmrG0REwJqeYQqYZcVtOq0C/99f3X96MfpG
iEuZ27Ed/PRimAl9EJiEXU5gDu+yighJvfNWWQpqoj/Rg3/5qrkyeCLCWBGjLGfmj1dW5prRdJE+
k1VKo5byVXFn8SBySvz9Vf3MwQYGwXK5Fg84+tnSf66MSGNNJ6dxRyqINunudM5wfah5nYKUB3Cs
OzfZQCdExAKn5ZjgOykaBrQoFddtkOHoQ5Lm9Ak0puIWdpeleVlcHFS65tDKoutl7XR48hzPZc7h
eFwjlFVV+yi6fn8lv34/K20Zowj7GviDn0uhlGzIxi277mQuOKhGdPrnEtPYPtbnf1x1AXbmHhCo
Emjp/eIJULFuqmFK2lOrO9bRA0RckJoq/S0o8/osyPX9U/9w3b3+tjAKtjVgAas02jNAcPz8LTH4
sQzZ2uLkAP39Bnh3OLUi8p/fGyKO29HVkUthP9XoCf+wAZg/3yKoV9ecBQdR7irEZw/48WYUBRY7
nJ7ZyTDoJC0bPfMcJpAz+U8Wxrwp8t4cI8/FZqg7o7v6MWZAgi5jtEJqxktIHNj8oPclXcQlX/s1
ktQXDhZ9y58Xl/uoLZ0u2/f8/jtXzVrFbyLV/ODjiMUolZOBfW8zXX2G7cR2p7EZ7GfVEps6tIRd
o7vuQHOOE62xLsK+dM5pHOEglEO84oAwQV2IB8vbjW7k5f1It+HaOgotM5nad7D6tWVPsCL2pkFV
C7RUaeqkEGY6eYKu3SO/FW1zo3LhGpitQZ5uaohXHKCX9EQAnhGKobAZtPRGIolR6yVJS/S+9WGs
X5FyrVwR4tlpHvWNURhfx5Y06ZtMy3hefKSLNEPnOE/uhnniz64mcVM7ZJ5CcGpJVD3AEedUhBiP
/7tI97+KzyGP6Lz4xVrXyIZnLakKe/5Otzwdw9yIWw7uczv57wqE6aEhtTa5wydbkGwYy0Hdd9hP
0WQhLyBt1Sib/KFeMFRu2l4ZcocJZ3rICau4iR2nzh/cxui+kgTNVYz4HRe0tFUvLq001lbUSEBf
MOkpP8il26/2yNv9sApQcMeYmbgZ+DQHOho9vbk0R6iyc5qZl6cPQudKLQmNcK+cHWuLfZ7f2GPE
xpM8WtVRTlmvfZjI815CmS/sWr6OcY3xYWF15m01DrZ6MFLSQDc5t0tyx3mV6Fxjdkfkzhqm82Fo
OxJ7ezVo4dJUDemY5spyXWLuoApFHdwBd0SvK4bIGI/JpMEtU5OBobNuC3pazE+7ZT/BzTID/GJ0
GfFcTe2jUdltsfdSmxsMAhnJglrasje81wH07Ln7ltih1ZA4+FBOhuNa85lEtomkMnJMp+++WqI7
bxkAK7y34Oyi581YyWQ8isy0X9MoSaJt13eQSf79WDmraZzUaOs4ulbmvSLOo/U22gROGJOR4ANi
V5ShqbD2ha1jcxdJz1nt1oXN52p2a8/cyrr+bU7rcdhNWPPv/j2aIaLpNbKttZCIBbWdV7twDoxs
7cQi6MSrCHz6MJGZvoTv25/r9DQZE3pX7o1NjvsS5HrKzJ6YXb0743TlMS0bjUlDMQs+WBENwtqh
UY/T+66SvBFDp3eyawqzI7XRkNPnfnItbaDRY+f5g1dDmb/YU2E8OllWibAncnn+5mlMMrYQU0xx
PxsNXeBkpjYmdckY3ZL9mDFAUpP8TRt84wumOYAJhLLcjxTmuQJK0KoaG1ORDg1qrijCKheyhNvZ
CbER3fq5oCm5o4O2eLQk8Fuf0AiQjUp28qQ8GmRLP2Tj/5+T/g/npDw1f9vpfxURplX1ravVTzLC
95/6a1Dq/4tjJgcHxqErvme1A/01KHXf+VTYc95nofQu/ntQ6v8L6jfOMkFPiKOby6b716DU+pcA
1m3D1cDA4fOb/9GgFOb2j/s3MXQcgsnQ4MCw8kTfoS9/K41xWfjIzSv9XOlajfECbS7+hcmoIvLc
jKnZ5sJSNaK7oWl3E4Rqgi4bZZG/WbjENy9pxZxp7i4TpmEf/T32iI/TUgjxbPhUV5uxM95iz4yf
yql3wzRGHT8IoS5Enqq7BYpehEEhgw5fY/a/xCP/k1TiyW/2WpaQvKKy6uxm0wLiwb4vWmW9aaOI
5jPTqMmjwWKqmyHzRfVk5VHv3nREsuthj/a2x6ZcWv3X7H14a3YTs7FaD/wM3/jckWGUd/PGanX0
Jq7Vv8AzGJk19UOpXXIrtddaoHSbXc53+wFeZOmElglzA2ZhlD4ZyYyxnvkXqdppRntVOHb3FWKn
/OCIHgmkq5K9OWVfkdPN29RN07DTZYovhbb+PjPTxzm38jsnY4J54K9YF2TDUblRqCYPCox9G7T4
WrfK0F6nXEwBsp5yPLJbsFFUvrUlNMwHGOChZqFRKe0tevnuwdAL+zL4zKMM1bvGsfd9yal/8aPn
pfTcD41rR4+tmk3v2EbK0jZZ19jFuegEKzOS/OzTMLbJVrNMN8wxPfMZNAO6qKk6OX5dnFXjMgjv
S2TPVDYRs+EZ44nqVeyFWtwkWzd1lgdZxSLV91HMdCbHS8LkhW6RqUY4mOOCSs6bEYuISCJnm6Po
IOrS/NQs1lwSHq8tj37hFiJQ8eimB6HpXvFMtEBfPcXw611927PHTtqWHFY0XHtmI7PeHZPYrjDn
ZIWdGq9xt7Qx3xwh6zZc623ZidCUjbgu+Pi3kx6hfINLcqR3/eAlkbP1GfeGeV6PWZjaaFBEjf4r
cXwFUkThMljD64gTts1xWxAvTHScR+aO5j7mk70pbfMY9+3FXiPgl3EJ3LS+CrlIQN4klU9ldHLz
aldRmT5pWnI/4VkOWl5mB6BDofufXwx9XHaMEHBkDGiCSHI+StLKt4sjsxtZavqxsUW+U5E0Tz5M
ySCnnN12GliJUkzpSdBK2o1enZ61Yl6OuuTRNJ3CfPLJpq+UJ0L8Nm6QJUoLBZm9u7pCqnsCiZ0d
qcreWqqJU5uK+ExkZI+/oCT3sJn3jM/CTjT9TiwNn48mN2mpYUSQmq8BC8iSkKDgb/YiP4EEypBF
1A34OH1B2tbmXgixb9xg/41viC8GR53OzV6SwqJSDa9AnRoBY4YoFG1m3PHus3OGHhh1KI3+IwKP
/luzUko8EsFx+SfjQTYDBCU2yCpe1KGWEnSD/UFaxUPupTeLEVGX9nqYmcsjOtd9rXf+yY3Hh85P
jxxUzI2n40PJ+PRj8gM9fG6dlHtvni4ZmcSBb+OWaptCbYeIYVociWcHNseaB91tjLL4Vgi9Dcxq
dIBKJf2HVAP3LA0j9JXTBZKx8jSn3kU0KFyzEg2jTrpkAEJb3Os9hKdyaiuGo8PIvdVAn+X7cPbU
PR22KL8/eG3xZUEzFlDk+yeH5fLUt0zMyADMromvsgMu4WTDU2Hcx4m8H8j71jwuaqmr6+SJ7LVY
V7O8jzCVeVmnnZvGFA+pKZ1T3agk5AujpJkaH1JH8knXOsoZc/qeqNI4xG7HESWVRUAMEuECDC5P
+Latbceyfq+sEdnY4vjHPHMfIqe9Zwyu71gmvHOdaaOLDtlRH1lX+o05uNEQNJbKrpnZD6FUudrr
fFE7vZY9Ey07ebCmyb+0k466AZePyMqXLjbNkJEczJFyRxx0EqCtc4lF6x46p2J1gRwQ9Xq2y6zc
4u3V4jUR6TW3EnYHSXAjCud9mqnHAgrPziyX6MOYj5dGk204GSp7QtbyZMc+/XlteO0W/5MT40js
bYf7uG+IOChQ0pnjrhtbLFzZ3jeziE9Riusq1d2PXvulIqN8a7cLIjZlPjaknHED50wyyqQYzrYc
9WtiWA+939wUXfLs5OYS4B7d6rWYA1baLSa/z8IfGb0KO8zXtbTRvDuvs/Zdmk0PE18dkBHEiCHL
qPc5j2LjU0HS8aa1XB41TXBidYcLYI7tIPMTp2O1swdpnlsn8wI5oKkNydNJwnwuvD0clOWY1OoA
5fc0pFG+V4WehrGvrZ5DbcdmVoRL5INogJbBsVD04ovQ+L5IptW867zo4j4phcZJuJWXooeoNI9D
vW0yO3lrJkeEo9mj2ZXsCWPxZIjhUEX1xR8WNtbMB1SFtnKgDwocrvwyTBWRk/OnzM2L7cD1IByo
8xB2c3oeZuuI2MTYiSQimTO27eU62RC6Aa9IRPmcws52ase7WbPmoOtj6yWq++aB7lFeBRrD2Wbr
4YILh9Kq7mJtwD9Yt4kTKva1JgW8P9d2tjEMo9mhT+9vzLiKUHmYHF56PQ0iS3tKtHHdnsd4Uzt+
oHn2dQRl+YxYo7rV4wbNrZgLAasCw0D/UGWad/S7fDlNg/UkJr15IzdDiw9RiTZiZ7uj1QVWYRCk
IkQ9Dwf2WXM7KP8Ldok7I3FhtIhRPXR2dTdWmsYBklj4OelvoVV+7Fqr3fUTSmT8jB+9DjT5lOYn
U0P8QuNy2JhVIT+zvIrDCK3ldfUqbNFBtUciX81tVg/J3imcNPA8QlPLXHCx3fDix/D5K93TLjFq
pWcQazhbh8777pAttekZ4wd2YhWvtefOH9xRQ0jSey9Wbjdh6ZXus+su6QYFtx6CGMseq7jS0VPQ
PPVdgMmWBXhuEutDxBeWBRam151k/s1zzduLOcFsy+xr0+Zvs665D75fDR+tbtjqTOKvQNlsPKJs
2W7WGKivU/J2OBS3Imj0tjgDGKkPWY/XgKl6fDHM4qDyKA812222DDhQW5emxJfhJf29Ji3vsLiO
/Kgt/qFW8/Q4QGXbGX6KyNlf8vSmUuqrzL0vrM4FtEDH33CG65/Q/J+dyvL3jQ9xykbktQXAxQbB
4XoD2nsIE9uk/aLVmYnSguATIvXkDUaJJShUN9+UYvQPY21MGzeRX4qY1Mp+KlLjrmkG4wMLZIdg
rLcKL3DUmBR7UcXoKkqRs3l1WvUiGV2eY2e2dwW14LM+ttYMZKjwEDWI2fpQJpbxRkPFeRNpleB3
VTEpYAlkKdrmW/pe+c4E6IbWCSaUKIeT2y9akPYwdSzzNuKgYvHcVm0fnRJG9SWVB0izdIiTEGsH
fclzi0YCL9sQf/A1ClHjQqEV4lp9xmByBOzylTGWs5cNuR4l8zIIZfEqTqnNYJlsP2CT3POtnVDc
q8DnJLspMIQGk+g/Dwo5sbk0fVA1kbWxCzBbbSTZ//L6kIgKU0HUqACdW3GwEBoESZvBINLHbdRa
1yzJLGRCpIMXjeOd06RERqiYN+Wuj8ws2RWDbB+gdgv8mW99kVAwoYcgIDl6ousEKkCamEeEBUuv
IY/HbmEqZRHD27nauhJKfsV9VwKICxisGWGtVQ3AUwwaxSRZTjB+IKAcgk4CuVzy5PPok5pLgb/T
PT7i0m+egPnUWzjCKIPS8kyM8rzJDA8R3URpiLZN4DVxG/bEoj7WtXjwEZfsndj6UlT9E6oa+1Zz
lnsMCjg+lT3vJnSQYduoTSPmJMCe0V60dhp27aKZzwzdukAVZfk0KeTq9DLZ6mYC7TNoCIGF1zJL
GKgGZlbTWSuXJ9CDKKLQaYUpBv6veWtsjMldIKxxl0+Fg82AcB9n8qIn1yhugJ6JayvgMPay+k7x
2wU4A7ZGttRhouUYVcSA1LFLgOr35VOLBWpTCKzWsDb9rSCJhKLbw6+lZcUlj1lc5jEvdz4G/Kvj
RW9615IRk08QacZ8upczUki/cwxsQy5VjwE2SG+yazXN/dVEwl7Wklzmrl17Jvp8hd910jCJQgWr
LQygAwN43x1vmPp+rTlvFIb2YnrLa9w4e9fo+huOuTMfRo6yZjlGXj5sUaXti+S75kmyCZ1OvzG6
rDlgeLsjRPpcTQnLYyK9EPGCvsNmV1OvttbeUsPerG1sX1l29hBbUCfoABe9J9tNANuny+vk9l+i
Pn6r65z7p7bue3Vx6+ipHhYVcJyKP2uaSYKoKI4qXZYwttybxfc+eQ3IOt+v9zmbY2DGXnONIhPq
VqUbN0JgfyYeKtS6TA9Vv3RpAMRAhzRXj5Rn2l3vSOwpeTktbAlZxOWyE0ikB02ymz1S+Fru4M9z
m3yzcHHgVR6x/lhm1wajADwZJHb5UkB7qLdpapRECJpkl0y1VVDg1SAKzaSt7kdklYdBm+RKhMz3
WarFbdiYrZ6ENTjCF3M0kOnR/OSQ08insfcKGp3JcKSqzqGsJtUeS5jYNfMSn4FzOru26h/ndkFR
Xfu3vtdnd1WqGd/ttOvPS5I6p8by2gP2wfzU19G8s0fRPooK/JjXmq+c4bNLXgkO+LF+C4dqCIeu
jm8sOnZhj4L9QstYbOVCBphVw1zNBk5Lgyu0nWKqsYHhTgFQofmqLLGJ0Q1i1GJel3Yq3tDb0Bhv
6bfQrZAX46vaYkqMbh1kwqs1780racOXpotot+ATo6i94M9Yo2rmo92S7NuOwxX5HWVFlyBEzf3P
+EdTXO0uus8Skx5QoIoyqF3wGvLrOx/eH89O7EyUe5z6dyD8CUOazJAZSrZLar04Ujce3bJCqV2U
w25F8m9ZzbFXlna1LSCsZoCfOEx5DxAuxJ6jMB0Xa8pehtz3qaSFnl/YqtmFRk4LVwAcZxJDvKAh
z2xjRtg6+rwMNVreQY1tBchmp0NXKtJDlwsjxNWTEePU6WeVS3Xqauu7XPoLqbRtsJ4tzCW9Gqzu
Www85V3W8jXWucPoOcegXRRjqKEqC5w6VZscPfd5FBnGScSNeV1eYsd9rj2/21NfwxNpuP27adpV
hr4nzH6AkIrnsyGtC3crEwUN4SbCR/VtqRuUhOoy078P2jmiw22hCZacs0yrCksNi+uoEi4PU6lj
dSHaYlZlW48OpGSgB88bm6JlPo08qSG2fjQ7vWKNtI2WDN3hbXCzt9S1j56QdxPK62PazbjIpTyz
RD8Td1HtRD9tOWpxJ9PlD9XQ4fEzUv1Kara596aRNsrCpkvPF9W28QCrEjt7v10GJw+lBO7JQWep
PkoYPhAwxtHbmfSYWTsfzDmeuSKMjbkzcvLyRvjKHAeVhkVwaYKejsDGiNLxlACbgUhQvVWq9u+z
WOOL9Oy9HCVYiMnCImaIO1KDFXQKw9xYnb5THRmGom1xUFIoa9Aj3DnggJM9llHyzTPktVvMc+45
r5Zh0hV/xbK+75X3Ha9RwzE3hTppLFkIcGAjswofb5Nt4Ip9b9RqitPyzwmcjq1cW/8r8DM3wVDA
1aFXsmR+vKkqegGJgSGTVYtwmuyuTVigw65vnQmZr3Bvy34wTxo1fYOslvDjceBQPmAV5i+xkyN4
L9F/NnJbdVhhN4lymes756Y0zqBuMSBNzG6mvOh3dHFQ4BQ4ibHuupIdepY9DN2l3QuwlH6ARaI9
poVkAMKqpvBFG61dUhpLMIwTFbl61OANdrvSQ+25a7V8bEOLEVt9djgjzCwfZg/OVviGNIOKz8iO
8CLDJpv1mx4LzFuXT26uoM/6HR2Lf4+b/2+b/v9fYnat893fd+K7LuVf0vJ+NC29/9xfvXjsRzqS
jBXYuOY4rA33v3rx2I8E/VQ2g//dhLf443813S39X7iSUBb6JoJGx7W9f9J0/3li7ttrrx2fk0t1
8mvkZq8rL1FDEjM/rJaLXrbz3iJZLw1E4TMt1+Ok/QJFV35pjDb6A0Cd4cKP/X50CADIAJchrbB8
lFPrPOBv/X5a0dLOySs+llm9XNw4X3aa2fFcLiViO1sl+kFJG1ozXh02QUPCvQiG2qxQgtfz0xL1
UIhxIGCBZ0lv8UIZM0PNPEL6RAcx37gk974sTd4uZtBlab+co9Sde57LxtxaGIAuvourk3fJAjsn
xCFeh6QavrmZx5RcpumyaxPLx+mDPOQBW4gbtllEfOc4Mox0eb+Nlcx7F2XNqbYnPjenmqob3iaJ
dwABmlfLrxaM0n4O4Jhx5IxYmc0mEdTzh2Ju4r79YMDN1U4eFZ5Bfcq39HWIrdjZjb5LZa0PUZxu
yz6eWra5RLNfEt0HfIslxlfJuVYWg/9gpJ4e76Tpkp7kxt4Yg23SEm9Xk3UdP4zQmNCX5KUUhICW
gErxeit9oyW6ZR8Nsf7N2Eh899PU5k21p22KmkbLOWU482olxqWNncXA3Gl5kKwdI06LoHQi3cUr
VcVv5TLHt4ML7qzWl4LutDvLJqBX5X2CBqA0VuQREkAl3X3vLBvFf62T//aLncnh6lKydmGux9YB
v7rBGQCc/hjBGG+JQvb8Yl+2pX5BvMUY2d817eBlBJY57HVUJFJIrLR4O7hhGlcHS5rWIQCv6H5w
5umJjTT/pCfkkbpFBYEO202o0tz+tiJlHlDwwJ/3J7mpfM3fJZWRQqryrZfMXrFPTEg3qQt4J/Ur
dRIRfEvDKB4SSLT3w4QMH51t7IZAe/eaMToUH9Vx8udHl4W2DTTf797s2ogeSjLONxMn9GMeOwD7
R1We0evRNsdUE2LHKqjGnSqQmpHsYT/5X5w4p//ZRm12N2DleY0Htn4KkFm/+rO30gIyQzuR3shP
zUAG7tuOHvkoyUuxzOIx0xrzxXHiJg5NkX9Jga0/Ox4PlSAgYUc5IY6g1gYa5FN5bK3xW4Rn/XWh
c7n1mxo3LmuCeqW9uM0WxtlGMoogb8bzIBL7tgDWvLOGBfguEJn60DIIP2L+cS5R7Rovk9l7V8Ot
RkrGUR39LC+OUCd9Thh199jh7ru1Rrs+5FZpnUcMbFdcM8zU4sYmgjQxoKQ12SdZJdkL32ixn6be
Ovf1Uhz6qmquOWl5X5pYOVEYtbF7SltruZO2GjhUIe7EHWMMQdR4LhWNYtANYIplxZrSizfDZvMX
3QFOwiNxKKY2YnTgpemp4uB729MQuRlaK/2IhGMaAmse9UuTD+lFJbl87IH3fkhhcJ1waFVbbUr9
F7qp2XM7OOqsbKh1Wxrl2Ulf3MXcGWVS3qGXjo7k7Y17tegxmiDYPq0c7O/2ACQcQdP8ccrMfEMj
9FjlTXlUdnTB9lRtoPTrwfg+Pqvio4lxfLZhj0S+RWEs+q99NSJRyKvioKO0Cyqb05phdMMezoi7
MxOduL3JkW9NZPdnXY7prhDAmJ1KjPdZzbE3Ibj3ULc9uLp5nD/1cPu/4F4c7vlAolv4Y/1HJgBG
OIix3PCcqE1dTtlhxHm6b0TmEMrQ1/kTmbEFuiCDp0Vbw1LdvPlqaUw8QITQvZgi3dpOzrRiOVp1
5xqoM+mMzg6TkSEJPI7y32F2McLR8WpyK3OQouHx2Ez5cCHc4q6hT3k1azP+ZHo8/4vty91kzcgf
9DnVLzi29Yuvcv+qMbm7n6cBzpbRzbhHawOgfTHdFrKHoGTwoCJNj2FO02DGUT9ibk+RAJ2amiMN
TgQAer1VXXpJq8i1WGrotuL7RPBgSmF8cGaGa6FOUBHkAGf+gu9u4qyqeW1KwZtlhw5g/xuTSoZ6
WX5iL0HoLGsTEtuQHovORllKKvOj0WbdQ+wq94rui0ZajyQNwkQun7qq92k1u8tloDB9beqeEbFh
jA9FWtNN5Olxb6pxnL/OdPzmEIESnP/KHk9aXA77qDOG66Ba62QW5ur1kfJ5hF9/N9mcP2aBzMQC
1HLPzta8OH5fv3mqcr/PCI0YtCiYcBjZvtL9yLZ40+jjQfMfwRSe56mzN66hKxqNvE/YgR0nBSPP
xkDviuG1AYpe4KrE0woaTUMfkgj5TNq12tYuvixSINMotJ0sh7OI9okcSfnRiyvH2Yo6Lt+sOPb2
lZyiS29E3nnwKsDa09IeE9+jJZ5DZ59N9je6eaq4KqH7t5lXdpfcmNW2J+f9JGsNNrxC45KJnF55
4XKSHar+I2mMqJYa+sqMDjVm9J019vdN3Hk3i+bP33QLSs+aiMB2DdIgBkujtMcksZ0XiNYsPTnD
HWpuLavWRbsBgr5EhBLrXn3LHNW6ErhasSyRsJJ7sHGCLLK9vato0HFPjCnsdF/DA2wkUA9q13vN
kabv9NR6xf1SX7S4sj94NMKR+EzWzah8wTI4m3cI53QYcdVl/QJx/VjGflHA6OYq3fiZNC9A+LNj
DC8uAD1T39WxaT25nhq2k6vRQpa1vdecjCYmyuAtOkQTqxikUK22GmzAenfv2rH4opK2ACGkmmXT
j4P/wbARJFSyM3c6WqZH4mMSwVm1EXdw+yJw2cPk3xdx5e6RjNbhqFs3XtRCwHBKoaOioD0rnOnk
K9PbojWT34gqMBWYdtrQkZLugcFXE3ZFN4dVNHd3zVI0d/ncgDNNTPMwEaocLjajnXGEk7OPjNb9
SC1gPk4WLDhcnJb73Su1/qWsPXsX5c0nWxbuVsv8e8tsu4zr0xV1B7E0IN5HeimZyiDbN612dCqz
w1xNyzZi05bLl7RpS0K5gCiezH7a2DXbG2HmMbem4DiV5fZdRG26M1I2697JRcZUG4DcxgL4mDHk
E/3VinvJobt9JsOvvMWPK5oQTo7Ys99VuwEcOx0CjmVaargHKE3erWu4E7uCm75QoDl0mzOa6XKO
Dn2TRUywc98MwJMY+RGkqBFyZ2MKrBs0Cq2YMhtPVk35OnS4FTnqPThtmwTjYo1HR5/xMuaS4WiB
SJmbw3dpqy4J3c/c3Oc6ywrCG4rpiUq1CmBwjB8GvYif9LwunoRJDSgQK4iQMZe8bXLln5fcoVqJ
7eiouw0alhgIATqLmh2MdnV0BHhNpwgrZXbKFPIORnlG2lNi+vWBc2fcfbMI7ul8PJgo6ZEpWNK7
iQY736AQa092weQYq7x1oUE7X31JE9jPU3jUsZxOSTUu25jC/9NChz0TzmPsEFnQm+kVX4HBVYpT
mbvG5xQBMj0WkmdlhJQicEucLQuolFlzq2CA4rKRvdZtG2t5bZOZtol27zU0E/1kcDYFpnja6EyG
alWNe52oTIgyEBU5IpzTwii3RRY/8bVYux6Ie8gpuYc6SHGjFentIFLr0gGtMjoGotOgeriWefG/
2Duz5biNdOu+ynkBOAAkxtsqoCbOFEmJukFIpowxMSeAxNOfBcrukOVu9+mI/+qPvlF0WyyxBlQi
c397rx2VZYAOKSveGHCkQBSRJvBmtTvcgvWFiblg9hccsrTWFwYed5l27BfRE1fdBwvEV3Ap/cEi
ZwXVayFJXyoRrY3m/O9IAk8A0te8EK/asBdETwwRkuqbMHH9u8XLyj2gM7yWXH5fDAqMye4nT3AI
vFNLac0F8dy8yWSVR1M6O/s16LnNQaA+561P7HIY1z2uenevHQUusgFbW5Ohh1RV6DvX5MUVQRXn
6yg5J7T9iBCJw+OHE/P9d8v2j72Dfz2WejaGD2aGcDMCzod/PhhmCdJFroL8XMiBY52x+IxG1oBV
2lWl98Exa06k7KVqbtlm+W8CGj9Z5DmVetAzbXvLZQG12/gkP55KcZExhVnbHF5m0/+6Fn0NIKrK
6CgJy8e/f50/BRi2XyVogKPsndPvX4OJOS4sD0ADv6q1uzrmO6LJg+u0+fb3v+cvDaXbL8KIv3XO
AkTxfsZwl43WuGD89KxaNGsCRM7ZU4sdV3U+3sNBIqYxhRkTee3IL+1WWMCqkmZ3BmQ7DtfM9Or4
/Sn9v1aG/n9kvm9qzr8m3tx+m768/dnGSWiOh/wuHVkWNEjhOIJaBzJVP9o4+XD/IRk5NvhHkso+
RDKX/IUF++YPCcnlr+ghNmmjhg6/sW9+Atr8LeDG3pINP8QuYD/idfNshCSCRiwmP31hstFZJsq0
xY2fDP6Lnh0XLpiFecpdKzPSGQVuyLvNhe9aZ+0aq2PMvjL9J2IAb9Ueums3MZX9CS5Jedv4VZ9d
dTgZ8Mm1HZ42BU7qRUzO9GksKcQZU73uspZ42z6cggm0yFggH3voNkc1a+tRiaF5radkultJBiz7
wKhnSHdr7+OjZLtyyJlwn/y+QITtS8rC/FaPR4+QQbNrs2Ip92mKWzuiXQbQhNa+d8gWJJUT365V
RSAm6LlTbGJ2DIHKt47dxF2eupPkVCmXuySBKLaDm8Brl61EeIAZUvrnRvcOEEFLgVZEq+dvxQYr
uJDB1OgXbqfP0DhwhsCsXdCDeIKkZJKVdj4cgFI82AzkHkKnSB/XopzuuorVuWCYEpE3AmOVDA3t
SXPvn2RY1R1I22ZNT3ix0cICVcLWcnrMbDeitJ9pdxj9tUVkMZuxOyWWm6ujTGxGf0dW2TI9+D2B
TTOCodHX5r6sg+VWgD2orT2wM+PsDFZDk12bdhhbCsJudV3GeVAZ1fJxaCsHaMJUkhXpWWC587l5
Mi23ZTc5ITiJKu9DbiyMwQ8tmkS6U/CTKJWgyKdIIAJq4wB/zqJryqUtmvWnU5M/Xg+mMWVRijbl
NydzmK3kyu6Zf0WdM0zbhUPLwMoeidP+UkDGLqU3V9NlHJVqzVtLy2IUWFmHYZpXGg9nGzvwp5QF
zl5fl7zSdf82zt0oUdeBhFTJw38XvP9TKTMfMcDYv1nwmn7M/mf/pW+q/CcM7veH/r7w+e4veNA9
n7EwqrXtbevM75p5ANDW3iztJo7wbdfAhuJ30JfwfsFdYnEvD0xh8zAe9cc6KH7hR8GAYWx3TTBh
/1HTBe0Pf14HGaGQvKc1lv1DQCTR/ykB5m+kxr4aihO7WzKnVripfuuQkiuxp56uvHFqzQb7tJ9h
UmGI5pxru6YEyVsHOBz2zGDoINZFlnHjNml3MqrGwrTVAk0yd2YmhjeZu8G1TmAlsDGzbkFe09jp
MFjmiAwOCjOKOE+5Rfplppaq2pUVW0XJNP8aShWr4hC0r625kgzBsQlHBjZ+cG1lsLpRLK1bSVNm
vW/q1PN2ig7h9mhXftbHQ2lsD3kPHZVFru/tbgxfFHlvhl/tRhrAmbw8pnhuXmRuLY89Y85zUm75
MtEuPlEguy4bNPK+CZg7+sPbEJhAuGpJhOadLGbV7xQdB54VrWmo7+XW2bdrce9yhLdTspKWsJ4Y
qsCk2oJJTWOok5gy8bzOwXJfC/J0gzCJzDEOs26/w9HYyiQv30lF4JoIwflhgVG7hcL6VvQ578B3
+g4MxFcg9qSvFtHzY85iEYxsXPeLTnkcrHuegGvNPNsZ+9O9KaBxFUnGVl0Jup533D541c6W8QxK
QfyuMHnt9H6BDFIclG89BxdODcfjVpRGcc3xyWIcn+PmSvLpLBoiaBDKeMx3cgMDd4gbcpGIGlzX
vMPfP9DKTEnopdT+vdhq+4RpNlju+UiH4RMdaPCQZnZ4FncpxvUR+kyZPxjS5iU0DHhJJ00ZfwZD
RU6MHBWR3BnaCm6L9zjXDPvJBYwKg+zISuhiFSxlZn7svYFMUiVXA9vJvP6WJRtzyZzq8EVX8+O4
Du5BI0Y7ewIJ+PvtoXhgKBI6CDmdgdlX2k+1wwW4DTm4aiUXeokLKzkwAuFfWhObP/2MLm6eCRfR
aHLvzd65Zv44cTVwvOeTDcUIxO0dZkYqmGQdrJuNhZIOXHwGrc1RMtl89Qi1jW9sh8kCIgiATkIY
nyM/XPiAm5YMCq6qdMBSWLQcwGq8APm+DPEvxBOXKKRNvpbXTRt6zum9jtcowI1iOBU873xVBDJl
SXWoMLFu4jelwGeXWIro3+LwK2tEMEgO23Wi2VW8qu0jCgRzdumivQXWwD8GCTM/wmGByeSAI9DT
FMatY7Wv2BmSl/dLODfgeOmSsthm+7JvoM7XxINDN2PaU/v3kPB7zFpSSHrlZMTNDhvchQlAyBu5
xbfEvq0CLhiFbnBV1d52BWxfCdqg8yOWMN48fJ582FtEl4Ks7nssuXNbEl6e8qwnZ24Sqq/NCaV8
oJxxV3QUcFbg7lANG0LDKyUeOJfcedrBFuPlmIQJvyPhOnNjBLIP5QIzqOTDmY2nFQOdYz1N9sir
Jkpp74isC7BBNFbNTRVerx2euN34zkhp8IljZkRkxfnkD5m4Z2BEYNDo4UPHIxC3yCRpfSLCZzLh
KsJrF+BiJADd9ggdJa9XLH06H1Z6jrMYIzXfMLsHS7xjlLU8Shve76MelvYmLSBT5Jq+YAHz9/G9
/jGoS0hikn4yJqKIXOeyBFpRjEhSJh05TyOVsbyD5B4eWy50kigMCl5LM+lOIS0bx2TMwMuRk7ul
Gw3IWJAV/fphIJvtnBbFEilWXvBSbu25RmjzQVX4ap8SExfFJW18wjOilnDqZFLgozEp51SOTbKQ
aEx/qvItz59DD4ktcA+CzgyHC5zEMR9rP0AYNKHc4H+qLesJTBLMNhepPyp7nMk7yZQBdWsYge9s
jJ8ZldRjqNdZt/lGcpOSyglcQdR7xlO4XTkY8RoNT7znn7dpD3hLS+jFeeZydaNTP0EeD1+wJlrF
FTmN/gTu2ewO79e8Y4N+RTznNWPE265/5XtMevKJdDbkMF6nud1GptnqxgfKscm+mpS7MgIbxiCq
MrFdj6Emdtl2AXQ7sTFKvi9p4BtzGbX+zKXkJkGvzkUwdCCUmVz0cWsZ1r3j8e2qqpJyCjXz9goo
be/fODkFzstcE2PdL53bZ4f3lRUYEUnbOQu6FyvHjfUyp3C+PrrvfMLK2VYpawIP4WSj+yXc8EWF
onjbypQNsK1+q7MlPPdtu90MUEW5OTPDRYtFa7qdV5eFrGL/oPZBE7SUTGaMHbM7W2f6xPIj5BzR
Hs0WYpdi4bTgOK7hlayHEQHWTxYwgzTHVA9rUX0rzLzygz0aY/rCrZRA+ehKPqLa5FtTqoW1lu8k
DhSWGJqTZ9st9hCCvbemli9NavUXDkjKnHc6mBf2IaJ/sp2AWd52IyLrUD3BomyxxKvg3qp9M+G7
OwkmWCSQCJuMt64JL3GAAU78K82ec79zUevr5HM32uT8m45dO+3r/ejvTZ9BIOXF0pLGfBpHfR4y
1ZKYCCn72CCXzT4Mx491p7A3Dt3B8PzwvnWmXSGJeXDINT9qr2qNjfXH6PkMwV2yqsK6F47n0STK
EZIS9pa0tmevhFsGqNgMOJ1i3za2PFlWl2a73GkJcDilOJS1PeGvYcRvKsxQLgk/HNz+rCdiNXTR
HLSH+fMUcln2+xRjD92ofhZSEumsd8Ey+pehCLnN0ZHLKcvAKyxn69mxJnR95Lu7fC2Di28nXL0W
vEcvC+DIB0VL6XG7gD4pfXWFf9a88cGr0rZpuMsXavuKZ+3LZ8LCXXVddYPz0JXEdYxxmIO9w4H2
EExiooa1D79mAZObYUYxXrnI4o70AiZE3ZNMKMKTOXVTpJcRo3vQwh93nGJrjR6Km6DPCn3D++W9
EVuuD6uaE+7juQkDdX4Ot1RiydT76CfzZxqyAWkW/lckWf2YubqOLLzLB1H6kC1Ht38YMImw/am9
2F3k8muh7CeDKCEq/DDcBHm2PuAOcPeNr+QB6J9zTMLJv27D3InTbnjqQoXJsffYGcWD7Jobwt4s
UXiEgc1mbZyyb7go2VsXe+gNrBrNcC5D5Vw3ghkJb1odT7RffSCg0GCI6oLYwFOPvc8ziHXJ8t7p
ChiDwcVYS+uOm4Bmy4c7jsYB71xhaH9IseyKWtQn2xj6Y7DdIYQm3bWkBKHwpyAPA7F5HRJcAkXb
h1Dq3QeVE+HCAGA+ln0RXDe6Gp/txTautWyBdhuBz+Owhnpfx6miAynhlHkZl7pDrh2bT8WmqzJA
pa2e69sun+w+CU4ENYxbE/cFyX7LZ6TkHJSP9RrspTyTAPG/GKX8tBhdyTyTmMN+6vvhYJBQJBTr
z7DZmRIdzaTM9m5Q0h9FxUa0Mkgg/5iN56l231pS67GNAWNvtWa1rVbWWRe9+JL0GNYitIvlEzxK
eGxGz04wN+tIU8wbj9S0PSUdKworfy/jvLFyYI+2z0mcFgtSRzoabPp63JmgyTVkd3qoWkGpt2Ih
CXreu9E1H4l6VBYTharX7MWxwRaPeWJR32EVcuuXWIcpfWPxTw9ZYXcRhJwWm/yE+T3NEiCTDdjG
40gXNwtTn3ungJn8i1EOdsBtD+oP4QIri7BAcgLJutj3+uYmH/he5HQpvGDVr84rlpYdgYrysK7j
GjNm5/8WPvBvNJnnOV0CLnEQEI5xyWlvmzCCKmCJv5KETq/TTt5m0zh83FJyVxDwb7yyJkPFbuCD
VLb5iUSV1+/IgCTjpew6TX7Ga5V5liUJzovRWatNuk4U4UGEQnVzXEB9nnYYwwXSxwjVeN9SXrdb
3LwJXpOuYlFPimJuNcu3xk0AZ7NfxdEvsEy5e7silEpxuWHOKVElU4nXIJPcdbcoqkdwJRBoOXPi
yqvO7PnvVFxBrzBdCa9gol6lj13FHjR7h4/V88BGxJsc7k1511b6Ylrr8qhxUT+xF4UU2+F7YljP
/uyHE/8/EfzFTxoiZ2fO81TSIE1bnvmO4/5RdPcnk3Fc32Wn1ku5YVJL1GyT2Rk9a2GRFkP9gTaS
wDnrhrsoXppmKC+TY0+PypkwaGXTHL6AkWfzjsWF7bw1sqt+ZwmmzspuIk8pLq4S5mm7fjt61iFt
2JGBp5Q7pd8vOIbRKd6+75Ep1loe1bodSmrdAu9JcvxnU7Eu99tt5Uu+cY3qdQjKEvBWy4bs79+O
v+r1loslz/VJ3KPiWv5PzrgpTHND0ElGiG0iwRnqRQ2EgEv633o3dAGdtJLg8DJ0XxAz9WM3cuh+
R0TnzdI/SvS/f/OM/tkHhOyMVc/xCee/P+MfvHqG2xmr4gaImRxcyM6j2PNxRFt5GdAqSKkAoeFs
bAMVw20ozu3ERrmeyfIeLWZzRM6HdjtMsEP/+yf2l1GRRSoPtBXSi+0jwGx//8PzonKwoi8kL05J
g+M7kk0DxHZ1VjV8cvQKyMuRIfvYpqZ8zNuRw/x36Ld/8lk5gbA29Yd6d57FNuT54RnMmWc1qz2m
J3cJETOTekjzSIVWYt9azNVSjilJe8xFnqWE1pO1jlvy6rdpPVpPgamsWyoJOY/8x29LKAKB59RD
EYPI+OcnVQuVNBk9I6fa4NCAuWJJ460iPGQvD7R0pBpIRkqCu4mMKW1f//63/4yo294Mfj1s/cDj
8MaQ4qdfr/0SVwT6s6uhDZ4Kq9N4cIYukAUfSKZdgpxiDsRT6SfG2doObt+Z9hNuPvvO8fRUwhiC
Q5Kdxk17abu0Ln57B0XP9YZ0/vsnbP9EDdzWHx+0KoFiXLneX2ikmWV0uZ584ygylzXQblZQNIHa
jjr1wnLBwh9ekymejA+1vSKeLDJjHdB4Sj8socfylIqNLueuxsbBdfifrE78uRDMSIn4c6QUNq1C
u5k0Bk0Ss4L81KQoYPucGFYapyTGTt/p0pByEG9ozqLGjhmlfHt/sf8dvf27JjbBLOyH6+IvEBVA
RSjR0ZfyZ47K9wf+rkOHKMrcrLab1IZFsbfJ2u86NJ5u6tgoajNhXFL79mPj8nsdmwcPkdmyicOD
hep3HdpxfwlZUgWNuxBqt+/LfzKPc3x+/w/zOAdQ+jY2Zzm0LXB11s8dxfQHtoO3+Pb1arpOuh7z
IdUjlbO2uZPQUYwR3lQrmRztpgAD7g6RfH1FPfMoZM2t0wDw55ppkop1Z8hDqruG+s11uGnS+pT1
Ql3oePcjHOLeVaNq4wM0LTp765TOzzzY6sOk92HizPFcBOEI6YtU/tFqu2YnB2qXPKq9OMLReW8j
yeK7mhJxLLow2fO8yb276anMsxtPyP5ih067y7rkYV67u2Voou3WtKMLzjp1A+yFwKOS1q+8i+VQ
QqnKMMrS7k0h1EaqaIe9nPpi34ta32AVpVQBzzMnrl8zgzgynRxGzNbKOqBCrUd3s9jVqX1kBld/
DPVUYM4t8wh8TIxR9K4vtRNzk8MVa49oob5EinCBQAvp8fsl/Uu8Uw5ngiA86UHlj2Aimkha1oqI
aof7udFbZ1M7naj4uut1aO47MtsxEFhrxx6MjYvZijgzXYG+S2PVLNWC270aLpzGbjKLvR/70sfQ
lPS2J/4xlOrUOlsFLH6/nabld09ZmEmmyGTjU1AdmekXfLF6P9HiFVOfNEYj1UxRpVW6713Do/FS
fZUDpUvLQsEw5uerts/1XlDb1qw+tqWqPUDUqCNcFwR32bPsOtc7hQAZRvpg90Fpk99fE+NFCwQG
jpRuPCCw7oQiJWU7xIENzJ5nm3vRE1nq9TxYwRT5Pk5RSjNdfOgG54bFdPBfY9Vzg/S4KA+zKFpS
HFrF53ZpnauOhBmiArlSV3SRGvqZOHt6zISCs95xbKkqYPJF99QM3kuwrNeFPfu7lO6tg1FzrLXM
NTv6rfyyAtssQI4fiybpUb5nbH1hYVw6O/zmoNpGI8CaiGviqaIJyZu5JII+fQjhOR9UWupN9gLO
ko7IHda6d4bKxD7nnju7sD5rZ7X2ZT9cLUb5ddXOEi9Z0MZFXuiTWyOariupNgrjyLzWRRf5aQvz
bKVPzMEEvUe97KLS6j8Zw0j3tL8kEZ1J5I7A6B3pcHXihhDFwWMie4DC8dzbXnpTm0DpRfA1DQcT
5Kbf7d3WM55gsEHyAA/nRH6V549ygoACIt1EdiCv0NJY92TWxA+JmpSPKzGgaBjWm2HsqwOFd3NM
/ZR3WDn4RCTM/bhe8I2NtmHe514PRGItZczdLtuoMjb5JgGH3y+8s8UxFq5SMJ2Y2OBlnuwrjiYq
MhDln7Hv8S4GhK1t5I29l4YzoXY8eKbbsD90C/MZbhMGfsPy+OZ262HMWn8fqpVJyVrWH0qAC3jy
lHmxkENcvI2ULe5no8zAQEF3QevwwC0xiRYa4x5PVV37dHjzg8Z1DRrvSErkFvHna053KnS2LQza
+cyfua1H/sr72TLJOPn4+6m+MH9bkgxaMLTcCyxFJBtv/EC+7MzOxrsEFFUQU3MfvaToYiY8DanH
BWIdeOXIcYDp2F34K6VwjzkjLaYD9xWOWID+uXXUufFNOqs+VD2Y+tG/zmd+fvDr4+zpTZ+oayAz
Rk8AfGgjnbANgAsV7Cwn/9I1NKelASpyYy8nf8MLV6W/NfmqcW+ZgY7tvLGjHkPt3ky9/kbb/kFJ
+0vYYT8LcI1hvx7cD4mdpXvph5SE4b3mqwbnsfs2DUh0/qoT0qMF3cIVDYi0EtK6UdlTjFVzoOel
xDgQyuCUEUVtKvuz5w3XReqA73GXl2Cm/AD00rinUcM7Q7Son8Jw+kiT0By1rf/Ny2aqxBIax+e0
erItdeU7Y3/bBvYlb0jGu01TMdcBW27291WWYIUXWbDHlPhbj9uLtkWcdu6qmqPjKBoYXV3EHQCm
ayZRpOaWPqAvjoq7qoDyI7LPxCXCJ+3gda9q62r16MWdbN0dxqBC4wn4jfW6PiEW5/eAY6AncBNa
jGTBIUCXKQbx6tArl74H6X7YpmGRN3b5le6Gc9pjSp4mYVDaSO6T5mEzwuzivVbl8mlOlDr5mvy3
shmvpVV2UPY4H5d6MQ6MjRBX5BTSPjHdm6kPPMFxticOJqYbkv3o0ocqk8eGgDs+mfywdPm8Y0Gr
zlZmfFQhmdeObkyRE2UXlVLnAPQza03eAw9PvBPrb34BP0DBvcEqNwfM9VQfSPpDbHHMV+EeUuQm
Ip2t2C9Oax1Tv/g4T7l7Xo3gSY/D1VACU0Fv/U0YrX+p6irZpKZ157SedXBxM8eWI81L0DJOawBA
kJdskkOP5BIRDF9F/bViXzw+U1eQEKZBcIP7eVpmYJMtHXBd0MwvI8db8CtFB9kUOixXnwwAQ/Qh
NlY/Y9LBl4wMuDuIU2c32Esp2wDu+CwUpwBiqVr3Q5DG7tCwepcQKNo5L3cAoN1H4UjkHzpnSLbV
l15Mgx/uiybAhreriyo3Mqx2bb/2/c1/t9f/F6MHm+QNx/+vjR4fvw3j/8BHo0kr/5PB7fdH/uHz
8H+hg8Lj8GiB+Edy4B/9w+dh/+IxEg04p3HCNDGJ/sPn4Zi/eCB22FfT2caxczvx/uHz8H/ZQMQI
Kdv2m51U+J/sr73gZ58HflTiksgOPl48nuVPfrdUO5BcCwprBhpMrpqgdqGA2e1wBTXOATsxoodg
2LUeB8vYUcwAijRf4FGY1nwqs96gyRM84KGnr+FDGPAzIc03Lzlq/hFtbSufByFDZbjbHZQnxxKv
eeaeh2T1AfEUKkEZN6jo3YWBW8EBKV0vmkJdRgxtl1OXOJcaWXTCEp32uxRr2LNFnWyym1xuzqFX
oFHOL9ZQJew4k4EY5TixlZkrfYDEZEajU6iHFGrMZWzqHPZVPWz7TaOa8CIn3aPLiPSah6DM9qY/
HdvGeMiTthgiIuzzqRdo+Ous692CG+MjX6/pCte4fqKLXhz4umb3NmSNbheu2yvnbj3EtvRQaIH/
Hsi7UhGazVp+SDOX/aFY2n0x8NeMEq0rKmOfm7JxWUzG6SZwNNOQilwKrZJRimxKK1rujB9KfHH3
OMiINgGKJ2roMXFm+KB4xVVgrHDgEtpvcCjENiQcQo5dFfGcSyx5I/W9DQQqm0Ji6G/ioyrL9mTl
2bXvaPtoqeyOu+80RrY2nSryp8wGmEA8rq7S1bkeIS8xOqupNg6Yw+4SOZ5CBozPzqCLYkd3rRUb
kDv2TqGFZJRXu3werrpeA/s0FuZrDtE2UryWuEzGl6TW5iWc+2fN8WMfkvT73M+FvljsjDjMBVnk
lmDk2ING2NTTx8FhkBFNPrdQBhndLZFHNlhhJTN/18rGA8k7ePelMBLCn/70mvQJoamuKWI39ZZr
bM/fRluk7EH06hFfylO4mMVwWUJk08JjUELv23XllQkjTC+JOP4lD5YYP6VEH/fu6JfnjIQFLI3R
rKaHBRxv94Wj1/DZnDv1G3hK68GTrXtVpJ34UFJVHRlura7dgUwVjALJWza3sr9BS/884xC5Jcho
xPZsfnNq+dmf54ZTnVt3lNY7CjgtWxCmdOAGiC4Hr8wg1dNqEPEEx15RKZxUW5hYKXkyHeUWB7Cb
FJ5VpKg+Z+namJGlVd5CL+zY75db+fXKpxy7PmOznN23+TARPNyXlJFetx2xMABummRpa9/PrvW6
DuGrSWi+p/WCBkBTwvDy8jbcOwCX+iMxDftoprb3kbn0EyrgN9NWkFBwbbZxT1/kya3QSe+yimMu
RjAAu5lnn1LWnEf+BSadYshuCSdcIbXN1KkA/+NidrJlr9Jhtm+GcFjTY5BgceDu3r7K3GjVYz9q
sILmcCgMldxPqm52fVe2N5rJYTQAND0oM6R4UGT4Gdape7BXO5AnBXIp3AcklK9KqsHwcw5tXe0W
s3GJOIgk9kWTnTPITHHXQuvyfMOILGYqH51eanc3rnBbfYPj7ZAdiUMhhXq2cXATJqqhqecDPYr5
LqUj5tPiCrrai26+CnL/4NQjqDlcSwpjkoNxs2fAhrUKvqlXklHF3wogsXTYJsjuUpQCqjiezuPk
kOiZLJneAHhh/qGKbSNXme7ZJV5ys5DVY3IfZaq6IiWQRrLCmko6pQli4LHyULRXJIQ/2cniRU0/
2OdlTdbY5aeuIHE0N1Yluhx6hUHOD3C9bUbuFkE6l94UsFL13YMIe/GE8zDbe5xAoswlKLvX7aqP
iUEWlgFcWb5ClVAYyvz5ynUAU7JAfK6o4WZkoTIaPWm9O9iuhw9gnW6rNdW/0WvHjnHy/QNiCJgm
CmnVcUmGX53E6yKPITTYIa+2NkVHnRNJ81bDefY6r9Rnbiwkx9lVnuq1I6SyTTzW3djOM2cqmY+/
4mwSFZ4jf7h2ZBIeptT6kBLCOAlDmle56bf7vg6KY+VjPM5WPHX4pXbUuAZx7Td6b9UGpztMwWdT
Q3pPMDmevZnDrgfb98obmULizAwOA9tCABNWeLXUPkgnu4LVuGrG8inxsTaEZJr0+W8q12obXgbO
TrasvbM1VVEo7O7chZZcdwU56MhcxH1vkepuFpsJI1/Rm6xNc9J3mBZKPAF7vaL9uKhXFyxNyWFW
3dUiZcdJdRne3KZf9qlsGbZVFYh6IXCcKSc792v4FYlKnlO3f+vClEq2cv4qJUdy09IWKDduN1af
nYN+SE+0oYpIJsHtRKJ7HEj/CYnwEqjJfaCuUQLfGG5TXTwqczAe5qy4X3hfL8niEk8yq9vUl+th
8UoiSgt+cRg20+Ahrwy0TuM2ItsycYQj5qWfGeno3ax4Xx87Baf4QsG4ZkLFrL2Jbe6c/c7OF85z
+OQ043dMWtqMYVOuZgzRu10/SLq7jU/zYC+aBLsfrFHuDsRXcWVjgyfnXSEo+KNl6VPr5h9cH2xj
tE4rW5mhrJzbCSWCy8q1KLaje7zZmTARv2lYcpyEFGocsTwji1r8TB9Fq5aPcMKWi08q/QpCFzh1
bcyoJNJfvL2ly+lieuXM0l+BQ1imbDxpaa6xJVkxgSV6X3QRFBH7OeiQIPjEzrV9+RhgtYMqDlxF
CDf2/XA+IMGnbyBNjOMwzu79oIOOWF5nHcRGZ95JcoWUxAreoFIz9cvMNH1xILlFfiEh6FIhzqZD
CueU9ys4NZMazt3cKGvmdC/WmYNMK0DoKJnFo923qHq2VpTscOcyDy6zXUCcOiP/N/iKltkSb5YG
n8qYPRgmdQY0oK6gvRlno+s8Nn4EG8odc7XwzkJwGwmZrV1+oLIc1xUldVhzhPJA8nfmKwpIxmSz
MIuHIOu7R9wlM5ZHj9R2g3kZLmcCEjYwvdPW4woKuUTLJAXd+4zSez1+rMIwjJIhtK4lAVl3A6rq
T6vIEY0G9yhGcBmIdaPSu6AGBN+VxHLBJSFI5tsM2kAnjsViyFtHexgY2QF1jHwxO58dGjE/JklW
7NPWTMB/KhGUQLOcGgRdOZqUcY/jJxbvlQLaAVk4tL46PsNR7bumRF5QSYdMYZJ3DnvkmnlkPL3j
WG3vx9EjvuZ4mbwjeRpgdyozFYNVumnduT1ApRuvZ1wQZww0LblRjN4PQ9WrMgZXuSELvT5GJRYM
a4DhRRXJyze6Njj3s+d+trXnXyVOVnv7bbyDG4mtWQTLNA1vJErr3tb+p1GK4SP8e9xCqescKoPS
dntxzXNv6xWmT1F4rwIn0rzHPt2fcpzf3Evs8KYqtP5mGwmJRUTcL6yn+SWfDQvh3PE+TRNUbwRB
6XNw7nKkpNFERUpHBDwqKcWjshoRu95cY2TzS+DmeXgMF6kw0kzT1epPMzCsdH6klgGIbz0v+wK5
DdRJm33RTOIp4wTcd7DyZtzIsW0fd/ZER3qz4IkibxtT5Q5/djL9Nwpal+uW6f5twBn5Qztbvrtn
PS9+w1k6PIW1WX1KLdKgEXJKeGk0JYC0nkGSa5Pu4HO9whBIvQexjjO5X1Ld9mryC1YGedQ5t7Gu
fYu9v4kLyE0Ubh+QCSzNsj7MXuseMaNDxjDZi7f45Z4YC4uDYfbx2HYF4RlCrEUhp9uCQeYVi8TE
aDLjy+JPMK1wnxFa6XNAfx0IeFl4MUUJstmXE+DzhoQgOwYqmtucPUqF+YEN1Fj9mpWeu4JFy+Y4
75T32zQ285sn0WTxxIbLDfDzRRzm3mkO/z3//1/O/4zgQ1wD//r8f1dWX9i2/eno//uD/hitOb8Q
yODas4lEsqaHjOv+MVoTpNY8DoC+TTUAIY9/HP2Fv/0NvgSmcpsi8MexX/ziWVttJlM/e3vcf0RK
wnX6p7Gaa9Eo5oc2wCKeAVGDn7s/ezT0evGs7uKMxhIJUK0jVqCDwErz4GZ11pzdkATXju3v6sZl
T+/HMwZRuPuE55AEFqNv8SVKGebJ0YAG1D8pDp5XASTo4n4k8ft56nP/1V29+pKhO16Nc2FH4VbJ
g1k8lxd7ScoDG4iJOUVRXxdtZ5DpyNrmhu9IS42IRsab12mfrpkNR3qa+/B1yjUAWsqrsY6MnWZd
mhfsnNp2fXxxnGsLuxmdWHjT/7J3JttxG+nWfZX/BeCFJtD9wwSyJZlkshOlCRZFiegDPQLA098N
yr5XVrnKVfOqSXnZopKZCQS+5px9pAz8GPrH69hrycuAlaUEEFLhBqs7FkDXCLiSPt5p3GOkjBBn
SfkKft+z1Bnkg+O5O68plvpcdatWP5m61g1cORMNcsB8bLXTFmymrpUnaROaybjPjIAFhvmA2vTs
meCcFLssPk8eU3M5IIWKbF9nlTcSjh0YZN3ob0oVHb7wPCFaDiu67GxUYZLBI2jhARTpvHEGWuCN
9ExYcxNEBRToibdA8AihG4gloHqP0ZO1cW0mbg4uE7RM9g3R4dzZedDDX7AxRlep2LimGOO9mU9R
e3bLXjvqsGrvyHWKNpj3gS6NgnO5S+Qx0bRxH+PmY0fhUBfAsSNv25DqYhTAxh2/nl/dmpZKYbkI
6OWTMK3QuI5emV+3Wmrtq06UYFiR7+VyhEDSyMrZFGOxDnanAKxTvitLWYWYTeJbRmTgpZNiCh0R
56HoqdoyJ64OsMSjS1uq8lMktb7e5BFUxUUb69sic54AGsYXC9HlHehC98JCcPyMdXCCPmPgr66T
6cL1UKGMrtJnFmDRXWFW86c8qTUCrAb46RF61hCIoHv2/Tx6TurJOkyJo91qCEzYYLQwlEa3ta4j
Jyr25PimCysmVqfPqLaBF0SF89Q4hnxAvQ+wHPFVjLw0gwYZIFN2p6BCsnOUrLaYbgGSpQKX/VEB
A9mrIo+frbqyrvzFXd1VlAePyDpYJvNQjjJWlG3xbihB1YVTEbUu6mm5he5HsjmstTtitNxjq+zH
rHHDLhuEtRFgOa8NLCiAItKlANnVDuMtXh/zypim6iAEnVufzXzX+D3bS1I48rmF6bcfIVV+VWby
yWjaMegLzzvxTZfbuca2OtMy3Sy4mC6R0yUnaKDtY2xYy8uAah3orJrMt6xq9Sttkahom8ZyT6qY
/J3I6u+j30QHGHTNNpmQwOSADx/83BtewBYVn+Z8ST9Zqk/twG68/FOjSR9UJ3eYo/XtHimZufVd
1e/S2rlSFQzF0mPvhcBzvpW+tE9qgunJdAfnCyBXX7s1Mgbmi71kyQbNQ3onCcw6IWeeWrLdc4ur
GOVbYnsTnXOvdSFQ9nlbqaEOVKSS9XPpNy5PWZDwOgvxTp0q3ZehNdvmsyCB6ZaJ2FO6tA9Zrbnf
JruigtH9UUc4p0iUCcx6YTXcZuKqxC1yrfeMQpysi0I3jY++6NybWbUNt8bQPSyAokKcHtWbM+gA
QtVS3bHqWb42CM0aED9w8/1S1Vcx66gnYsJhLTZwY1c8GsDKxY9vkHMMn3uwkrJCtI5DDWZvzo4+
yKb2xCgofmVnlH4voMkH3dhcM69Ra402hbTr1ouJEpBO2TWBLyo1X5vTytSCggn9mP0od5xI8Jri
Qdm1laGhLAUVc8nxnK2JzQYKxFWUP3YpviGsUjp9fqmI4jWTfrqv1CobymNlPYw9cXG5KlErDumA
XeIjJJkKfL4XWoTeGC3v64Cb7sp3IjSPc796/obVNRUTl4NhzUtoXRRYFne1ZpDe1p1dBM3zhtod
g4GFBJdhaXKsSg8Ncg164FozzOoM2zDnErWhpOnTG1RyeQ/ZbPUmR13AX4rMNIu6I7pof48oeLrW
ehOMOT7eN1G19nuliW9p3ZjXhjt2fTA3JT5pnxUdukFuci2/UZRgN76V59eJTrrBJlveEp2kskYv
KuYk01Oltw+gLZEX0HtDikHtlbLL3qXsC/Y6bKJLY7QV1a2ZWOzgVXeINaDt+RjDPE0jdp+t8Qm0
IGt+2uwd9/tbxur9vjGxFCfwrh9jF1eykbT1SWWssts2sosbuzLwIHdyvKlIeT9oigQNvISgrARe
gwtXbhlK3Vd3KUrRb83EZhu2kFFQ9gjvOXYYvPMbzqGpajyUNuIQWh67vCsjDYC6OVdHQ/a04B1o
Ljr59FoDXwYwUFb7fpiGUEDK+2wCdAkLrwJc4uZf+s74mjVg85kOL9eEdcTDxulUcie8hr1lV0FS
KRlA41Tv3g1rzLcDA82HTHfs7Shwv1QxfZrAZxJarRY9sEDrzo7u9nvlo6SYu7S9HePMMsC8+S2I
KRNVC2BT7agwJ6RA721JIguD7i/NpIZdrLz8G+E9dDgLkDiOvS+JV3xvYQsdLY3HvU7TFzY2/wSL
xN/MNmqRMe0ZFqGJC3Gmmjt8X8b1QqbYm595Nmdnou17G+aT6KLikvUFACtYjTts/c1xoCDZDk3h
HyxRdTt3ovLSWMjvczMZr1KC+riPJhQghBNpoY7+PcDGP24tt5Nvva1Scl8wsQwx5Ps5cQ5qtAi0
sG8WoeqDFCW9ee2bu8qw3xq9vgyDR+mAOoPxPGmHrc7+xtJejBRad5Kwhk3zhQqjoM3J9ers1u3F
1Ykc6Jr9glyHHXGuQj2R957W5ycU2vEOMIK3aVB+bZxU4nVLklO3FPEuEsWNVWravd9BhyucwT/A
kmOOYJUXLZd3yNuTXV8SCLEAfw+cYr7442CEeZoXzD6gvfVLLUPBNBMa7GDs5WjB7tZc61aDz8w4
WXMfybdLD2BssdbYxnfwONqW/q7cpDgPmCDRmI2YBXgeWMNFIXR7S8sZ1bzG5Qf06uDAdbg4Ghhv
IvgSFkiDEQCUH45T2fqHDMXXJk4X71T286VI7S8icp/+20v9e70UE99/2Uu136lf/gSYFR8/8nsn
ZRjOb+hYSVSD82QhBvy/JaphCgSMFsG5BMF56BHRD/5ulhfOb5ijWJD6ru6iQ/ypmxLGb4yPhIvO
ZI10dfT/aIlqmeuS9GdoCNkOBLnbJgplC2u++YtCOO+GJVeDn95luY8dAmaxzkCjjXPn1o9qIS7C
adpuXxU6JKQo8pmAUXCnDnRXYk+nMwoxznA3b/JNB8+TcQon0YqfsBHz5DpjJJQdOOfzQ7yQ2nDX
F43+rdRrhduNwyH1gtZImGybTGGYoFaIDbxxX/ki3pZJk53KTBrvVkxbt+H29r5qJqaCySEw3c1F
s6mqGA1w7xb3tqeiPbukJbT8Qr/Fy1mNjKmcYaDBaTlhgJy1pCFaQntyde2rB6qEnC5MT0R7uGcn
gQ4Idj/DBirSo8tN9kVhotqiBkQT2EonuW9dL0+Yjk4z2xxScsLaVGW7tWreMfPnpfe2XVPURH4m
oFPoEePxg6KlnK8p4UhP7HyS7GyTVBZi+ndvU050PH/QANOgcDBn9W6yZhr5k888T8d6++DafS9D
von5JZo5DjRqNvCMUxQ/oD5le4osjZ5r5tc/pk6UXC1qwjmUpjyiHTHpx1ha49YnZ0wGOuYeY+di
22GjlVr1p7mluozjJqOicMfypHUSLoJmkyCK6GXxQC0pd0DXIrgkAJBCXXcJd1jCjD1h+0EE/8wY
s3HueCcmCTD5WE4hQZZTmOoD2Hqdkqgks+/dbRlzJ3GaH1gMDzsVW05oN+kQDlXiXppFTIg+E3ZD
5txTpzloTucKfZFeNsZFs30Fa610TpGAJLxpW9v5xuqCIS0jiDNTggV16lyVCeqWmU3+rpFafS3A
pM03uhzYpZzMXCiv5vgFvYBgBpcTuh4Yw/WdyBtGBgu0ccGAGJ8le28PzRoOyU5cqyhHjrnBGep5
cFYMQRxAiRrGugwdOWebxRjdh7KWENFcjYTC56Id3QbxVLcSdygKWTkwiwlQdrpd6MBiq3geRa1/
7dRx8q1s3JnFeuHmLk/xudSuRxuHDA7iiRJQI8FslNCFnUiqV7NcQed5pxAEExg+H6d4Tmwmx6aE
cVs4ekKWHp0iVklBZE4PltEIoEdp/QEqnruTcZoSnjpTZCfNSBhP1UYld3bk4RK06hnwPqibQQV1
hGvkellSoHom2ShBlfBthvVYovvRpdayDqJnie8ciTc4aHmIuTck9jJ+6Gx9D99qQP/L9porTmhj
kLkU54XmprBBq2IEKhMVdDmG7uATKTz1YqYdtReqvfgk9O6eBLxsueBHfCOpR3JPaU4FPsjOZvvc
V1aHILFJyn4XD3P1MkWVLtgFDMnjQnWGGi2qW0nOG4CezZqL1x84ieYH0fgT01Ib1ViQFoXp7Aud
WKLjB1fAqur2XWniyR4c79piRbM8jLk51geVJ0ZFMOI8hV6tGVdWB7RtiTLzInDV0KkKPyu3Wcxp
Zg+6ZNvRZPtlsrxTpnkIGTylTdP1ZKjqiiWyZGNK1tHe86JuWxhxRCnOd1XtYrqv0FyEddFAC487
a0iK0PEz86pyCE6xvAzHiJauNAC2zsZjvYg0xD5t8j3nIs6+to2bvWZsWp+sthg/U9uO7bathOBe
E9MYatliYaCnOz0iA4APgSWw2zr0Ee0Vf4AdvqGtPmnAL/XMAN7DkXISmGHNEhaZa9dIVom6QqlH
BxCYSFhJpnXaGMXNiJSaSDWEl1Ffqhg2nl2ChKhkPXhsOKLikcRo6xlexScsJwgyfkAJmHWbB8dT
7sUhnzGMe+ymvZk0R9fH4Qy8AedyodkM9asJF5iMOnEuShNBDROK0rhRbYXApUdIuPeaynpp+ukl
nia8xL2DuiM0UoYuwTjqfbcZxmwabqBAGedlNrp7OOcZfTXPr/hiTCTGIyoVpCTOh9Jyexd3Nt0d
o3d8v8o7Cy83/jub/v5v1VOu4/xL68d9Un37/v+OXfEqv/2pqvrxg39I04zfYKxBGrIcSGc//B2/
z6dd4zfPF8BnkUwz6vxJmAaIzTQYWK/Oxt81a79PqKmpcK/pK3loLbX+AwgbhtI/11OCcs6zdIEE
HAOIbv1q+GqIdGhL0noOGtUN90xSMTai18Jz7qNlMe0XVY7jDbHwOI6H+qWI7XWgCYW4GqBOlkuS
hzVDSLqMUqJV1p+BspEwh5uZrGouxxBKPUkh+I4DAVlzh4tJoddwz3UxEuw0GSR6q/bVt8obuFs3
lqbAX9RR2GNYhLqw7iNHbkxG3O+DPqRntMdO0Lg1BhFZIQLXSOBgVa42gMdYIOp3jtEh3W7V63of
wuRC2SqgqbV9+t4BYA9LTvotzu6za017hYkKDox893OoucZ4z9qdvXhKXKiZ3wzzcofg6gqlLZPf
TIO5kL7OdV+FFSRYm16tGI23ynVemrnb0VQWPF0S61PUrItiD98g8Z3bCgkeSavAzXvrJR+LVxcv
7U5nQ6e3+c36CfTlsI6DivesXmknGD12VgHR2iqxaQyrzHdU42Nsqft1lRB4SPiPbeG/8bT390Yi
DnAmrvLBpC4o8ExqquOD0XUEZunJXOkSUz49OgyBVC1eEis/oaZ5bZvsFS/w2U0syh5HdFvBG0KR
wG5vvhM8AHez1e8av8aXLvITjgNQpYSVIVpktmdWfFBmwmIb3S3oa1NPtmm+Jm1pI3m9NXkqsbZ+
lkn5ynQB6DNii02P4iBYX6sW/AF4uneq0+96U+1Rr1wZHnYHbdSvarfSgjFP3q2CP2Yb6U2eT1co
buyDV1HeZinvsBLz8xL1dPK9U6DvJguYzSly5xRNQOKL5boFws1o+LkVTcQwcnpkdxtOs1SBTNoe
13r6KjEAb9l4v3nVcjUSno6WqiWUs3Ff0kn/6jXWra9S1suEls+ERrH4bw9gBh8XKNqAoPDGtNYh
Ro1Mresh+epH0rFIjAByw8Ja8X0iy7JOsKv87bT0jOjNEhZ7pz/L2HjzGcqCa2pZ/8TFidnXY9MO
j2Iq3kuqwUB3qp6d5vRoReBm8xS2NhUT8BxHSwLDIJL543M3pMNkXbxUjcx22KXPtS1cpgD8HO+T
lYrLpWg5L9AZZrpzLkfNmM4o5OovWUSWmpslc8igZ7xYwKDCYoojJnCMQWe/Hw/UfCOsbHtEuOp4
x2nUtFvsIAVxVDXbdyoAuM8Q8+h/usDUCuuN3fCXeWyda8PDesxVU6VYnNjgE6njl40VEoGhXiO3
IuSNfUrh7DPRyOdcRs/lxCYkXAR5t5uSCeGURGch8y9MoscgnwrMMc4coE4I635mcy0mxA8tsmCs
F8jZTl7VZ0jMkDBqyZ0k72NLnfRcaczoOuT423GwXyc5k4QqTTL8KPa3BapSzyVwqV58Z1cy5KCs
r6I71JH9hp0P5ozMfKuMqsaJWlK6j7SJk4l2xKWi4reINvRSEZBIA58YIJRbobsor0wuujl3X1zN
OQ9mo47R2L5rqr0STv53mSj/cIr7potWGUPzurH8VVoMDlYMsAtZPdDE4qJq+rUkP6d2Q/FnOH/j
ev0HITPoO58HmmULXcCh/aUH94UapDO7kvnpWIXSINWzsIB5MEj8m1di2vBzt8/TaV3nMhjEzs5A
4uPp9bNH2nUnK4vq6mD2+asfcRqux3FmKMxmHb3kkX/Sf9Q6b9P/j7+DNMc2W8mfIcJ/tkHaP17T
M3FCeqjT+H9+p59eM7akn3gdfPYZNQkWgfGRwLUi0BD/KA3C8/p+waBdtR2n20+zmL94aetXt/zH
+/UdbJ64+BFArJ/HT6+Nz1ct2ezJQ1e2RKsxZL+bIydZj4srasD8oPvTm+qIT8zVOJ4ylKJk7WFV
ahOSBejeYrlcDTEeepwaB98vtSAb2i1JWyQ5cnyz8yYEm0YV6e4NEhgoS+P9VMbPup3gHJ7EeWA2
AHO+8vc2aPPPMZPYQHgcD//6nf7FJWQJA7ur4RgE+Pw6xjGL1C8rU2AMNYkOrfQ73V/uyoVtzN+8
zl99osKw1tIKPypIxz9/or4yGJx467XqwzzsAADOjGW3esEhLOlYQmAMN31slJdinO/cXi8vmG5S
mDnxezNyLq+lSoYoDLjbdBVrHXQ+NTxqvnO22nGfeBz3dp2WzCVIwm4mk6reNud9GZs1zvk5RUPa
dvcyn56nlsc+HHJxwu9aYs/poa/J9D1KsTDKvOBbnLxqT3jfe1Qtz1487JYe8d1UWwes7wd4T0Qf
Ewu9shGvMG8VgTksd+7cILYz+bt9T/vSIuwOXIMa619/kL/M3T7uCkAFPoEN4N6ZvP35c1wY7jYC
GNthUTCvKCcmTjY21w58Eevwr1+LCvsf7nqbPEO+LcR59q9kBORTaIgg4UPRGe8R657K6u8OzI87
6ac54vp+IIWZAvWHYfrmKgv5+U5Lk4b8Cl2Xh8of612XTsjxowVst/mGy2ne9+RW5aY4+Jp5VpGf
bF1ZnFhXf0LW9ZUIVbkxcQlji8qsw5jxEE98Tqd6Lm8MI35fHGVt3Yj5EVB9xg8YtNiyLd11kTpb
PM5PHvI1VjJefCRdZQ4KAGuIZa0+aPym3pmtSVSq35h7qL+Y/8z03Wb3umnS/Gac8lNuM6zwnIwC
FQXiZBt1ICVDOZrH+0qasPut5epvvpO/uGP5LiAc6JzDBI2Zf/7AMKr0UzWX8mAUNApjUqZB2iNS
NGEL3aBfpk+m3MIk7J1L2yHPoGtJ9TPKW4Yjzx5jKRZvklFahFqyB30RDon+orLaCj0yBjb56JxX
ETKhhTZJ8WbGwpaTqAboggZzftZN9bZ0+obwrwcoLlRVDW+41aZ9nujPM4UYUvCk3luF2vu1uo9t
Z9hkKALwnXHwdc5IEKqGb6CMCn9v2suzTyDUDwvXP310/MVNwjNj/Z8BZtv8FXai4gZ3vBrlQQED
osQBQaP4dYQ+kCwU/803Yhi/KIvWa9jjKcyxBjDV+4d7shHWDFZkIKjT7OTWcDC6e1F2inhS+Qbf
z1JxSS7EPpH5yjGFHvEljQvQQxSAhJA6m0r6xAPjmWXiCts4XZfycva+drlxzfrmtvCxAyc+1f4k
Kyu06u6tzJb7qZivSnd9GHOZxVb+SigOVaoyg2whz2OQYTZVZkC5uh37zNv1fKUf7SVzUwtBMX8Q
OeeJ4Q4/UatxV0dDT5Zinxwn4JcfTVAkSeJWPfBXOajHtKeR9PIYV0ZDq2cv6rHtY8BVwscFNT6a
uXEHR/FkWVRrBvM8SDszEhIsxCX/JhrXC7Iexp0h2m673kbdZIN+Vo8OgxwCNHON+wlBeNFQLelR
djOxwg5Z1HXbVrNfmoz8cNlHzTXJSm+IVkMF3IlBaHqTWvQs/kQpLgrxkiUjmE3hBFZlH+DvnrQx
Oy2QzFlRcAP3fXGiKYaZzZMljVfLD3eHo/qbwrC/JJ2Sp9ywWfSPoWW2c7A2RqhY0r1q2NnjLTsX
vXgxMdv/zfPY+Yvbm1rHRhjFjgd30y/PSUy3WWMKuzx07vyGg+W+03nujbRZ5G0z66P++mi1q943
dr1Ppfdxz8uk382KiNAm48ea0grzXmZbH1m9N7aWS45JDPXR9OTWn4b5UBgIqceUSLlNLNJtg/vp
rdEK/wZAWkI2KM9FVoZQXTjLg8W1zqbGGYOK/Xm0KLf01qoD5CZDMMV9zgiayjqmMeR5mFi4wbEH
rSPS4bGH57qBuHDfItTHC17cjMNwL2yYpVXhTNu0zYn3UMtVmSiAvCUBYAaGB7ua35yOrJ0WFJhL
dwBTwjmPPERoModHywHkRDXfu388X/8LV/kbuAqQH4Na4p+rPx+q4Z9gvn//0T9mbN5v+GDwajqO
bvwQdP7h/rR+Y2dIQfF/Us8/IN/2bzBVoJ3A33YEykWu+t9nbBbjN551NrcEalDspOI/mbPZ/vp4
/LneAO+t2zobUIT29Pu/djJDauayzdLqMCFKVFs/yS2mEBLpdiJ54hMzJIZAxpl38VMLH4+JGfas
HA7BsUg8L4SfYnChptYntGHzXeWY8gEfSPSFdAFAzlCRajiAi32o2xVz5PMZXaVre0beFNsINbGk
ChGgZigs0auSwESDfM6Nin6xELZ1wpxRNNvGT2PynueZKi9ndE4aHJLR965E4wQEexa7XOvEbWJk
011O3srqrRm1rd5o1omtgyw3qG0l7jwrMZPjSBoOKJLZuTG1Nqo5ziLrOJSWdVKLZx05NXVJansz
ftYZZJO7W0b9d17FwIUqJDZ60sAY5nk1Mnj+4mL+wXCeIloXBJl9hdlMU8xhdKq9rbXo5XvKF36w
I9iyDhFn8dZY0ujb4ticwDloyU/1AmEwIFag+ySQnX2SSs/v/VyHtTClya0aIvlYd+R09R2ht1dT
M8U2EhumW5socT0QrGVhRGyKGgLul6T2LgTyztuGhwfnlBFF2BYsHBc0qpNLJOVSfzFiz7uLCioZ
vFqtboQRJB6WpIWqdi6JZDzO3ONUl/UtYdH+nU2mDupaQmAOHZ/fbqwaH+tkilYkSVZEIsKTKRlL
AFC2rB7gk3oXjT6CLgXDG9gC+1AaPJN4xoAErnKoyigRT8QOiSM5g9Vt3jbgqBZRzpivMoO1CWQF
iIGD4Nls2t2B7Iie92xYO0umzVdiD5rPLVz3T7WO+y/wGX05gR3b3TdDK70tcCSMBJ6a/cvEkhBz
vfAfeEbFF5Ka4Yf5E/rOwB6tLwzwOtBUrEmAYCaaevWAnQZ5Z/jXdW258W6YdXZqUybTQ+Q2/XIc
hplmKo0G7doE6IiJAIMP0F9oi/A1LT/rj4md26AtFA5GbGM28jBrggDraYa1MZgMPUljFjfJD9Yh
u2HkVx7OJCiIzgcSMZ4++Ija77TED3Ti/IFRbLDTbrQPuGJSr6DF3FgNL3i7VwIjICfiT9sPMmPE
JKs/9R/IxuID34ivG3AjMnOCnSWXz4sbxdoDmkRGZHl045YlOqSVCJmAhiSdMb4uqCj8t+wHO9L8
QZIkdNWVobsSJm1LR0e0AKHUV/5ktJIo9ZVJ2Vt6cWyWWD2nSOpCzU+qG4jbDRyi/j5buZbgeKiD
3cw0PKJgE/XsOFEM62HlYcqVjFm18Aw2mBTLOiAHqA5xE+MYzOFpUqN1oDUlv8Nhxo8+bMbBHMK5
n6YrzdOzI2mDdjj78r5avOseBeYRs26Hsq+aTiolGNwlJIPRMsvnpmLgrgntG2ygbQPZg+StZT95
QETm1CTFtu7dMxLfB8DwMZwbtSeuzn422hbv64AwYsH0d6s8/d6wLJOVAK2w1lE3xALizligX/Tg
QO5A6eG+seWVLuvueza7Zww00WfyihQciaZ4kDgxb7MRTzCRu5Apim68M4bI2jUr51GlsG6Es5zT
xpv3hSDBMEmILp0NtMeTxk8ZzAPwLrVVDWx1+VxFCFKxE98udXvTqzwKamRmQU60wL6J0KFkjqbf
oBZUt06Hspr18Vef03bPEt/bptEc7SCMZUgW7Q7PltkclopiBo+vRg5YalwRyE0cgBt/qVKzC4nc
BTvvgtQ1iWOkMKnaTwpT7EEv4/6JeU/PhaG0fdxO74SPF/sZbu+2b6FxjoYZfbFyG48mkBrCnDJR
Yi2lyzgODt0CVCphX0miC3a+j8CcpBZQ3fWQi5OHlT+YNM29DHXigwLh0UTMVooITyBhG53FxXbU
kG0Lgi/Ntl6T9ojUmujZb2xuWbuMYDwNCQnDXvNVYsenNyHh5qWGSLszBprpKDW9Xdn1/r5axvpz
TczMJ+SF2rbHjBxUSi5n9PkVEBXVsvksvYvFf7gBWqbd0ko/u9D29MDwQUGTSOecWxNG7AZ5ZG6c
7CmLr/289HxmZHYD+zod3CA3qRo3DQvYkLjSeWP34KRHbBxnC9HshqUyHl4NucTeRXewd2s3J8A9
LkDFIqlscGM897XeIZvvZBOmAxpi3WpXtk91Ydivn62MBB2vX2OzCi4DoXb6ZHa4wVnamFCPNmMn
NPb1bvbdYov2HWIxc7jEAmOMllfZPAcdkgYYk1hBNjd2uC6fn6pkGO+x83rfJm+It7XfeNdNZH7R
fLzyqYxfHNMhInQmgqcT9pMUtgYfucsD08IYPRpQYZe5iZ7iVuwZsH6JnOHNMxt7v1SiJ1UBKwjK
kpd5nP2wL8ACuW772pRFvhkt/ZijMN+2hll/jyN3xP6uVaEJm/YwmqzkAnOBeLY4kXFX4HvcIgDJ
L9JwzjLu5TUjvmFb9iYqUBO1ETCfpFUY6fHs4oHto21ddt+GLHlkDUEpRX3BNMZgeTFC+YXpH7Jd
RPNLmh6cXLtZi5nGC3q6us3EU26byCh9NfP8UTMd9meq0b8kpgsxMfXc763R3g+j8R7RfRC/CuhY
cz9LmOpIT0kVmHLdPflztFzX+oCNw2o+o9aqd4s/nJQEXcD+ot6OskEmEY/WIZvm8miN9dGekWlm
jvGUqjm/LrjmEYMCuzHajlFD1idBrWf7dizqU9VPD2JJup2xJJLNJnSdJFu+9dSfQW8N1QNj+zFI
kXrCZytxu5MvNCIkr3rw6F25m4YK+oPmvUWx+QKZPPqsN7Z1iyIMyyUWx8boua7st9IsDeRhA4u2
JK2vaslObmjM726piD82vjH1bBIcMkWNM7tTB6+Osk0naoHpDanN6DnJnorFvTe0GSt8obIdYo3p
1pRudNdG1anlS6+KFoy/fk7mjvhHFyJQxgYPHdEESMrIjLNVZ09TXjtsVZNhX6vUJjXLlNX9kKys
BVpBd8T5hwUFiN2EkrzpnLBzluc+S/drsdkY8hZPYAxnxKfLq95RG0H0KfHmaPptpLrbNTYcghKy
HvhRWV1+YS8KUqibHlU33NVGj5FA3lCtgQpbfeRFH03BPA+Ek4/g7GbCWDaYipIxtNHRsKpyhX0t
M8+7dspGws7FMo0btdsw5lruMLDnP8Y4/238/o3Gj3br7xq/f6Rqrm0fP/iH9Q+9qkAhYbMpsm3c
Yvyn/7X+id+YInsWfGgBGshmXPeHYBV0piDOhOxMqED4Rf637yP/Tniohlj/wHZdO8n/pO8zrV/0
FfraaLG8QldrsIplp/PnsamPcbiPoka7EoKMbKS15XYRrX0siyXfuvXQ4SUfzXurcMa9V2GENjh0
j54BooWYDPU407eh4kLWRMKFxzhCH+0N+EkZkPGQBa4jky242/uYJYFg+YzCCwO+EIRPDPmdIj9j
k6sYdT7K943hZBOD2XVoVoLoAJqBLKoRhfnQy4YtU226rFZjnNxq7B7RmVJju70IZ0x933QNIadn
PbGHerdqzHZuNFxmf6bIrBx73yhbyI2VDeV9mi3DCZxjczW7WB03U1Pme2TmaZgVElqMctxjGU/o
0LKlP4kWnETfDZweebU4YczHeW4dzZwA4RNBPU70Rgg5G1aMgGzmwwKRfKvXgjLLbuxrvfUOCOTu
a91wNxbjqZsyN65kNJWMITFixR7KrDzJZxxTXrTr9boMuGCqrSex+zdxjnQEzyCmJTzbIEWull7k
O9fWXMS8OKGiip5uEG69m8x4gkQmLQMbVUdnkxfLQwNVJlRz8kzbaj6hV3GOkwCRI43K3CRdQ9LM
bFXRuW5nU98WVZK2ftBoiaFfjTKylgfZ4mkZtqmqPO0tLyaDaTgQc23ZDdDNKMtl1S0BsEMyLTTR
Y/LDHAq625Le2Y/JmYDShhOOpn1smCyaXXtg0Dft3VJSjCETJdy1lP29xnKLp0iqYZHeeEtnjWgO
Uvsal7jOwU0pttXyhS62H30OWJxu+Vmb0d1qDFGnCSAsWsAF7Fn1OwUt/wFF4y/qQKTVP4BpbiR7
B3zailJrF478nId1la6UtZZCNVOXiDhGcrsrz41vcdyNo9r5EYrNZS+on9eakZbPeVL60OkP2jij
nd5qflaUPhhN2KakTLM4oqnY5E5l69ONSoGtNzv4d3IIDHBZn8hHmS4Y3Zlpz5kkdgLCR4bxW4tR
+ho2zFht6NBj4O3XnpPcTnPEjC71X++UEwHhJGBihGjoU+IGCSSG03uJ36QOOEmaGhhmnTxH5B2W
Zy2bTSMoEUHeLqNyRigAYPOD/2HvzJbjRq40/EToQCaWBG5rLxZ3UdRyg2CLEvZ9x9PPl6VuW6Rk
0T3Xjolox9gtoQAkMs/5z7/0cHSLFV7yxcWciOiAe5BB9i2RHWsMF+d3DVgChl1GM31I48xH1Fa7
1uc6sgncDvPwpo7m+satY4/StwLxjNCE7vkBcDnN1tnmYW1upyJbDvEMJdhtm+IROirNmaqFbmhm
Qp9WeKE1R1w4gmPkEXziVcoAOm87Be24IyCThJsOs2wCWnjlWHPqMVU3E1ETyW1kth21kipua68K
96q2V5EYnBs/GcKHIANvrWgqHUrgcPl03uX/dyC+dSBajMN/dyA+fC2Kr2379euPREPr+5/66zT0
BEZ3cAeQuZ8Ptb9OQt/8gz3JQi/uYaLv8c9/nYTkHEIwNF3PlnA5zufdvyBQ+w8OSC3qwBHO0wfl
PzkKsft/BYF6iOA5BW2Tcbzp+69H8WpuLCManeJo4HAh8GECEkmGbWCMo1x1OcADB5SS42WnA0Hy
Fu2l0CEhBI+pQ53bMaOIAHEvOK7A3YpgESr2dOsCIm7C0G2d9dhAGg7d6SP7FeGxs+VYTzjkiKPU
oSW974Bz6SATFajnvqiINrFI23LomDY4QtdroSNQiPfoyVUzTfBO1GNotqd25wDT4P/lkaCSwOK2
0SUTfdjmx56Nkcgpd9e3Sm3MDm7QkMThjdDBLMUcZw+oDVFK0ueR3ILepfwYib7ey8FYLtpzxgtG
X+6fsNpJfpnOKTA5lOerEmuW9ylBO5cTU7X7fmzkpsjUHWIu/4pA9Xrj5WH4OYta1KK0dYdF9QMy
L5qPIDGbfcNOfBhjUsmhTt2VVYmKmdjInWtwEi60QTeF8i/CAv+/ckpvDfp7TnTJXGcevW0G8X/V
pwTkNKaFD2htm2tzse1LP5naY98uxiEwFrDDNDIuGAhjsCFriPrwthFJY4JFGBvJPLVnIFgZIUyI
mN5C4pFwGQa5s8c5NN/J2nL4W9vlrhpke6Vigx6rlw+uDgSagZ+37Yi+OFBpe7ekNCgjSU47ty8R
81XECtk6YKinnieN77OZx+1eVLSh/YAdN8Vf8Dh4cbljA3SfUUikM+NymVyFTq4nRzrbaJrwa/O0
b0gMxn6gXW12tQuINpsIoj0HByaqByzs5gbHp6YYv4WgnLtFeyCDXRGlwXeD5IgJGD6ySfUeQV3y
Hi3E/GTAe4FhsjjmlVGmw8kztN0pQiKypHzyiaoQLBlLUty/dOBTYBL9ZOkQqIw0KFIVmWfDOKoP
Xl+md1NZk+yLMuZG5o1/suuY9p64XEjhMRCsOvQGhli7Bl9wPNM4uFF+6nAqcI1dcs6rWqbG2kU6
xEqe86xqHW019xgSFYtP3hXTB7NYZxLnZgsnCLkhrg+5O1Pk1SSX/NYwoBM5iKaivqivGlc+lVmt
gsuaSLTohJr1gxs36p7oSyzM8KY8tnFvB3Kf4fGMVmTAy9D/ggFXDbE4mBcOy6m9bXv8475AX6Ll
tgvYeF7Xv3cwB9DJwxFAAQ7FD3hNMk9seuJ/ssK/GEsl85UftAQHVQhM7iuch5JR2/SEh8qmmHkv
s9FOp41jpmhRNoWrSnWB4YPXGuinEmlSdbg893yoFoz9Eu0EVIaB+WmJ8ANem1jXXtezytUH6gxZ
k2LqzOKuoJQMnpMAiiNBD/6KHY4T0TagEtG1s3IdPCGwVodlgGkk3psD+SIrs/OTP5URzMbBKwYT
q48yG41V6fV9uhmIkcbsjtbYvhrDnAjUuXKeUgEbblWaswjx7O3MYVXUpOcUnbKfQd+7dA+KjtID
2g/Q8GDEVA+ouAN/Wzgpl0Qk2qBimkzxYCEvy4HXMwb45khyI3sfV+xSBC0r6beoM/IQZ2cGsn5R
3ihvlqW7nilerO5E6JpjbsqSAMdQTYpETNyQbqYBG0BHp1WaGDUSwOXwjAHSg/khGz15om7XvjrI
6hHI5/4IsdNyrwrfro9pjBmVPTkB3pOYncJdstSeCNpoX6jB25dRk94WMrtcsJXAh1A45eUUOdEp
wP15V46dHTGo8pRWcCAU3/RFj5gkcaWOvN47RpHob5UyU4RuvG1I5zJ2JkFU7zBNTLaubHFZt0Z8
h1yjKCA99+W9NyhmuS7jJychV3clLf+E6Ym1yuoGxexkh9CAwM1Wy9Lj2J63y/ylnus/OaOaa6aN
OOYRQ7KOB+ZPK2nW5rtwEcFuwurjPQkK7Z2NLIPDociOWajam7LzDApErDmHwgy+LLSs0PvEplXw
udk6gwO5XubHVIl40+a+92nAEaBcdYGsDolTTye1qOUKao63CusJ3v04J8BbFuhmXQ7XdjjtADts
SNrmkgAnRSgdk8Gytwmg1i1kt2QbQRhvs6J6v6iyO87u0JOzUxBjMOQOmjnBJGhp0UCNNCo3JKEy
+m8m6Z2IM6yIwbScDfPFYgXTZSK/xHZWEovTVYjv+y06HAy60QNs7cQP9y43gAEMfHci3eyIrXGx
P1qkCHIWOn71NHiyu6LXEV8ZKJQ7p0Pwk4pAHNy2tj4YE9eTfhlu8FILd0kM8tYUXXadYgj62PMd
XoFzN7fY8fiX8EeLNXhacgk0SWqNFQ3XuL3idwu1+JAtw+fas+PLGRH1h4B5xXUQCJ+/pHWpBPIF
AwSPUIIyt8zrdkKptY758m+dRE17X7rNE/RBMhdcbF7BdO/gfU75ys4995iDQ6L+08x1etc/RzKb
V9WUmziel+YRE7kP8DwwsiOHmeJBqZVBODyiirTxqLuNj1MRmFsbS5krJ47Nk2W0dDWc/vUGo8lq
Y4MSQ70R3XtD9sRZIuFjfGaTeukjZl+1w+TSSkImXYOpYzpADAUEstyD00oGjitC/jZz9BbL46Nu
8J4toRo+yQlwayL2dVkpM2EnaJoU41rM6edIvbOaxAs58sI8DqOH1p2r+O5/9f1/oyXSoUqwAv4z
4PX4tcnLontR3X//M39THMQfVNUWPtWUH65W//wL61IWDlg26mvX/o5acaV/Y10ag5K89n/1BX8L
iSSW2UigIQ45NAGIAv5Rhf+yvpe+/th8lN7whxSSpleUSk8gMiZ9DomGB48sjyIPG87aWv3wTH7B
kQbPe0Gk8FwBc5hIWDoSqBSviUpBP9QMbcLg0CdFIVbYPqLaQ1X5ueiG6TZ3CRHLllpHdy3dW/lU
+n39dHHsbOBA8tgUD5v//Qd+duRmZIynJLWEtl8CEjXtCD4FASOn2rhPMEJ5Cv28QuZcxNaG8yL+
OhmgAFu3ca1NxrB4Nfdg290Ao9yqjfqiT9loWy9BJ5JkuPsjJ2AcEobLFQ1FcJ+72fgG1euXN6Fs
bkCTvVhI+gn/cBNmY1eYZS3+gRxFuZ3sctnlBiHFsRrn97Vl4tckUvKyjRzJBfJ6nfGLPoloeS35
jn1NrZAEqaNMXpnDAlLvR8tuoDc6IgRPdx5pvA953MMMQxXJeDFnfvb7RfATW41F4GHLjorZg3z1
mj7ekjTYz2r0MVWsRvzE2cMRkM5M6ZJvv7/ST5ROfSVPSx3ogZ2fmlaHWTaxQVxpICMHSQA5z53r
1RdNZ9V3pgPP4vfX0yvoR56QXt4+bvQ2AWwsstchTFK0RYF9D9cL4+aOHYXqow/fSr/7xfOjDYc4
SvQc5KfXOWt+w3ZBIerBHB1jcOfkW2X58SFtvYff3845R+/V/TgSwEzx4THEer0pJCHs65E1eICg
ToimasGWfNbMPPPi5hz1L0RCF3vqskvv58HxLitswjc2VJp7eg0Ieo5T3zWzq8MDB+YwlQACZ4Zp
LYcwq4IL4jkgiLA23xPwXaALWUybkjUZYTTYIReZKltuhYejSSvd9sPoLvHh9zdpndnvL+7S0xA/
j1MqD8DEeYXyBxLD8GhppsOIKc4qJ4byCGrR4ubapLsybXFxscpvU9YYuvgF051VcshynSkiqm6X
Vg1JJmk8kr5ewEt0C/ODwDji2mEIhnt5nn8AIGTmOsp3AgEVZzZxqesGt7QHaab+LlriYtMN0fQ+
CgtwgjCe9/jvCdC6z2xn6cHtHAcTdwkpNS7LE6dLdMirQG4tquUD6vgZ66E430bSFvvWKr2HJnCS
Y2IQKFeIGsSYWeOXiHEJwEwKa71ahpuKyNZ6NSzKvsy9OsMUBv8gWnkbhR+WDC6UAiIDBQZzKXaA
j3gfw69l7oAZgHFDDTg/z7jnwQeKui0JWdbeCWz4aYmLNdHC2HBjqMXGI9EyHxiU5B9Ixkq/VSIq
8Vw3fTAiv2Heiw8vnXZJePZHRfD6RuWyOTi+nx2TOZkul9p3b1ycszedFxf+ysrj8aZn3vEnaR5E
ndftFiOEZB0F6VcjNbwrA6wWf5wY1Fk1F3nu8qtdUQNw+Fr7VlyXQUUY/FRAeQ8bFGwGATxmlVzq
58lMNAEmRomBOgl3L5Fbn5zIHVfo1DC3SPP8EsH//N7I0k7yv5rLtegNirBZo64m58s6yUdrj8jP
O1IxW08NZnC3GMa2xbEze+o91VoPqb3Dv5EVMTAn7mvLeiohCO/SSBJiX03ktWiXhffF3OKpmmIU
RB4z892pDA/j3O+iyLqTAY6x7G3DkQn/vJqNqfOQEclnKsAcRZ2o7uYmu4oDJ0JQOtCuhhn+FwGe
spTI/boxzYtKYlpghra9SvwpfEe4xRXEos8RjKpD1HXmfSCWeZs07gfSf54kA4kNBKhkbSSu/9hh
br+zmkZcqqkfMXdM/VU5LNM6NzHa7pPaAJY2A1A4I2KLwuhB5GeHpVIzj0J/n+Kot54Brj4Z5G7z
Y6Zghx2LvYZbSahzY9YEIHEYqQ3HELlOoefCTB9jUjZDV+6btjVODkwbwhco/5vJmZ9wTjbJaG4V
+P9M94/0IqlultLkDYlWMNCahX2Miik7CCs2D6rkc3ENqn3GHLUk+WorsfcjdilCNdhFwZpmsPjS
DHb4MSHM6dlV7fzRGprxIve84ZgOPml6BHpdNqZR7Wta8zUMh+HYC74vY05xZMtm7AgIgFKtOMIX
VUu9EbVLPLcZwuIxlum9PZjFDpw4OmJXX23trMTzfkb14FvwnYVbF5fxVLYkI+FlTWAdFqBFTxoT
KFJ94VdmunHLft4bLpBU3ZrpLkiGGePbZiyvzRm2S1BRFCzDbK6aUtJ3Yve1iUNODrEEuvPtq605
jHLLHTcXymXeNkJP28jInJmmwY9Z/NG+kXyo13Ns1v2GjApUbSaWW19FQsATDjgLbiBJ8yVSkM7c
MlaPUQxfpADrfTBM6ousrCJcckaqk4GSDzMEnNBD5kKbIAPsXfWozbYTduH3GXSwj0lipZvUXMYN
LNjp1nAqqFypsI6jXWNBjaXdY9m1EOcwz3hejMgk+Im49aThJuuK8svNyuBiQUV8mGeruraiJbhQ
LVT8ebRgkJLxmCLQ011xM3DnuJre6Ii9jdNbZKp3C048YAA3i6oCYl3shT8j/az9ELqujlSy+CVp
75v7Yei4JeBCgBnGYXhCp4mzZfTq3Ag2hvVSwLGqOrkczMTN1r7qgwtqFQfbE9eHqJE1F4PLehVW
NH+jBh4eYwKat1YpyTyYsQJdUdsQQII1zR53T+fUNaVxP3OBaIMLC+UFTEt+Nt4snwl8xs0NwWF3
byoyg/G27u8bEy5goyLx0fQc0p1g66mhLvdtIpHyUC9aJ2cy9wwmmb41vXWNV5q9q6J6Ir1auush
S6JdaQXRtizAgQNtCtp1BCSkI+bssQmdpMA/KI3CYd9Uwxztefwq/ULQRR1dgrHXWLLMSHGJQceH
EBtsEzY03KlLHyS5YmfF7Vobt9rR9TTKKV+O5+P9fwOptwZSOgX0h0rop9zTD09QkaFtvTQUs77/
sb96Vm0ohhrKYVV/Z2hQGv3Nz8BQ7LvH2Nkw7O92VQeeosvDjMJx0ZnpJvfvdtWB4u9QH2N7QYMJ
D+SftKsva2A+Efw2vsdBMf7SztAv2yCct+reaHv3Lh8y6HYF3Na7BgWUi0Vn3X7+4cG82bWeL4Yo
TCuYfdvldnVj+UPPFTqTnamos+8iY64+FXYpyUob/Ec0UqC1NDhIbU1lP/lD0rxRner7+Hdt+tel
ERyYHulWbEu6w/nh0rGRiqkrhX3HIItLQ+skzHkeQZFU7wISexN4M9ZXuIViVEGZ/fs7f9lA6csr
iTsqDHyPqHvNp3lxeWnFYcEubd1lmHjGa88YcDQyu36pyO3Tl5s4Cd8I95askVf3zEVZKjZgucvI
89XjLqoi6EMcGu8cHOwhsiA2ICyKVG/gEP+x6mgz7Nji4r3ocYuLur57dvG532e4g1rrmgNoX6kQ
h9UWumewXZbFfnI9iR1r4AymOA06d2YT47EIjYZZVrSZssKy3mgGddvw8tVBW2KQ67gIpRH6vRLd
eiRd9xN5dnfUiKyVHgXzlPXkU3gtpkpYY5SnKeX8+v0beymA//7GQJd8Tg0+DP7z5RuDq6ySyWnE
XSIGAu/PQeCqiL6ZyVTfYcc13TuM764dRdu/miNKjN9f/+cPkzhe+lLFDIV18/pbGXy/wJ5vIvFJ
h8XH+oOZ/R6H2qEW17+/1CsJ5fleLUG/DZeUC/4kDw9m1RWm2Ys7QhSme+rIIt1hN0q5F1hW+4y3
nv00mK7+Ok0UF5Ua+VgMkGH8ByPjjdf9qxvHi4fdEit70iBerVppG6VfE/1x13OY1msb3+vyUjIZ
H1boGd/CAH71kWhEkO+S/1POa5m1qBIzNqxBgmgDLhdzRDw5MwSIososTzneyrBb2/JE3DKr3M8W
cU305KRJk+ggVrBxy5PhDtN9WDuaDGVKBABUtFvRoZOLooGyAht3vjIH25rxwofkk+3eeIG/2F6U
5P2BZjiwXM+d+Q+7W5KFQe/NvrgLmHrXu0U1DZ7WrBtGu9WnpsEBAcs29r2ZB5h7mL1gPYq+v539
+oBcm3lYnNo0r8u4ZM1GBGb77DXmdP/73/mrnwn84QGA8GMd89WXbEyyH3D6FXdofXgg58csKqK3
hBkIwqeat1a2fL2YXJOQce0nAfgLdeL1FfMulImZzu3dWFnlyely5wmjRv0Pi6at15bPjeW2Lqz7
IGio3xMIySPj7Xdxr+eIpF93z1ZJ7ZyY4DWmwUcQWzYbp14T50eEtxyHFwMg/7IlO+40A6VdGuR0
HqXihhbUGm9onrmDV1siY3OT90yJbUuQv9e6/cVLfVXjeniHNR8AQEXSyiZRRnLDJHruDsUQIRJK
1JCQtOdQ3zKdwy5+52PmmKwQ/Fvmep4qqGSJHLb0Q2o3nC0HwaBwqS1EOFsrhrnBgl0dxt8rMxqN
95WBsmJjqrJsGH1RKa9tX0VQN6XJl5Foi0OOAO12mGgvaq8q7jCgj05emyeXNEvl9ZBQZW88rIH7
FYY3xkdBdMuNKOfsiwkZZpNRB2CnhI19xe8boucZKap70c1RsYk7zu8L03ewrKitpLqtzxaN09mu
EXtj8sVU5AHEKGVUj32RJePGCpR656ORp5shCwtDUDnUWNE5IW6IvuvPzZo2zfsT7W1DxDOii/Sw
MN2Sq7rvbWhjNUTBY+AJ+1KGPb751RBcmEBfSJgG0a8VEQfNnTFC1oU21hUOAzIJeSaPwqq6VWGe
NWvmg1Gw8ZLRfyRfj2M3ZY0oqNf49ZWzv63R3oZka1n+VsFE49eVjvPU+jZlApFU4poSkI14qPia
23jmj82qzSJyfQHLcWjJmHQS/qguvVSlPSeziASemct3B03gWuw0gd3qS/AdTDbD746bVTwRTBTG
EVlVfvcFxMgtGWBGJhbhSUOGWB4iHLGbXYMDUVnjgTKa5vJRtB5eWgOpBxi2yT+x/SwhAtTtXvky
2MnFKj8zDXQ+MnaGFedW0TMLZfoa9kGCogJUbmP2vB5gpq7YM/FzEByrYc3COsMdyN0nDxDGIJag
7J7t2nTXE2T36gF70ziFKuq1iHCKAkn+gxowkfSxRsIjTG1ylXuatYntoUe0LWToQPKfAiAC0Trm
sAbWUUgAZwSgOAP61UcjGmAb5n6aFM1mrufc2xmmLn4WBzf5NOVJk9ZWYnsGdsxub9hPNcaHGKRm
I9KRnDDz95PR8sbmoONQoEHu14PytYNlyV4Rz6xKXEkFh6kN/RLJoFDVJx9+SgxXYOGlxgkWDqbZ
eJvRH1leRdjy6lNUP9iHh3c9yWPdepld+ylwRtR9sUm9Sl4Cu1E+4uAULP7jCDj+3C5axtRjg2nY
7EPKzv1t3uBEtar5Qj1iUyz+epQzGqmynPJEWRc89i4WOemcl6e0SOVDjf0N/1KZ+ZddB6WC0aoK
sAWw/TzcCNHx34TonVqIEhQ+8JP5L2hRmQB5RKo+NZKTeoUDOf9GgzT2Go4MW4zv8KvCOvcvfVVO
9395eZ7RCL1HUsN5lwEA1EkldXMISq8lTE4/Ss0geWhhRPcUHPxagihhcNBVM3Sh7JQo9eL5tj7X
Imnm2s1NkacNJnCDuO4X3shgUxnOkjHMIBZ/KyV84T6m3bCyRKIiZnpDcIAG4HX1OEuevQCTRQnF
95vQig/tc1yyGLAzaJ8ZrJDfHeLEDr40OE/nTAF8m9rnKuO0JQCv/oQdPtXvFLfz/blQWNK6mC+m
JHO/z5vho/Jqa34MbILk2bYyha8pI4Mj1CbzGm6JsXbLgAF8k6XlJcuIdyf1r8Xkj4OnLUkUDPhF
ZmJShJdoYreOSKtPQa8d7+YUgfE2kD5Verugfx5KjMyOddvwywf+zKABo3m6rI2myNfnAqfXpUpK
Qt7z9+bH0qUPKVagn9ix2JDojbTGQbhyNT/Hmb3LKHfsJxLVGyR1CwHSyPzg5q08oxgThEsi+BNN
NRcvzp+QAECfdsPU6DKIkwe72vHOs8f2OfNb3lFFHoPs+H/9UHAAI9Jibyt1q4KOF2htFhQGTECP
Lm/6Gh20OnI75ckaDPee+EOi/sii5tcOfdwcxpETt9PLk3gzcW2GCSdTimUf6d4D5artgQheVSOR
B4c8wvQNvxC8TleMLTxry5iNHxNgA7yC/M4z64TnP05DrB6SFGh/25EktIdTxxrJImBz4id4phDz
uf/zJoB90XQ/k33qrTOYPpfYQ1vHGpOnU+Xqy+dj562R3VKOdaL6lAimEKS8NgfK/Zr0YYu3irgR
410Ocp7DSAnqF3HwaETzdDvNofvUeBgmpTg3QQGNFwOlgMMX3zQtv+S8EhEOi/Y0xmwBjqBG35JF
yOZjh3XY3vpTIMejV+oXlNRYyu1kGdSHvIEKEnfLhA8r7WiLco3QoZX0tOBdQst6N5uJ82QliXiQ
hkcP4Ce0ITaq1YeRcATgNan16uzzZN3OsV99ckPUEetajNPt+Q45iaiRW52N15QAiOeGdxmN6tNC
XtQDsULyIWbrNlcjLe0DcL54KOHkWttOV2kLRuHZ94rxfGzOi8mKqjJcNS0v4t4Xp8IwQzJySHoJ
dN/3dDL6qYGmTT6It8gW9Fj8nMjlLojvs5+qvuN7LSImi1la8Fkts0V2irVYEFkzdMIOXJNnjFL4
uCT+X7jetQ1xQRFLHqJeGkz3URy41nbEPvowx06Wbx1sNpz7qSHtaF1AwVvWRmM6T+BzrBr+bf+x
0Ky0LOvtY4rSttxCEh6zi3xw+dMM0GT9DhB3ZIkEDErWeDuKaxTEeu+bZGLsy1CwyVOKhLoltzv6
FUYR5en8AL7vRbpxHxLJvqA31iZUnDjntRuEE8fa1BHEN6l4/pNRfHB3Xp82WS17dNL9HmmfnV6p
3mOJeCY+j7aTDhdROEPX+b4giEjyvlVqSId13gzNwUhwO840bQ9YVzycV4U7pXwUKdrTaxdZ/l7U
hbiGWs9DSFsjLtdEdwh8Ax0GvTqA1FirWgJC4J4UL0QscEPGmLP68FPCT9RmYrKfKYQaEpSkuBY2
t8CSEw/MlUoiWbKQL0sFNSeMkpa1KysWTZ+U7PZWLG6YWWJOHS0sapOkln7djWza5x0QvRDZJKiX
edgkdevjGwIdLGU18tnoA6hYMXuYsdgeOjaFMiSkelcbns92BY0BY6seK5StVc9cN6zm6T6f7YZQ
QVo1BAkzhZ8Tct/9PGCZPyJGMjaJ3Uxi1VALLe8G4cXToeuHIroRmjZ8LLTncUPcKHbNXscVwrhk
tZsiWJqHzukpQkIj9R/PdMYCqij3S77nrd1L9a73pvwGjtqXyAiMdeonLUHJNTzuhp19TMPkW2hB
a1bamNEiViNdD6XFBzxxPMIw40Sa43FZd0CePhXK7D6mycxzjiteaOmMy0T+WmLtzMJDjx3WiDKj
YcqPkNOSK8tuhVhzauZHOvvpUAhYyeusqoqroGT4608Z9YIrcaDDQIAVRnIwBvzT1HbmBV6bJIIm
Ae5ua4B5aqrexvlTZlAHjVKCwoCy9Zg0BKPxLkwkr6fJK/5J2i0PyXKW6RYEEGNdC2k0Ezz2pXqg
xsl1SVdH3nSfhkhcmZQYiFNGvhndKKcZu+xo+XyqflQzSjUbfl6wKMAmWVIf2MHIL53Oh0kAnfDT
gjFC+rWkxuR08St/m+gzXMBdfAzwngrR1erNzsQ2E5PEhBlC07Gnle6kAuKVpuagotK/jP3QPo6V
L67DyfEfhdG1z+iGvY1r4VdBD8Z7LVzJ+YlnCqs1D9mtFjeWDwNXXp/3TT9J2Rx9DkxyMwu+iUzX
m1Xge5d548U5UyvgK8LAq0+oqoho7dj3mppPqMvgwsaBgZa7JGUt1DvzshCstqa3iw7SIcnJHlyz
PTlVzxfXae62k2LDYXyvMGowEoOTOU8Lzz4qtZjqSMM2ddo9iTTqvm/2TJf6XWZL6dGrdAya00U8
eJ4AsnN8diVwHh6JwigdrCmQdBK5y8HiInh6QBzmbpYaKlPlTHwPS6i3g3PJTC7qNzdEGwdKlps7
JsrK27pzJ3dcOXqANT29xyJ1uYwwlntf9eS8tXwh7M50O8uOA7FXWKnkJuk/dmXcNmezesppjOut
xiJSKnSML31lOc+J3y9fM6rKb2U2tZTbI9nc1FWknOFHeSkoyvaZ9sNHV4I1fn+2ya+xoMXcoWSy
6FhTfI2/srcJEzf+QE5z+M6lxieFPIe9nWrzfdxK5mvfqoL3kcHMpyRosNk4Z5/+GFZCeLuc/fsz
3JLFGgFbA+XYH9z/SY7+K3tzyz0DKP+Zkvghbr+UDBhfJMb89af+GvB47h9nmBiKIUatL7zNffkH
C5pgGLS2mqb1owCX7E3PonIAErIlnEF4UH9PeVDgEpkJnoElkx4b/CPZ0WvgTZNxsEaRtjZ40gbs
L8FsBhNR2nNSfi82mxyuniPYLZZ5ZtfrGlqff4b06QuC2jPn0bibKzTB6wdAMuWuK1nlzsmCp70R
A1PyRaPXbubVh5DQ5zcg7Nc43/l6tsvzYrzi4dTx8np+4i4t5sD2SZWR+5To1uJcrLbO8BYw/xp7
41K8akYCDCTI+cES68WtNdEYhX0q7FOqe/BYMaqCts3WRE4IuypBeY8qTdivdKP2+6f6i7tkJTFC
hIvHGO21wfFYE9prGo19aiWwdOFVGoZ3Cq3iCCmjfn+xn6YC3CgrEMG242JvDMXw5Y1OJRGm2NbY
RCEyzKMFpCJZjYlJMTx0itOiAIaLLlCZ0e7MDU0ye2BJ2zJlMbCGLN7C6n++fZf5nQtVS0Cks88s
ux8WFRJS+twwsE/eaHO7UMA0Ipvyj//ftXSWLnMRW89ZXy2oMMFPKMLDCdX5CJ5gG+2zwkr8vtdl
9e8ftH6OP8630AOC22v2sYJRjw/wy+eMnbk+fnr7NATRt1aiyKWB+adTlfNFGPCe/5Nd6tXLBNi2
VScz+7SkANeJN9DMeNrrUVB7vzXtFPrpvL4lC6Y1czs9u34tcvQCRFwL1lOnROJyuDkPUOA8UH1n
TVt98uqUjsid+Uj1wGmOOuuIDaT1nbLwH41If7GCXRMXRxwH+FR1kfHyyQZ4kwaBm9qnCfX7hUUo
kIE/OaVRZbSsUBqffJumklp9XjCRJRSOj9fRE1B2kLcm0L9avbZNxASCEDbH16OINPNR9KUVHy80
tPtznToWzAboZPzt71fUry7l4tzNBI2j5ac5O7GatNiqtk6xw+P1fW3lTLoXW72HPeob04iXZwvb
N3xWZodEZ0gu99PyraIOEVxdGRcBGAGe+gQ1fyosgK5lBKgcYN95b+1ML7dgfUkYu0SsuQSJ8IJf
T9OrdIE4TJTIhRmAJNheQaHfNu10j+ETs9I24L2eu4HIAzsjmgk0lOnBSRkF5TwqSLyldLF83kG+
Qz3zApqCuR1yTsTxwDJvvJHzEfvvTwJRgYtQVg+xoXRYOA+92lAKb0rsKbfsizYz8525QOYqY9fY
haJNe5Ru+cxMkWahKYN1mVSzuxX8ZXdQK4EF5iSj8yTLkxcZOGH3vMBdf56Q0BD1e+5qJTOMaENl
CArjCNo8FGDggOemB2v/Bt4Uf6zRSJqa+XPoUyXkK5nUnzo9tfJCG+/ChAeIW38y36KaAUt0Abse
sSI1YIb6QS0OgpjnEDsM/Io2uR+56Tpr4sAiFzW2CGcqaq6hAaqzPWNdQxhe2YMNFxAgCblyVLJC
KpsWCsy+W/YGJbd7cZ7NtV2Yg8M3ooguUriwz0yR6k8knMjqIhfxfC88qhZDdgZYDxbx8Wcx+7wy
tVhumq5G8KFH0klZe13qPqXIi5jjJtJ5moUPQC4qfUIPALc5MOmXagnkYahVfd+4Xb53RtpeMnMx
l2D/xVtkJHMMsxENMBgWjQ6YBjO/AJjCmuzpnvTZ4HEmH3J/HpCfR8fnDhXGG8/HHwN137bh8igh
az9XvoYDcpcRkJia9jnFFl1zoTsiLNpAkE87Nyixqpl/C5UklpBBwd+S67Yb+QY4W6/h3vMpV3BS
Iyhz8Umf86hJ0GBMCJVmpXSjGrlkbebFvKiLSBcm5xn9GXw3E0n3yzRt2mamAWx4BkjruGbVpBYA
lXJTnibsw6oDEPBmMrLNQLkX51bSAN9q9609MCKWkyaAwALX2a8d56JbRnx/pRnOpP8tnriODAZf
m9nJgWQA9EEuFKqz6i/JpSgs1vJAy/fYmihJ9+hdPS31mjAq8jiLOrwZpt2ccS5DBMeVdF2h4bxa
VAYvUMSMcDGDdJ5c7QGJxKTxiTWeRfMutBZ5WJYRya4MXftzMQzFg7fE8xXemtmmhvgrVmACwtvB
nm8u4qwcjmGmRwltNuEOWixlvzHbwAWdW2KyWlzmYiuCpeZrDzXMKbcj0i/y1PcxnWwB+hl7rFF3
zA8pGpMtqXhVdZGaWoPGmsQ4DdubOyAjYlGToM8BDJrum2cvCGCl6q9JQMDQbZ4StNt9ys60XjSq
O5oV6sAOwsdHCNtNu0N5636ZoE5uWkQ0l4w6m3CniRyobPsq3mDqQaZ22ZfX+FII/FSXNvoc6gkc
6sbqipRBd88cIjiRLafqvdeO7ie8+rUwpVo+u+FYXlg2ye0wvuzlc5HV6RbN97JuxcBr9KD6rGGc
Fp+TKlHdhtlyC6W0UXtdjLbakqbF6AqKwbamBlyhY8x3qO8Iw4EsuipgDf8fd+fWnLayROG/4sq7
XKAresiuOuALvmAnTpzLeaFkwNKA0AiNhAS//nwDJtuyE+9dkR5SR5WXAG6NWnPt7rXWXUHI74Jy
lvRinsH6tXGKzWwMPOA0MoQBe45cfhOLNfpmmwQC8wS2lPlKCfQpswDiHcYHge6TMVJ6AwjyumfL
VGKoZxB/JmEJ9dGYQmcA/miguB75p3xAlMKzoI2juCeU+s2n5TU73d4QmCgK9YmAB90ew0wP66E/
PrGLMCIonirC8goCZrkxTs2lLO7ThbtKB+tEnRVaUSCJOpPYU/KbHwsTBHu3OlPG2DopYtrhI6T2
kVUJfZ8t0/u1a69KmAM7vFGPKoRr4g/JB0q+Uhjhcjq1gVJoHuzSBgb11Qh56NTOqaTKdX6FPA0b
bNOqiKEz2+bTMOswIcmt3/28QTiJmuycTFbmFdSc9IrKAW0pooqAqlx1yCGTitsOSP3L7+MuCbNd
xMvbxNkwVz7rca9wxuQwTFteySzW1rpVqs73dXhUSmjSMslsW3GOUoq01om7JnCzTm2GfhE5q6Fd
Qe063CWf0pRuO5AeTJL9BbG676ZcheznImDgXSpwpQa3KEjJnHnUSx836drWqUVo7mIvV6fJ3C5n
1KSs0I9eGM5X5Bf9iyzy1ZCKfIhUkyoURT/uzqMHtc6DOWHVU8cWIQLkG6aPb/EWAsJPUMxKa9gz
o97NmmjZwI1h8onKcjWcG+72DDUR0L5+uPT60M6W92snW96Rong04+23CrjHLUgEAlduDIWc6YO6
t4vUnIZ5FE63QpSfwsLjzTHiEeMmLuuTioBoGAUAoSmVYuVdwkkI9XxVxjArKZd5fLAAqloOkUjs
XNkruRmtFEKrLnSPqGEuF0W37/IWUK0jnvDFSGAOOgXlGo+qLLNv4cyNb6GxKe6WorcaoIeuJsja
xKcSiPAD6k/rq9xNt0TkxqZw+6pnwYYZUT1RFtvS74OOYbrwxw7slD37knKFh3FqlJ/KPFxQR1d0
RjDTOv9dlO4iHGRx5LNWaslMYtjhjU/QbAQSwLo0/BKdqWgdqsAU0DouPcoUEgjsrsBfGuO+natl
RlX1RpwZbGYRGuyaJoLjaBlXZxG1gJ/dRZpCAQ/DUyoiFOo3xfZjjnR531+H5fcizlfFaUcpW1xW
oqqcARhkAxrdMVrZN25FgPvcjwo15JRrXM+9rbzviMz0IfIqlohPGF5nQVy0V96UrPCP3fVKjYo0
XZ9XLIRXyVwt45PUj8ZE7bscLyImt3OEX7qClLIWGQvX3vpjaK5L8PTzMWXUcJFk3xdVjgrJJnau
K2EyjVodFKAGK/RwyxNzmRVjYMzSHOXeZuv0qaCCvrQXezYTYrecSROJmTMfUS9yAcR3bXtFHXrs
boeq8MSdWnZX90V3o770Yhgi19UWlop5RVYEnCX8f4S94UeeewBYSk/AxbKNphTosA7lHYCIsP+K
+MTGVR/WW84psB952cAB0nxLfVh138lKAxh1DnZEWCvrrGdYmdenEtQ5WykP5hdpCl+dF/TdR/Q8
q69pz8onpQMVTOkiwXjWIdELbyxE/GBwZOzBR9ojbg/Z7kqcZBHVTEMvTx+dqAo/qDllBf2tUPml
hS69JLsMCxjg89UGfHYGOTWr860BbeKp2XHH+YkfarKV7aaqqCiSiIU5hZ330GyDCNOwvfU3VK0k
ZTXhdn5LXNjrIBiRxLeJH8dIMpiVQeGwxVuLCSDZILfKuCq+VNTYj+3+br/+f1Pt/vQguhj9dAe7
/ljMss3dTDFi1EEKUX/7QYok/yx/70dvGzp6Hl2dyCLJdQtIRdXipFQgPzsq/WjSrr1vWYiDHOWU
6ez9O8s/dihK8cBTcyrmst4dxRL03v5rw6dWnkpZVx+td9f+hs9c9CsnvP18e2++/ZvaEwTTJQBD
unsmJnkNwE4BGGf0WoR516bXXnhh45kXgL1zpCdWTO2fvqj2fuEF8kHIg+nibX1xaOaGf5AXHOCG
TZ3gHZvQWwJ59n/qhG7XP2aLpTH+ewWa/Q3/ICcQ6NNg/UZdwe4gpAr9J8H8/avmKZ93hZ5/zG0A
OQA72F9/WlegD+u67kZeMJG60GQLkKn9eMqaF8igQIRDmFjDPriYNv6sAcFhw2UUN/ICTK2+5ZPY
sSi4e3rK517wnGNwM8jZdJ/6CuG7P8wL9o4vtpkXOsckmiDe2CWA6A4Msede6EHx0SH8pslBDl76
t174F5PHjxV3EIl4ultrxUz9bEn+1Q8Oq8zr759WmIvp+3d6Ka39UEPX9vf+eyn+q7aC7Ob/Z18e
1oPdfZ7+/OkBX9+6dq/DUx0+HIpZFoBE3ey+2Dw18yZYsmL/Jw4egiUpw/2dddt1wfrh//q+79/V
2vlsFPyDYbV4YVenZv5+wt+0mwFSSuqGCdO3YXgRJCpQB0s7V/gOo75pkwdBjAZxlohaq/drbGPb
MpZZMJWHVupWA5pj6mhuGfbOSS4mRW2D5FHI19z4ySwOyiCbHSzpZqPr3YKzD5u6I/l4NIB2ePlQ
dzvYzhZ6IejtTExr7/NpoWzq9vOZzMJ6k7WYLBvlppaHeFyIg51d97Z2JQ5NDV9Mg6jWAaFo7rYw
hVxQCZ1IUR+R+01Z4yYnU6Sy6+8P8BEbncaWZfnCLFi15mavXs9NZPJbGC9XPHAxWWwOTdz1Cxcv
Hz74/SXgWsI88crNaJe20DdGgUhqs4cmBWuhzaOAaFGQTA9Pr90B0XAbr3AUKBVMCIHN8rzWp0l6
2224REwiEQb1Iz3HrBbWgpHQTM4yr/VsIOhaMLTpgBkJpfS/NK3NTVDrdlqyLovspelWGg733Ys5
RKfV/eYuuZk9ZICH6t42IWpqw/Q6qK9bbOmtFrZPN7PyaBgsU4UeQG1gYt9vYQLU9i9nmZptDk7Y
DU2Lyp/DB78/U2njo1klJrVljEOfPvo27eDa+HeZLQ6Wntqtz5ONTSOzFR0NgkyyUta7i+V2W7vB
a00Tk7qIFrYkt5Goe3x/wGzqlttFzI6kfqqB08FvYZK9zWbhy6gpJ/bmr/IDZPkKepvgxTGBkj6z
hXbfRXI6O7pQr9Y2z9WkkE09/ukfRU9/zTj6I5zw1nFyf4PXHZFw7U5cp6H5N6UKGtuu6qdKax9j
burz+zyIDm9OzynwN5strPVvsLo2dMQXwcnmRfdG0aCN/vc2s0/Ddn+dqfzop40nXtfCYfjNovWm
bQckDuVRrZ+4lFcfPvjVmvmzSNOPFMXr+NMhAfOzP6sH1/QvJvEsyP76HwAAAP//</cx:binary>
              </cx:geoCache>
            </cx:geography>
          </cx:layoutPr>
          <cx:valueColors>
            <cx:maxColor>
              <a:schemeClr val="accent1">
                <a:lumMod val="50000"/>
              </a:schemeClr>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5</xdr:col>
      <xdr:colOff>15240</xdr:colOff>
      <xdr:row>2</xdr:row>
      <xdr:rowOff>0</xdr:rowOff>
    </xdr:from>
    <xdr:to>
      <xdr:col>12</xdr:col>
      <xdr:colOff>15240</xdr:colOff>
      <xdr:row>16</xdr:row>
      <xdr:rowOff>0</xdr:rowOff>
    </xdr:to>
    <xdr:graphicFrame macro="">
      <xdr:nvGraphicFramePr>
        <xdr:cNvPr id="2" name="Chart 1">
          <a:extLst>
            <a:ext uri="{FF2B5EF4-FFF2-40B4-BE49-F238E27FC236}">
              <a16:creationId xmlns:a16="http://schemas.microsoft.com/office/drawing/2014/main" id="{2398D724-7130-6B1C-077A-6D6EF01AA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601980</xdr:colOff>
      <xdr:row>17</xdr:row>
      <xdr:rowOff>3810</xdr:rowOff>
    </xdr:from>
    <xdr:to>
      <xdr:col>12</xdr:col>
      <xdr:colOff>0</xdr:colOff>
      <xdr:row>29</xdr:row>
      <xdr:rowOff>0</xdr:rowOff>
    </xdr:to>
    <xdr:graphicFrame macro="">
      <xdr:nvGraphicFramePr>
        <xdr:cNvPr id="3" name="Chart 2">
          <a:extLst>
            <a:ext uri="{FF2B5EF4-FFF2-40B4-BE49-F238E27FC236}">
              <a16:creationId xmlns:a16="http://schemas.microsoft.com/office/drawing/2014/main" id="{01A61740-F9F3-F544-7B4D-086FEAF64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xdr:colOff>
      <xdr:row>31</xdr:row>
      <xdr:rowOff>3810</xdr:rowOff>
    </xdr:from>
    <xdr:to>
      <xdr:col>12</xdr:col>
      <xdr:colOff>312420</xdr:colOff>
      <xdr:row>42</xdr:row>
      <xdr:rowOff>7620</xdr:rowOff>
    </xdr:to>
    <xdr:graphicFrame macro="">
      <xdr:nvGraphicFramePr>
        <xdr:cNvPr id="4" name="Chart 3">
          <a:extLst>
            <a:ext uri="{FF2B5EF4-FFF2-40B4-BE49-F238E27FC236}">
              <a16:creationId xmlns:a16="http://schemas.microsoft.com/office/drawing/2014/main" id="{6BD0372A-089C-3365-350D-04A1B8E99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480060</xdr:colOff>
      <xdr:row>42</xdr:row>
      <xdr:rowOff>121920</xdr:rowOff>
    </xdr:from>
    <xdr:to>
      <xdr:col>12</xdr:col>
      <xdr:colOff>358140</xdr:colOff>
      <xdr:row>56</xdr:row>
      <xdr:rowOff>7620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0C94BD6D-F4B5-5180-E4D3-2C380CDA97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198620" y="7802880"/>
              <a:ext cx="4145280" cy="2446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0</xdr:colOff>
      <xdr:row>58</xdr:row>
      <xdr:rowOff>3810</xdr:rowOff>
    </xdr:from>
    <xdr:to>
      <xdr:col>10</xdr:col>
      <xdr:colOff>396240</xdr:colOff>
      <xdr:row>69</xdr:row>
      <xdr:rowOff>7620</xdr:rowOff>
    </xdr:to>
    <xdr:graphicFrame macro="">
      <xdr:nvGraphicFramePr>
        <xdr:cNvPr id="6" name="Chart 5">
          <a:extLst>
            <a:ext uri="{FF2B5EF4-FFF2-40B4-BE49-F238E27FC236}">
              <a16:creationId xmlns:a16="http://schemas.microsoft.com/office/drawing/2014/main" id="{952E035D-FFE9-28B8-3A11-08A45F385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7620</xdr:colOff>
      <xdr:row>70</xdr:row>
      <xdr:rowOff>179070</xdr:rowOff>
    </xdr:from>
    <xdr:to>
      <xdr:col>11</xdr:col>
      <xdr:colOff>266700</xdr:colOff>
      <xdr:row>84</xdr:row>
      <xdr:rowOff>0</xdr:rowOff>
    </xdr:to>
    <xdr:graphicFrame macro="">
      <xdr:nvGraphicFramePr>
        <xdr:cNvPr id="7" name="Chart 6">
          <a:extLst>
            <a:ext uri="{FF2B5EF4-FFF2-40B4-BE49-F238E27FC236}">
              <a16:creationId xmlns:a16="http://schemas.microsoft.com/office/drawing/2014/main" id="{281A2DBE-5A9C-14BF-E4B8-0041615FAC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87</xdr:row>
      <xdr:rowOff>3810</xdr:rowOff>
    </xdr:from>
    <xdr:to>
      <xdr:col>12</xdr:col>
      <xdr:colOff>304800</xdr:colOff>
      <xdr:row>102</xdr:row>
      <xdr:rowOff>3810</xdr:rowOff>
    </xdr:to>
    <xdr:graphicFrame macro="">
      <xdr:nvGraphicFramePr>
        <xdr:cNvPr id="8" name="Chart 7">
          <a:extLst>
            <a:ext uri="{FF2B5EF4-FFF2-40B4-BE49-F238E27FC236}">
              <a16:creationId xmlns:a16="http://schemas.microsoft.com/office/drawing/2014/main" id="{CE6F1826-5A67-55F1-15B0-E3C3EC757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586740</xdr:colOff>
      <xdr:row>2</xdr:row>
      <xdr:rowOff>0</xdr:rowOff>
    </xdr:from>
    <xdr:to>
      <xdr:col>23</xdr:col>
      <xdr:colOff>556260</xdr:colOff>
      <xdr:row>14</xdr:row>
      <xdr:rowOff>175260</xdr:rowOff>
    </xdr:to>
    <xdr:graphicFrame macro="">
      <xdr:nvGraphicFramePr>
        <xdr:cNvPr id="9" name="Chart 8">
          <a:extLst>
            <a:ext uri="{FF2B5EF4-FFF2-40B4-BE49-F238E27FC236}">
              <a16:creationId xmlns:a16="http://schemas.microsoft.com/office/drawing/2014/main" id="{22EDE6AD-ECE7-207A-36B6-C12CCD63E8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518160</xdr:colOff>
      <xdr:row>30</xdr:row>
      <xdr:rowOff>129541</xdr:rowOff>
    </xdr:from>
    <xdr:to>
      <xdr:col>19</xdr:col>
      <xdr:colOff>518160</xdr:colOff>
      <xdr:row>37</xdr:row>
      <xdr:rowOff>15241</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825058D7-BD6A-D368-93B1-D9CBECECA2D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628120" y="561594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533400</xdr:colOff>
      <xdr:row>17</xdr:row>
      <xdr:rowOff>30480</xdr:rowOff>
    </xdr:from>
    <xdr:to>
      <xdr:col>19</xdr:col>
      <xdr:colOff>533400</xdr:colOff>
      <xdr:row>30</xdr:row>
      <xdr:rowOff>120015</xdr:rowOff>
    </xdr:to>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941EF948-1D44-7E02-56E4-6437EEF864C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643360" y="3139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579120</xdr:colOff>
      <xdr:row>17</xdr:row>
      <xdr:rowOff>99060</xdr:rowOff>
    </xdr:from>
    <xdr:to>
      <xdr:col>16</xdr:col>
      <xdr:colOff>106680</xdr:colOff>
      <xdr:row>28</xdr:row>
      <xdr:rowOff>53339</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D33BC500-6050-3DCA-AD91-8336ED3C703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387840" y="3208020"/>
              <a:ext cx="1828800" cy="1965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121920</xdr:colOff>
      <xdr:row>0</xdr:row>
      <xdr:rowOff>121920</xdr:rowOff>
    </xdr:from>
    <xdr:to>
      <xdr:col>4</xdr:col>
      <xdr:colOff>289560</xdr:colOff>
      <xdr:row>5</xdr:row>
      <xdr:rowOff>22860</xdr:rowOff>
    </xdr:to>
    <xdr:sp macro="" textlink="">
      <xdr:nvSpPr>
        <xdr:cNvPr id="2" name="Rectangle: Rounded Corners 1">
          <a:extLst>
            <a:ext uri="{FF2B5EF4-FFF2-40B4-BE49-F238E27FC236}">
              <a16:creationId xmlns:a16="http://schemas.microsoft.com/office/drawing/2014/main" id="{00B0E9B0-332F-80BC-BB0F-8AE8766561E0}"/>
            </a:ext>
          </a:extLst>
        </xdr:cNvPr>
        <xdr:cNvSpPr/>
      </xdr:nvSpPr>
      <xdr:spPr>
        <a:xfrm>
          <a:off x="121920" y="121920"/>
          <a:ext cx="2606040" cy="815340"/>
        </a:xfrm>
        <a:prstGeom prst="roundRect">
          <a:avLst>
            <a:gd name="adj" fmla="val 7846"/>
          </a:avLst>
        </a:prstGeom>
        <a:solidFill>
          <a:srgbClr val="26295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latin typeface="Segoe UI" panose="020B0502040204020203" pitchFamily="34" charset="0"/>
              <a:cs typeface="Segoe UI" panose="020B0502040204020203" pitchFamily="34" charset="0"/>
            </a:rPr>
            <a:t>Total Amount</a:t>
          </a:r>
        </a:p>
      </xdr:txBody>
    </xdr:sp>
    <xdr:clientData/>
  </xdr:twoCellAnchor>
  <xdr:twoCellAnchor>
    <xdr:from>
      <xdr:col>4</xdr:col>
      <xdr:colOff>396240</xdr:colOff>
      <xdr:row>0</xdr:row>
      <xdr:rowOff>121920</xdr:rowOff>
    </xdr:from>
    <xdr:to>
      <xdr:col>8</xdr:col>
      <xdr:colOff>495300</xdr:colOff>
      <xdr:row>5</xdr:row>
      <xdr:rowOff>22860</xdr:rowOff>
    </xdr:to>
    <xdr:sp macro="" textlink="">
      <xdr:nvSpPr>
        <xdr:cNvPr id="3" name="Rectangle: Rounded Corners 2">
          <a:extLst>
            <a:ext uri="{FF2B5EF4-FFF2-40B4-BE49-F238E27FC236}">
              <a16:creationId xmlns:a16="http://schemas.microsoft.com/office/drawing/2014/main" id="{C0F07AD7-8CBD-498C-8912-615B990A50DD}"/>
            </a:ext>
          </a:extLst>
        </xdr:cNvPr>
        <xdr:cNvSpPr/>
      </xdr:nvSpPr>
      <xdr:spPr>
        <a:xfrm>
          <a:off x="2834640" y="121920"/>
          <a:ext cx="2537460" cy="815340"/>
        </a:xfrm>
        <a:prstGeom prst="roundRect">
          <a:avLst>
            <a:gd name="adj" fmla="val 6911"/>
          </a:avLst>
        </a:prstGeom>
        <a:solidFill>
          <a:srgbClr val="26295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latin typeface="Segoe UI" panose="020B0502040204020203" pitchFamily="34" charset="0"/>
              <a:cs typeface="Segoe UI" panose="020B0502040204020203" pitchFamily="34" charset="0"/>
            </a:rPr>
            <a:t>Total Profit</a:t>
          </a:r>
        </a:p>
      </xdr:txBody>
    </xdr:sp>
    <xdr:clientData/>
  </xdr:twoCellAnchor>
  <xdr:twoCellAnchor>
    <xdr:from>
      <xdr:col>8</xdr:col>
      <xdr:colOff>601980</xdr:colOff>
      <xdr:row>0</xdr:row>
      <xdr:rowOff>129540</xdr:rowOff>
    </xdr:from>
    <xdr:to>
      <xdr:col>13</xdr:col>
      <xdr:colOff>312420</xdr:colOff>
      <xdr:row>5</xdr:row>
      <xdr:rowOff>30480</xdr:rowOff>
    </xdr:to>
    <xdr:sp macro="" textlink="">
      <xdr:nvSpPr>
        <xdr:cNvPr id="4" name="Rectangle: Rounded Corners 3">
          <a:extLst>
            <a:ext uri="{FF2B5EF4-FFF2-40B4-BE49-F238E27FC236}">
              <a16:creationId xmlns:a16="http://schemas.microsoft.com/office/drawing/2014/main" id="{FEC1623E-588C-4EB7-9C1A-5D8E64B4B59E}"/>
            </a:ext>
          </a:extLst>
        </xdr:cNvPr>
        <xdr:cNvSpPr/>
      </xdr:nvSpPr>
      <xdr:spPr>
        <a:xfrm>
          <a:off x="5478780" y="129540"/>
          <a:ext cx="2758440" cy="815340"/>
        </a:xfrm>
        <a:prstGeom prst="roundRect">
          <a:avLst>
            <a:gd name="adj" fmla="val 6911"/>
          </a:avLst>
        </a:prstGeom>
        <a:solidFill>
          <a:srgbClr val="26295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latin typeface="Segoe UI" panose="020B0502040204020203" pitchFamily="34" charset="0"/>
              <a:cs typeface="Segoe UI" panose="020B0502040204020203" pitchFamily="34" charset="0"/>
            </a:rPr>
            <a:t>Total Order</a:t>
          </a:r>
        </a:p>
      </xdr:txBody>
    </xdr:sp>
    <xdr:clientData/>
  </xdr:twoCellAnchor>
  <xdr:twoCellAnchor>
    <xdr:from>
      <xdr:col>13</xdr:col>
      <xdr:colOff>419100</xdr:colOff>
      <xdr:row>0</xdr:row>
      <xdr:rowOff>129540</xdr:rowOff>
    </xdr:from>
    <xdr:to>
      <xdr:col>18</xdr:col>
      <xdr:colOff>228600</xdr:colOff>
      <xdr:row>5</xdr:row>
      <xdr:rowOff>22860</xdr:rowOff>
    </xdr:to>
    <xdr:sp macro="" textlink="">
      <xdr:nvSpPr>
        <xdr:cNvPr id="5" name="Rectangle: Rounded Corners 4">
          <a:extLst>
            <a:ext uri="{FF2B5EF4-FFF2-40B4-BE49-F238E27FC236}">
              <a16:creationId xmlns:a16="http://schemas.microsoft.com/office/drawing/2014/main" id="{CE910057-CA1B-4F24-95E6-4AF06DFD5154}"/>
            </a:ext>
          </a:extLst>
        </xdr:cNvPr>
        <xdr:cNvSpPr/>
      </xdr:nvSpPr>
      <xdr:spPr>
        <a:xfrm>
          <a:off x="8343900" y="129540"/>
          <a:ext cx="2857500" cy="807720"/>
        </a:xfrm>
        <a:prstGeom prst="roundRect">
          <a:avLst>
            <a:gd name="adj" fmla="val 6911"/>
          </a:avLst>
        </a:prstGeom>
        <a:solidFill>
          <a:srgbClr val="26295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latin typeface="Segoe UI" panose="020B0502040204020203" pitchFamily="34" charset="0"/>
              <a:cs typeface="Segoe UI" panose="020B0502040204020203" pitchFamily="34" charset="0"/>
            </a:rPr>
            <a:t>Total Quantity Sold</a:t>
          </a:r>
        </a:p>
      </xdr:txBody>
    </xdr:sp>
    <xdr:clientData/>
  </xdr:twoCellAnchor>
  <xdr:twoCellAnchor>
    <xdr:from>
      <xdr:col>18</xdr:col>
      <xdr:colOff>335280</xdr:colOff>
      <xdr:row>0</xdr:row>
      <xdr:rowOff>129540</xdr:rowOff>
    </xdr:from>
    <xdr:to>
      <xdr:col>23</xdr:col>
      <xdr:colOff>22860</xdr:colOff>
      <xdr:row>5</xdr:row>
      <xdr:rowOff>22860</xdr:rowOff>
    </xdr:to>
    <xdr:sp macro="" textlink="">
      <xdr:nvSpPr>
        <xdr:cNvPr id="6" name="Rectangle: Rounded Corners 5">
          <a:extLst>
            <a:ext uri="{FF2B5EF4-FFF2-40B4-BE49-F238E27FC236}">
              <a16:creationId xmlns:a16="http://schemas.microsoft.com/office/drawing/2014/main" id="{FDA455BD-722A-4F74-89AD-24E8335EB2F5}"/>
            </a:ext>
          </a:extLst>
        </xdr:cNvPr>
        <xdr:cNvSpPr/>
      </xdr:nvSpPr>
      <xdr:spPr>
        <a:xfrm>
          <a:off x="11308080" y="129540"/>
          <a:ext cx="2735580" cy="807720"/>
        </a:xfrm>
        <a:prstGeom prst="roundRect">
          <a:avLst>
            <a:gd name="adj" fmla="val 6911"/>
          </a:avLst>
        </a:prstGeom>
        <a:solidFill>
          <a:srgbClr val="26295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latin typeface="Segoe UI" panose="020B0502040204020203" pitchFamily="34" charset="0"/>
              <a:cs typeface="Segoe UI" panose="020B0502040204020203" pitchFamily="34" charset="0"/>
            </a:rPr>
            <a:t>Profit Margin</a:t>
          </a:r>
        </a:p>
      </xdr:txBody>
    </xdr:sp>
    <xdr:clientData/>
  </xdr:twoCellAnchor>
  <xdr:twoCellAnchor>
    <xdr:from>
      <xdr:col>0</xdr:col>
      <xdr:colOff>121920</xdr:colOff>
      <xdr:row>5</xdr:row>
      <xdr:rowOff>129540</xdr:rowOff>
    </xdr:from>
    <xdr:to>
      <xdr:col>10</xdr:col>
      <xdr:colOff>83820</xdr:colOff>
      <xdr:row>19</xdr:row>
      <xdr:rowOff>60960</xdr:rowOff>
    </xdr:to>
    <xdr:grpSp>
      <xdr:nvGrpSpPr>
        <xdr:cNvPr id="23" name="Group 22">
          <a:extLst>
            <a:ext uri="{FF2B5EF4-FFF2-40B4-BE49-F238E27FC236}">
              <a16:creationId xmlns:a16="http://schemas.microsoft.com/office/drawing/2014/main" id="{2535C413-2789-09D6-5DC3-A19F70C9601E}"/>
            </a:ext>
          </a:extLst>
        </xdr:cNvPr>
        <xdr:cNvGrpSpPr/>
      </xdr:nvGrpSpPr>
      <xdr:grpSpPr>
        <a:xfrm>
          <a:off x="121920" y="1043940"/>
          <a:ext cx="6057900" cy="2491740"/>
          <a:chOff x="243840" y="2148840"/>
          <a:chExt cx="6423660" cy="2583180"/>
        </a:xfrm>
        <a:solidFill>
          <a:srgbClr val="262953"/>
        </a:solidFill>
        <a:effectLst>
          <a:outerShdw blurRad="50800" dist="38100" dir="2700000" algn="tl" rotWithShape="0">
            <a:prstClr val="black">
              <a:alpha val="40000"/>
            </a:prstClr>
          </a:outerShdw>
        </a:effectLst>
      </xdr:grpSpPr>
      <xdr:sp macro="" textlink="">
        <xdr:nvSpPr>
          <xdr:cNvPr id="7" name="Rectangle: Rounded Corners 6">
            <a:extLst>
              <a:ext uri="{FF2B5EF4-FFF2-40B4-BE49-F238E27FC236}">
                <a16:creationId xmlns:a16="http://schemas.microsoft.com/office/drawing/2014/main" id="{9E01AB9F-DCC0-47DF-B861-80A74BCE432F}"/>
              </a:ext>
            </a:extLst>
          </xdr:cNvPr>
          <xdr:cNvSpPr/>
        </xdr:nvSpPr>
        <xdr:spPr>
          <a:xfrm>
            <a:off x="243840" y="2148840"/>
            <a:ext cx="6423660" cy="2583180"/>
          </a:xfrm>
          <a:prstGeom prst="roundRect">
            <a:avLst>
              <a:gd name="adj" fmla="val 2272"/>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3" name="Chart 12">
            <a:extLst>
              <a:ext uri="{FF2B5EF4-FFF2-40B4-BE49-F238E27FC236}">
                <a16:creationId xmlns:a16="http://schemas.microsoft.com/office/drawing/2014/main" id="{708169B3-D949-45E6-9B23-2479F9C0ECAD}"/>
              </a:ext>
            </a:extLst>
          </xdr:cNvPr>
          <xdr:cNvGraphicFramePr>
            <a:graphicFrameLocks/>
          </xdr:cNvGraphicFramePr>
        </xdr:nvGraphicFramePr>
        <xdr:xfrm>
          <a:off x="304800" y="2232660"/>
          <a:ext cx="6271260" cy="240792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10</xdr:col>
      <xdr:colOff>182880</xdr:colOff>
      <xdr:row>5</xdr:row>
      <xdr:rowOff>129540</xdr:rowOff>
    </xdr:from>
    <xdr:to>
      <xdr:col>20</xdr:col>
      <xdr:colOff>274320</xdr:colOff>
      <xdr:row>19</xdr:row>
      <xdr:rowOff>60960</xdr:rowOff>
    </xdr:to>
    <xdr:grpSp>
      <xdr:nvGrpSpPr>
        <xdr:cNvPr id="24" name="Group 23">
          <a:extLst>
            <a:ext uri="{FF2B5EF4-FFF2-40B4-BE49-F238E27FC236}">
              <a16:creationId xmlns:a16="http://schemas.microsoft.com/office/drawing/2014/main" id="{CF372BDD-A590-E35D-DD56-E582F3D86CFB}"/>
            </a:ext>
          </a:extLst>
        </xdr:cNvPr>
        <xdr:cNvGrpSpPr/>
      </xdr:nvGrpSpPr>
      <xdr:grpSpPr>
        <a:xfrm>
          <a:off x="6278880" y="1043940"/>
          <a:ext cx="6187440" cy="2491740"/>
          <a:chOff x="6835140" y="2156460"/>
          <a:chExt cx="7170420" cy="2583180"/>
        </a:xfrm>
        <a:solidFill>
          <a:srgbClr val="262953"/>
        </a:solidFill>
        <a:effectLst>
          <a:outerShdw blurRad="50800" dist="38100" dir="2700000" algn="tl" rotWithShape="0">
            <a:prstClr val="black">
              <a:alpha val="40000"/>
            </a:prstClr>
          </a:outerShdw>
        </a:effectLst>
      </xdr:grpSpPr>
      <xdr:sp macro="" textlink="">
        <xdr:nvSpPr>
          <xdr:cNvPr id="14" name="Rectangle: Rounded Corners 13">
            <a:extLst>
              <a:ext uri="{FF2B5EF4-FFF2-40B4-BE49-F238E27FC236}">
                <a16:creationId xmlns:a16="http://schemas.microsoft.com/office/drawing/2014/main" id="{970102AB-C150-45FB-97C3-B99E51340FA1}"/>
              </a:ext>
            </a:extLst>
          </xdr:cNvPr>
          <xdr:cNvSpPr/>
        </xdr:nvSpPr>
        <xdr:spPr>
          <a:xfrm>
            <a:off x="6835140" y="2156460"/>
            <a:ext cx="7170420" cy="2583180"/>
          </a:xfrm>
          <a:prstGeom prst="roundRect">
            <a:avLst>
              <a:gd name="adj" fmla="val 2272"/>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5" name="Chart 14">
            <a:extLst>
              <a:ext uri="{FF2B5EF4-FFF2-40B4-BE49-F238E27FC236}">
                <a16:creationId xmlns:a16="http://schemas.microsoft.com/office/drawing/2014/main" id="{DFF9390F-A720-4DA7-AFCA-E06891619D43}"/>
              </a:ext>
            </a:extLst>
          </xdr:cNvPr>
          <xdr:cNvGraphicFramePr>
            <a:graphicFrameLocks/>
          </xdr:cNvGraphicFramePr>
        </xdr:nvGraphicFramePr>
        <xdr:xfrm>
          <a:off x="6888480" y="2232660"/>
          <a:ext cx="7040880" cy="242316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129540</xdr:colOff>
      <xdr:row>19</xdr:row>
      <xdr:rowOff>168391</xdr:rowOff>
    </xdr:from>
    <xdr:to>
      <xdr:col>4</xdr:col>
      <xdr:colOff>76200</xdr:colOff>
      <xdr:row>38</xdr:row>
      <xdr:rowOff>91440</xdr:rowOff>
    </xdr:to>
    <xdr:grpSp>
      <xdr:nvGrpSpPr>
        <xdr:cNvPr id="25" name="Group 24">
          <a:extLst>
            <a:ext uri="{FF2B5EF4-FFF2-40B4-BE49-F238E27FC236}">
              <a16:creationId xmlns:a16="http://schemas.microsoft.com/office/drawing/2014/main" id="{5B70D935-A802-7E76-A79B-80E6CEB5967E}"/>
            </a:ext>
          </a:extLst>
        </xdr:cNvPr>
        <xdr:cNvGrpSpPr/>
      </xdr:nvGrpSpPr>
      <xdr:grpSpPr>
        <a:xfrm>
          <a:off x="129540" y="3643111"/>
          <a:ext cx="2385060" cy="3397769"/>
          <a:chOff x="228600" y="4892040"/>
          <a:chExt cx="3244770" cy="2506980"/>
        </a:xfrm>
        <a:solidFill>
          <a:srgbClr val="262953"/>
        </a:solidFill>
        <a:effectLst>
          <a:outerShdw blurRad="50800" dist="38100" dir="2700000" algn="tl" rotWithShape="0">
            <a:prstClr val="black">
              <a:alpha val="40000"/>
            </a:prstClr>
          </a:outerShdw>
        </a:effectLst>
      </xdr:grpSpPr>
      <xdr:sp macro="" textlink="">
        <xdr:nvSpPr>
          <xdr:cNvPr id="11" name="Rectangle: Rounded Corners 10">
            <a:extLst>
              <a:ext uri="{FF2B5EF4-FFF2-40B4-BE49-F238E27FC236}">
                <a16:creationId xmlns:a16="http://schemas.microsoft.com/office/drawing/2014/main" id="{E40A5D36-1A0A-4C01-BB5F-CE94A254D240}"/>
              </a:ext>
            </a:extLst>
          </xdr:cNvPr>
          <xdr:cNvSpPr/>
        </xdr:nvSpPr>
        <xdr:spPr>
          <a:xfrm>
            <a:off x="228600" y="4892040"/>
            <a:ext cx="3244770" cy="2506980"/>
          </a:xfrm>
          <a:prstGeom prst="roundRect">
            <a:avLst>
              <a:gd name="adj" fmla="val 208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9" name="Chart 18">
            <a:extLst>
              <a:ext uri="{FF2B5EF4-FFF2-40B4-BE49-F238E27FC236}">
                <a16:creationId xmlns:a16="http://schemas.microsoft.com/office/drawing/2014/main" id="{A76D7A88-DA19-4A31-8159-E9DBDA188B46}"/>
              </a:ext>
            </a:extLst>
          </xdr:cNvPr>
          <xdr:cNvGraphicFramePr>
            <a:graphicFrameLocks/>
          </xdr:cNvGraphicFramePr>
        </xdr:nvGraphicFramePr>
        <xdr:xfrm>
          <a:off x="320040" y="4998720"/>
          <a:ext cx="3040380" cy="228219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4</xdr:col>
      <xdr:colOff>182880</xdr:colOff>
      <xdr:row>19</xdr:row>
      <xdr:rowOff>175260</xdr:rowOff>
    </xdr:from>
    <xdr:to>
      <xdr:col>10</xdr:col>
      <xdr:colOff>495300</xdr:colOff>
      <xdr:row>38</xdr:row>
      <xdr:rowOff>83820</xdr:rowOff>
    </xdr:to>
    <xdr:grpSp>
      <xdr:nvGrpSpPr>
        <xdr:cNvPr id="26" name="Group 25">
          <a:extLst>
            <a:ext uri="{FF2B5EF4-FFF2-40B4-BE49-F238E27FC236}">
              <a16:creationId xmlns:a16="http://schemas.microsoft.com/office/drawing/2014/main" id="{E35C0DF9-1474-09DB-2799-75683862DB0C}"/>
            </a:ext>
          </a:extLst>
        </xdr:cNvPr>
        <xdr:cNvGrpSpPr/>
      </xdr:nvGrpSpPr>
      <xdr:grpSpPr>
        <a:xfrm>
          <a:off x="2621280" y="3649980"/>
          <a:ext cx="3970020" cy="3383280"/>
          <a:chOff x="3665220" y="4892040"/>
          <a:chExt cx="3314700" cy="2682240"/>
        </a:xfrm>
        <a:solidFill>
          <a:srgbClr val="262953"/>
        </a:solidFill>
        <a:effectLst>
          <a:outerShdw blurRad="50800" dist="38100" dir="2700000" algn="tl" rotWithShape="0">
            <a:prstClr val="black">
              <a:alpha val="40000"/>
            </a:prstClr>
          </a:outerShdw>
        </a:effectLst>
      </xdr:grpSpPr>
      <xdr:sp macro="" textlink="">
        <xdr:nvSpPr>
          <xdr:cNvPr id="16" name="Rectangle: Rounded Corners 15">
            <a:extLst>
              <a:ext uri="{FF2B5EF4-FFF2-40B4-BE49-F238E27FC236}">
                <a16:creationId xmlns:a16="http://schemas.microsoft.com/office/drawing/2014/main" id="{9547C072-6397-4DFB-8425-74E87D22EEE3}"/>
              </a:ext>
            </a:extLst>
          </xdr:cNvPr>
          <xdr:cNvSpPr/>
        </xdr:nvSpPr>
        <xdr:spPr>
          <a:xfrm>
            <a:off x="3665220" y="4892040"/>
            <a:ext cx="3314700" cy="2682240"/>
          </a:xfrm>
          <a:prstGeom prst="roundRect">
            <a:avLst>
              <a:gd name="adj" fmla="val 1219"/>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FCC3114A-0987-4584-8603-2A874C9A021F}"/>
                  </a:ext>
                </a:extLst>
              </xdr:cNvPr>
              <xdr:cNvGraphicFramePr/>
            </xdr:nvGraphicFramePr>
            <xdr:xfrm>
              <a:off x="3771900" y="4997241"/>
              <a:ext cx="3093720" cy="2470359"/>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771900" y="4997241"/>
                <a:ext cx="3093720" cy="24703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10</xdr:col>
      <xdr:colOff>601980</xdr:colOff>
      <xdr:row>19</xdr:row>
      <xdr:rowOff>167640</xdr:rowOff>
    </xdr:from>
    <xdr:to>
      <xdr:col>15</xdr:col>
      <xdr:colOff>594360</xdr:colOff>
      <xdr:row>38</xdr:row>
      <xdr:rowOff>76200</xdr:rowOff>
    </xdr:to>
    <xdr:grpSp>
      <xdr:nvGrpSpPr>
        <xdr:cNvPr id="27" name="Group 26">
          <a:extLst>
            <a:ext uri="{FF2B5EF4-FFF2-40B4-BE49-F238E27FC236}">
              <a16:creationId xmlns:a16="http://schemas.microsoft.com/office/drawing/2014/main" id="{243651E1-15DE-0AF4-1D58-5F0AD252A0AD}"/>
            </a:ext>
          </a:extLst>
        </xdr:cNvPr>
        <xdr:cNvGrpSpPr/>
      </xdr:nvGrpSpPr>
      <xdr:grpSpPr>
        <a:xfrm>
          <a:off x="6697980" y="3642360"/>
          <a:ext cx="3040380" cy="3383280"/>
          <a:chOff x="7162800" y="4899660"/>
          <a:chExt cx="3360420" cy="2682240"/>
        </a:xfrm>
        <a:solidFill>
          <a:srgbClr val="262953"/>
        </a:solidFill>
        <a:effectLst>
          <a:outerShdw blurRad="50800" dist="38100" dir="2700000" algn="tl" rotWithShape="0">
            <a:prstClr val="black">
              <a:alpha val="40000"/>
            </a:prstClr>
          </a:outerShdw>
        </a:effectLst>
      </xdr:grpSpPr>
      <xdr:sp macro="" textlink="">
        <xdr:nvSpPr>
          <xdr:cNvPr id="17" name="Rectangle: Rounded Corners 16">
            <a:extLst>
              <a:ext uri="{FF2B5EF4-FFF2-40B4-BE49-F238E27FC236}">
                <a16:creationId xmlns:a16="http://schemas.microsoft.com/office/drawing/2014/main" id="{64B028B4-8162-48ED-B5E6-C4CDBB630D05}"/>
              </a:ext>
            </a:extLst>
          </xdr:cNvPr>
          <xdr:cNvSpPr/>
        </xdr:nvSpPr>
        <xdr:spPr>
          <a:xfrm>
            <a:off x="7162800" y="4899660"/>
            <a:ext cx="3360420" cy="2682240"/>
          </a:xfrm>
          <a:prstGeom prst="roundRect">
            <a:avLst>
              <a:gd name="adj" fmla="val 1395"/>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1" name="Chart 20">
            <a:extLst>
              <a:ext uri="{FF2B5EF4-FFF2-40B4-BE49-F238E27FC236}">
                <a16:creationId xmlns:a16="http://schemas.microsoft.com/office/drawing/2014/main" id="{C8A2C53A-6338-46E5-9109-93FEBF9E6ABA}"/>
              </a:ext>
            </a:extLst>
          </xdr:cNvPr>
          <xdr:cNvGraphicFramePr>
            <a:graphicFrameLocks/>
          </xdr:cNvGraphicFramePr>
        </xdr:nvGraphicFramePr>
        <xdr:xfrm>
          <a:off x="7269480" y="5029200"/>
          <a:ext cx="3139440" cy="245364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16</xdr:col>
      <xdr:colOff>83820</xdr:colOff>
      <xdr:row>19</xdr:row>
      <xdr:rowOff>168391</xdr:rowOff>
    </xdr:from>
    <xdr:to>
      <xdr:col>20</xdr:col>
      <xdr:colOff>289560</xdr:colOff>
      <xdr:row>38</xdr:row>
      <xdr:rowOff>91440</xdr:rowOff>
    </xdr:to>
    <xdr:grpSp>
      <xdr:nvGrpSpPr>
        <xdr:cNvPr id="28" name="Group 27">
          <a:extLst>
            <a:ext uri="{FF2B5EF4-FFF2-40B4-BE49-F238E27FC236}">
              <a16:creationId xmlns:a16="http://schemas.microsoft.com/office/drawing/2014/main" id="{8C48D8F8-8578-4789-405A-6FF6ACA598CD}"/>
            </a:ext>
          </a:extLst>
        </xdr:cNvPr>
        <xdr:cNvGrpSpPr/>
      </xdr:nvGrpSpPr>
      <xdr:grpSpPr>
        <a:xfrm>
          <a:off x="9837420" y="3643111"/>
          <a:ext cx="2644140" cy="3397769"/>
          <a:chOff x="10713720" y="4907280"/>
          <a:chExt cx="3284220" cy="2682240"/>
        </a:xfrm>
        <a:solidFill>
          <a:srgbClr val="262953"/>
        </a:solidFill>
        <a:effectLst>
          <a:outerShdw blurRad="50800" dist="38100" dir="2700000" algn="tl" rotWithShape="0">
            <a:prstClr val="black">
              <a:alpha val="40000"/>
            </a:prstClr>
          </a:outerShdw>
        </a:effectLst>
      </xdr:grpSpPr>
      <xdr:sp macro="" textlink="">
        <xdr:nvSpPr>
          <xdr:cNvPr id="18" name="Rectangle: Rounded Corners 17">
            <a:extLst>
              <a:ext uri="{FF2B5EF4-FFF2-40B4-BE49-F238E27FC236}">
                <a16:creationId xmlns:a16="http://schemas.microsoft.com/office/drawing/2014/main" id="{EA62A6C5-FBFA-4388-A6B1-EE3D5C4C2680}"/>
              </a:ext>
            </a:extLst>
          </xdr:cNvPr>
          <xdr:cNvSpPr/>
        </xdr:nvSpPr>
        <xdr:spPr>
          <a:xfrm>
            <a:off x="10713720" y="4907280"/>
            <a:ext cx="3284220" cy="2682240"/>
          </a:xfrm>
          <a:prstGeom prst="roundRect">
            <a:avLst>
              <a:gd name="adj" fmla="val 1725"/>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graphicFrame macro="">
        <xdr:nvGraphicFramePr>
          <xdr:cNvPr id="22" name="Chart 21">
            <a:extLst>
              <a:ext uri="{FF2B5EF4-FFF2-40B4-BE49-F238E27FC236}">
                <a16:creationId xmlns:a16="http://schemas.microsoft.com/office/drawing/2014/main" id="{72353894-3F30-4A64-B461-E27C94A68110}"/>
              </a:ext>
            </a:extLst>
          </xdr:cNvPr>
          <xdr:cNvGraphicFramePr>
            <a:graphicFrameLocks/>
          </xdr:cNvGraphicFramePr>
        </xdr:nvGraphicFramePr>
        <xdr:xfrm>
          <a:off x="10812780" y="5013960"/>
          <a:ext cx="3063240" cy="244602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20</xdr:col>
      <xdr:colOff>388620</xdr:colOff>
      <xdr:row>17</xdr:row>
      <xdr:rowOff>144780</xdr:rowOff>
    </xdr:from>
    <xdr:to>
      <xdr:col>23</xdr:col>
      <xdr:colOff>30480</xdr:colOff>
      <xdr:row>30</xdr:row>
      <xdr:rowOff>167640</xdr:rowOff>
    </xdr:to>
    <xdr:grpSp>
      <xdr:nvGrpSpPr>
        <xdr:cNvPr id="36" name="Group 35">
          <a:extLst>
            <a:ext uri="{FF2B5EF4-FFF2-40B4-BE49-F238E27FC236}">
              <a16:creationId xmlns:a16="http://schemas.microsoft.com/office/drawing/2014/main" id="{989396A8-6022-1F6C-CCC4-3716FD996F01}"/>
            </a:ext>
          </a:extLst>
        </xdr:cNvPr>
        <xdr:cNvGrpSpPr/>
      </xdr:nvGrpSpPr>
      <xdr:grpSpPr>
        <a:xfrm>
          <a:off x="12580620" y="3253740"/>
          <a:ext cx="1470660" cy="2400300"/>
          <a:chOff x="13030200" y="3268980"/>
          <a:chExt cx="1188720" cy="2407920"/>
        </a:xfrm>
        <a:effectLst>
          <a:outerShdw blurRad="50800" dist="38100" dir="2700000" algn="tl" rotWithShape="0">
            <a:prstClr val="black">
              <a:alpha val="40000"/>
            </a:prstClr>
          </a:outerShdw>
        </a:effectLst>
      </xdr:grpSpPr>
      <xdr:sp macro="" textlink="">
        <xdr:nvSpPr>
          <xdr:cNvPr id="29" name="Rectangle: Rounded Corners 28">
            <a:extLst>
              <a:ext uri="{FF2B5EF4-FFF2-40B4-BE49-F238E27FC236}">
                <a16:creationId xmlns:a16="http://schemas.microsoft.com/office/drawing/2014/main" id="{6C2434EE-38B7-4D9C-BAF1-742C14199EB6}"/>
              </a:ext>
            </a:extLst>
          </xdr:cNvPr>
          <xdr:cNvSpPr/>
        </xdr:nvSpPr>
        <xdr:spPr>
          <a:xfrm>
            <a:off x="13030200" y="3268980"/>
            <a:ext cx="1188720" cy="2407920"/>
          </a:xfrm>
          <a:prstGeom prst="roundRect">
            <a:avLst>
              <a:gd name="adj" fmla="val 2793"/>
            </a:avLst>
          </a:prstGeom>
          <a:solidFill>
            <a:srgbClr val="2629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10" name="State 1">
                <a:extLst>
                  <a:ext uri="{FF2B5EF4-FFF2-40B4-BE49-F238E27FC236}">
                    <a16:creationId xmlns:a16="http://schemas.microsoft.com/office/drawing/2014/main" id="{DAA004B4-2A16-4469-B4D2-E40C4DB959E3}"/>
                  </a:ext>
                </a:extLst>
              </xdr:cNvPr>
              <xdr:cNvGraphicFramePr/>
            </xdr:nvGraphicFramePr>
            <xdr:xfrm>
              <a:off x="13068300" y="3307081"/>
              <a:ext cx="1112520" cy="2308859"/>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2627757" y="3291720"/>
                <a:ext cx="1376387" cy="2301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20</xdr:col>
      <xdr:colOff>388620</xdr:colOff>
      <xdr:row>31</xdr:row>
      <xdr:rowOff>76200</xdr:rowOff>
    </xdr:from>
    <xdr:to>
      <xdr:col>23</xdr:col>
      <xdr:colOff>45720</xdr:colOff>
      <xdr:row>38</xdr:row>
      <xdr:rowOff>99060</xdr:rowOff>
    </xdr:to>
    <xdr:grpSp>
      <xdr:nvGrpSpPr>
        <xdr:cNvPr id="34" name="Group 33">
          <a:extLst>
            <a:ext uri="{FF2B5EF4-FFF2-40B4-BE49-F238E27FC236}">
              <a16:creationId xmlns:a16="http://schemas.microsoft.com/office/drawing/2014/main" id="{E54F8C26-C7E6-B636-308B-210A6CE80F33}"/>
            </a:ext>
          </a:extLst>
        </xdr:cNvPr>
        <xdr:cNvGrpSpPr/>
      </xdr:nvGrpSpPr>
      <xdr:grpSpPr>
        <a:xfrm>
          <a:off x="12580620" y="5745480"/>
          <a:ext cx="1485900" cy="1303020"/>
          <a:chOff x="12512040" y="2148840"/>
          <a:chExt cx="1470660" cy="1287780"/>
        </a:xfrm>
        <a:effectLst>
          <a:outerShdw blurRad="50800" dist="38100" dir="2700000" algn="tl" rotWithShape="0">
            <a:prstClr val="black">
              <a:alpha val="40000"/>
            </a:prstClr>
          </a:outerShdw>
        </a:effectLst>
      </xdr:grpSpPr>
      <xdr:sp macro="" textlink="">
        <xdr:nvSpPr>
          <xdr:cNvPr id="31" name="Rectangle: Rounded Corners 30">
            <a:extLst>
              <a:ext uri="{FF2B5EF4-FFF2-40B4-BE49-F238E27FC236}">
                <a16:creationId xmlns:a16="http://schemas.microsoft.com/office/drawing/2014/main" id="{F026DB57-DE8B-4825-907D-CD4DDD523B3F}"/>
              </a:ext>
            </a:extLst>
          </xdr:cNvPr>
          <xdr:cNvSpPr/>
        </xdr:nvSpPr>
        <xdr:spPr>
          <a:xfrm>
            <a:off x="12512040" y="2148840"/>
            <a:ext cx="1470660" cy="1287780"/>
          </a:xfrm>
          <a:prstGeom prst="roundRect">
            <a:avLst>
              <a:gd name="adj" fmla="val 3598"/>
            </a:avLst>
          </a:prstGeom>
          <a:solidFill>
            <a:srgbClr val="2629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30" name="Category 1">
                <a:extLst>
                  <a:ext uri="{FF2B5EF4-FFF2-40B4-BE49-F238E27FC236}">
                    <a16:creationId xmlns:a16="http://schemas.microsoft.com/office/drawing/2014/main" id="{E7EB99B3-8B8A-4B46-8487-8BB3F0E8CF93}"/>
                  </a:ext>
                </a:extLst>
              </xdr:cNvPr>
              <xdr:cNvGraphicFramePr/>
            </xdr:nvGraphicFramePr>
            <xdr:xfrm>
              <a:off x="12550140" y="2171700"/>
              <a:ext cx="1371600" cy="122682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619115" y="5768611"/>
                <a:ext cx="1385813" cy="1241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20</xdr:col>
      <xdr:colOff>388620</xdr:colOff>
      <xdr:row>5</xdr:row>
      <xdr:rowOff>129540</xdr:rowOff>
    </xdr:from>
    <xdr:to>
      <xdr:col>23</xdr:col>
      <xdr:colOff>15240</xdr:colOff>
      <xdr:row>17</xdr:row>
      <xdr:rowOff>53340</xdr:rowOff>
    </xdr:to>
    <xdr:grpSp>
      <xdr:nvGrpSpPr>
        <xdr:cNvPr id="35" name="Group 34">
          <a:extLst>
            <a:ext uri="{FF2B5EF4-FFF2-40B4-BE49-F238E27FC236}">
              <a16:creationId xmlns:a16="http://schemas.microsoft.com/office/drawing/2014/main" id="{046D454F-A326-A4AC-9721-4894313D32A9}"/>
            </a:ext>
          </a:extLst>
        </xdr:cNvPr>
        <xdr:cNvGrpSpPr/>
      </xdr:nvGrpSpPr>
      <xdr:grpSpPr>
        <a:xfrm>
          <a:off x="12580620" y="1043940"/>
          <a:ext cx="1455420" cy="2118360"/>
          <a:chOff x="12877800" y="4267200"/>
          <a:chExt cx="1219200" cy="2125980"/>
        </a:xfrm>
        <a:effectLst>
          <a:outerShdw blurRad="50800" dist="38100" dir="2700000" algn="tl" rotWithShape="0">
            <a:prstClr val="black">
              <a:alpha val="40000"/>
            </a:prstClr>
          </a:outerShdw>
        </a:effectLst>
      </xdr:grpSpPr>
      <xdr:sp macro="" textlink="">
        <xdr:nvSpPr>
          <xdr:cNvPr id="32" name="Rectangle: Rounded Corners 31">
            <a:extLst>
              <a:ext uri="{FF2B5EF4-FFF2-40B4-BE49-F238E27FC236}">
                <a16:creationId xmlns:a16="http://schemas.microsoft.com/office/drawing/2014/main" id="{39310D8B-56C9-412C-A208-0ECFA8DBA09B}"/>
              </a:ext>
            </a:extLst>
          </xdr:cNvPr>
          <xdr:cNvSpPr/>
        </xdr:nvSpPr>
        <xdr:spPr>
          <a:xfrm>
            <a:off x="12877800" y="4267200"/>
            <a:ext cx="1219200" cy="2125980"/>
          </a:xfrm>
          <a:prstGeom prst="roundRect">
            <a:avLst>
              <a:gd name="adj" fmla="val 3691"/>
            </a:avLst>
          </a:prstGeom>
          <a:solidFill>
            <a:srgbClr val="26295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9" name="Year 1">
                <a:extLst>
                  <a:ext uri="{FF2B5EF4-FFF2-40B4-BE49-F238E27FC236}">
                    <a16:creationId xmlns:a16="http://schemas.microsoft.com/office/drawing/2014/main" id="{2BB00A0C-A3C6-4CEB-9C2F-ADBED46756B8}"/>
                  </a:ext>
                </a:extLst>
              </xdr:cNvPr>
              <xdr:cNvGraphicFramePr/>
            </xdr:nvGraphicFramePr>
            <xdr:xfrm>
              <a:off x="12915900" y="4305300"/>
              <a:ext cx="1120140" cy="204216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626102" y="1081903"/>
                <a:ext cx="1337167" cy="2034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oneCellAnchor>
    <xdr:from>
      <xdr:col>0</xdr:col>
      <xdr:colOff>243840</xdr:colOff>
      <xdr:row>1</xdr:row>
      <xdr:rowOff>129540</xdr:rowOff>
    </xdr:from>
    <xdr:ext cx="2369820" cy="632866"/>
    <xdr:sp macro="" textlink="KPI!H4">
      <xdr:nvSpPr>
        <xdr:cNvPr id="40" name="TextBox 39">
          <a:extLst>
            <a:ext uri="{FF2B5EF4-FFF2-40B4-BE49-F238E27FC236}">
              <a16:creationId xmlns:a16="http://schemas.microsoft.com/office/drawing/2014/main" id="{CC000FF2-E017-991D-590E-14294F67913E}"/>
            </a:ext>
          </a:extLst>
        </xdr:cNvPr>
        <xdr:cNvSpPr txBox="1"/>
      </xdr:nvSpPr>
      <xdr:spPr>
        <a:xfrm>
          <a:off x="243840" y="312420"/>
          <a:ext cx="2369820" cy="6328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FABFA3B6-C2CC-4799-ACEF-142FFE46A573}" type="TxLink">
            <a:rPr lang="en-US" sz="2800" b="0" i="0" u="none" strike="noStrike">
              <a:solidFill>
                <a:schemeClr val="bg1"/>
              </a:solidFill>
              <a:latin typeface="Anton" pitchFamily="2" charset="0"/>
              <a:ea typeface="Calibri"/>
              <a:cs typeface="Calibri"/>
            </a:rPr>
            <a:pPr algn="ctr"/>
            <a:t> $61,82,639 </a:t>
          </a:fld>
          <a:endParaRPr lang="en-IN" sz="2800" b="0">
            <a:solidFill>
              <a:schemeClr val="bg1"/>
            </a:solidFill>
            <a:latin typeface="Anton" pitchFamily="2" charset="0"/>
          </a:endParaRPr>
        </a:p>
      </xdr:txBody>
    </xdr:sp>
    <xdr:clientData/>
  </xdr:oneCellAnchor>
  <xdr:oneCellAnchor>
    <xdr:from>
      <xdr:col>4</xdr:col>
      <xdr:colOff>525780</xdr:colOff>
      <xdr:row>1</xdr:row>
      <xdr:rowOff>114300</xdr:rowOff>
    </xdr:from>
    <xdr:ext cx="2263140" cy="632866"/>
    <xdr:sp macro="" textlink="KPI!H8">
      <xdr:nvSpPr>
        <xdr:cNvPr id="41" name="TextBox 40">
          <a:extLst>
            <a:ext uri="{FF2B5EF4-FFF2-40B4-BE49-F238E27FC236}">
              <a16:creationId xmlns:a16="http://schemas.microsoft.com/office/drawing/2014/main" id="{DDC6C330-65DC-4B8C-3407-80A6D9EA98E6}"/>
            </a:ext>
          </a:extLst>
        </xdr:cNvPr>
        <xdr:cNvSpPr txBox="1"/>
      </xdr:nvSpPr>
      <xdr:spPr>
        <a:xfrm>
          <a:off x="2964180" y="297180"/>
          <a:ext cx="2263140" cy="6328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2C5E8CD8-7E16-4B2B-848D-47A33FC4D0D4}" type="TxLink">
            <a:rPr lang="en-US" sz="2800" b="0" i="0" u="none" strike="noStrike">
              <a:solidFill>
                <a:schemeClr val="bg1"/>
              </a:solidFill>
              <a:latin typeface="Anton" pitchFamily="2" charset="0"/>
              <a:ea typeface="Calibri"/>
              <a:cs typeface="Calibri"/>
            </a:rPr>
            <a:pPr algn="ctr"/>
            <a:t> $16,10,697 </a:t>
          </a:fld>
          <a:endParaRPr lang="en-IN" sz="2800">
            <a:solidFill>
              <a:schemeClr val="bg1"/>
            </a:solidFill>
            <a:latin typeface="Anton" pitchFamily="2" charset="0"/>
          </a:endParaRPr>
        </a:p>
      </xdr:txBody>
    </xdr:sp>
    <xdr:clientData/>
  </xdr:oneCellAnchor>
  <xdr:oneCellAnchor>
    <xdr:from>
      <xdr:col>10</xdr:col>
      <xdr:colOff>30480</xdr:colOff>
      <xdr:row>1</xdr:row>
      <xdr:rowOff>144780</xdr:rowOff>
    </xdr:from>
    <xdr:ext cx="1409700" cy="632866"/>
    <xdr:sp macro="" textlink="KPI!H12">
      <xdr:nvSpPr>
        <xdr:cNvPr id="42" name="TextBox 41">
          <a:extLst>
            <a:ext uri="{FF2B5EF4-FFF2-40B4-BE49-F238E27FC236}">
              <a16:creationId xmlns:a16="http://schemas.microsoft.com/office/drawing/2014/main" id="{418A1488-AF6B-46DE-9E9F-E17427917AF0}"/>
            </a:ext>
          </a:extLst>
        </xdr:cNvPr>
        <xdr:cNvSpPr txBox="1"/>
      </xdr:nvSpPr>
      <xdr:spPr>
        <a:xfrm>
          <a:off x="6126480" y="327660"/>
          <a:ext cx="1409700" cy="6328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DCFDBE26-6EAD-48EB-A723-88F2B38B7FDB}" type="TxLink">
            <a:rPr lang="en-US" sz="2800" b="0" i="0" u="none" strike="noStrike">
              <a:solidFill>
                <a:schemeClr val="bg1"/>
              </a:solidFill>
              <a:latin typeface="Anton" pitchFamily="2" charset="0"/>
              <a:ea typeface="Calibri"/>
              <a:cs typeface="Calibri"/>
            </a:rPr>
            <a:pPr algn="ctr"/>
            <a:t>1194</a:t>
          </a:fld>
          <a:endParaRPr lang="en-IN" sz="2800">
            <a:solidFill>
              <a:schemeClr val="bg1"/>
            </a:solidFill>
            <a:latin typeface="Anton" pitchFamily="2" charset="0"/>
          </a:endParaRPr>
        </a:p>
      </xdr:txBody>
    </xdr:sp>
    <xdr:clientData/>
  </xdr:oneCellAnchor>
  <xdr:oneCellAnchor>
    <xdr:from>
      <xdr:col>14</xdr:col>
      <xdr:colOff>358140</xdr:colOff>
      <xdr:row>1</xdr:row>
      <xdr:rowOff>144780</xdr:rowOff>
    </xdr:from>
    <xdr:ext cx="1775460" cy="632866"/>
    <xdr:sp macro="" textlink="KPI!H16">
      <xdr:nvSpPr>
        <xdr:cNvPr id="43" name="TextBox 42">
          <a:extLst>
            <a:ext uri="{FF2B5EF4-FFF2-40B4-BE49-F238E27FC236}">
              <a16:creationId xmlns:a16="http://schemas.microsoft.com/office/drawing/2014/main" id="{F8BFFDE6-6C19-24A0-9618-7BAFF812B607}"/>
            </a:ext>
          </a:extLst>
        </xdr:cNvPr>
        <xdr:cNvSpPr txBox="1"/>
      </xdr:nvSpPr>
      <xdr:spPr>
        <a:xfrm>
          <a:off x="8892540" y="327660"/>
          <a:ext cx="1775460" cy="6328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FC93F4A1-1CF1-40C6-A3F4-80E1C69CC04B}" type="TxLink">
            <a:rPr lang="en-US" sz="2800" b="0" i="0" u="none" strike="noStrike">
              <a:solidFill>
                <a:schemeClr val="bg1"/>
              </a:solidFill>
              <a:latin typeface="Anton" pitchFamily="2" charset="0"/>
              <a:ea typeface="Calibri"/>
              <a:cs typeface="Calibri"/>
            </a:rPr>
            <a:pPr algn="ctr"/>
            <a:t>12745</a:t>
          </a:fld>
          <a:endParaRPr lang="en-IN" sz="2800">
            <a:solidFill>
              <a:schemeClr val="bg1"/>
            </a:solidFill>
            <a:latin typeface="Anton" pitchFamily="2" charset="0"/>
          </a:endParaRPr>
        </a:p>
      </xdr:txBody>
    </xdr:sp>
    <xdr:clientData/>
  </xdr:oneCellAnchor>
  <xdr:oneCellAnchor>
    <xdr:from>
      <xdr:col>19</xdr:col>
      <xdr:colOff>457200</xdr:colOff>
      <xdr:row>1</xdr:row>
      <xdr:rowOff>137160</xdr:rowOff>
    </xdr:from>
    <xdr:ext cx="1338006" cy="632866"/>
    <xdr:sp macro="" textlink="KPI!J20">
      <xdr:nvSpPr>
        <xdr:cNvPr id="44" name="TextBox 43">
          <a:extLst>
            <a:ext uri="{FF2B5EF4-FFF2-40B4-BE49-F238E27FC236}">
              <a16:creationId xmlns:a16="http://schemas.microsoft.com/office/drawing/2014/main" id="{B92C3DAA-D07E-D6FD-F167-89808EEFA7EA}"/>
            </a:ext>
          </a:extLst>
        </xdr:cNvPr>
        <xdr:cNvSpPr txBox="1"/>
      </xdr:nvSpPr>
      <xdr:spPr>
        <a:xfrm>
          <a:off x="12039600" y="320040"/>
          <a:ext cx="1338006" cy="6328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6BEC5B06-F53B-4F94-BEF0-D36818980929}" type="TxLink">
            <a:rPr lang="en-US" sz="2800" b="0" i="0" u="none" strike="noStrike">
              <a:solidFill>
                <a:schemeClr val="bg1"/>
              </a:solidFill>
              <a:latin typeface="Anton" pitchFamily="2" charset="0"/>
              <a:ea typeface="Calibri"/>
              <a:cs typeface="Calibri"/>
            </a:rPr>
            <a:pPr algn="ctr"/>
            <a:t>26%</a:t>
          </a:fld>
          <a:endParaRPr lang="en-IN" sz="2800">
            <a:solidFill>
              <a:schemeClr val="bg1"/>
            </a:solidFill>
            <a:latin typeface="Anton" pitchFamily="2"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nesh " refreshedDate="46160.492469444442" createdVersion="8" refreshedVersion="8" minRefreshableVersion="3" recordCount="1194" xr:uid="{600ED221-F1DB-4E68-B5B9-4395200A1A24}">
  <cacheSource type="worksheet">
    <worksheetSource name="sale"/>
  </cacheSource>
  <cacheFields count="17">
    <cacheField name="Order ID" numFmtId="0">
      <sharedItems count="547">
        <s v="B-26776"/>
        <s v="B-26942"/>
        <s v="B-26640"/>
        <s v="B-25890"/>
        <s v="B-25102"/>
        <s v="B-25426"/>
        <s v="B-25238"/>
        <s v="B-25051"/>
        <s v="B-26510"/>
        <s v="B-25104"/>
        <s v="B-25553"/>
        <s v="B-26703"/>
        <s v="B-26232"/>
        <s v="B-25394"/>
        <s v="B-26157"/>
        <s v="B-25555"/>
        <s v="B-26139"/>
        <s v="B-25032"/>
        <s v="B-25730"/>
        <s v="B-26470"/>
        <s v="B-25988"/>
        <s v="B-25568"/>
        <s v="B-26730"/>
        <s v="B-25372"/>
        <s v="B-26026"/>
        <s v="B-25295"/>
        <s v="B-26121"/>
        <s v="B-25560"/>
        <s v="B-26076"/>
        <s v="B-25872"/>
        <s v="B-26185"/>
        <s v="B-26259"/>
        <s v="B-25142"/>
        <s v="B-25326"/>
        <s v="B-26795"/>
        <s v="B-25660"/>
        <s v="B-25410"/>
        <s v="B-25690"/>
        <s v="B-26464"/>
        <s v="B-26454"/>
        <s v="B-26742"/>
        <s v="B-25510"/>
        <s v="B-25936"/>
        <s v="B-25884"/>
        <s v="B-26287"/>
        <s v="B-26564"/>
        <s v="B-26293"/>
        <s v="B-25915"/>
        <s v="B-26496"/>
        <s v="B-25856"/>
        <s v="B-26899"/>
        <s v="B-25916"/>
        <s v="B-26428"/>
        <s v="B-26332"/>
        <s v="B-25303"/>
        <s v="B-26507"/>
        <s v="B-25983"/>
        <s v="B-25156"/>
        <s v="B-26759"/>
        <s v="B-26244"/>
        <s v="B-26365"/>
        <s v="B-26212"/>
        <s v="B-25042"/>
        <s v="B-25901"/>
        <s v="B-26747"/>
        <s v="B-26698"/>
        <s v="B-25841"/>
        <s v="B-26032"/>
        <s v="B-25171"/>
        <s v="B-26939"/>
        <s v="B-26347"/>
        <s v="B-25388"/>
        <s v="B-26419"/>
        <s v="B-25157"/>
        <s v="B-25342"/>
        <s v="B-26165"/>
        <s v="B-26571"/>
        <s v="B-25400"/>
        <s v="B-25885"/>
        <s v="B-25004"/>
        <s v="B-26213"/>
        <s v="B-25025"/>
        <s v="B-26804"/>
        <s v="B-26797"/>
        <s v="B-26556"/>
        <s v="B-25861"/>
        <s v="B-25112"/>
        <s v="B-25223"/>
        <s v="B-25714"/>
        <s v="B-26607"/>
        <s v="B-25038"/>
        <s v="B-26672"/>
        <s v="B-25747"/>
        <s v="B-26322"/>
        <s v="B-26613"/>
        <s v="B-25413"/>
        <s v="B-26466"/>
        <s v="B-26610"/>
        <s v="B-26209"/>
        <s v="B-26622"/>
        <s v="B-26601"/>
        <s v="B-25894"/>
        <s v="B-26969"/>
        <s v="B-26312"/>
        <s v="B-26837"/>
        <s v="B-26166"/>
        <s v="B-25695"/>
        <s v="B-26068"/>
        <s v="B-26023"/>
        <s v="B-26677"/>
        <s v="B-25701"/>
        <s v="B-26523"/>
        <s v="B-25880"/>
        <s v="B-26898"/>
        <s v="B-26035"/>
        <s v="B-25573"/>
        <s v="B-25463"/>
        <s v="B-26277"/>
        <s v="B-26508"/>
        <s v="B-26723"/>
        <s v="B-25526"/>
        <s v="B-25645"/>
        <s v="B-25757"/>
        <s v="B-26716"/>
        <s v="B-25424"/>
        <s v="B-26453"/>
        <s v="B-26425"/>
        <s v="B-25843"/>
        <s v="B-25486"/>
        <s v="B-26975"/>
        <s v="B-26890"/>
        <s v="B-26125"/>
        <s v="B-26489"/>
        <s v="B-26043"/>
        <s v="B-26557"/>
        <s v="B-25243"/>
        <s v="B-26932"/>
        <s v="B-25241"/>
        <s v="B-25044"/>
        <s v="B-26137"/>
        <s v="B-25545"/>
        <s v="B-26800"/>
        <s v="B-26987"/>
        <s v="B-26144"/>
        <s v="B-25406"/>
        <s v="B-25658"/>
        <s v="B-25733"/>
        <s v="B-26993"/>
        <s v="B-26964"/>
        <s v="B-26955"/>
        <s v="B-26059"/>
        <s v="B-26806"/>
        <s v="B-26299"/>
        <s v="B-26743"/>
        <s v="B-26757"/>
        <s v="B-26772"/>
        <s v="B-26088"/>
        <s v="B-26319"/>
        <s v="B-25364"/>
        <s v="B-25655"/>
        <s v="B-26864"/>
        <s v="B-26019"/>
        <s v="B-25849"/>
        <s v="B-25829"/>
        <s v="B-26065"/>
        <s v="B-25267"/>
        <s v="B-25972"/>
        <s v="B-25511"/>
        <s v="B-25744"/>
        <s v="B-26805"/>
        <s v="B-25620"/>
        <s v="B-25325"/>
        <s v="B-25131"/>
        <s v="B-26654"/>
        <s v="B-26195"/>
        <s v="B-25842"/>
        <s v="B-25851"/>
        <s v="B-25427"/>
        <s v="B-26224"/>
        <s v="B-26896"/>
        <s v="B-26469"/>
        <s v="B-26219"/>
        <s v="B-26119"/>
        <s v="B-26988"/>
        <s v="B-25596"/>
        <s v="B-26845"/>
        <s v="B-25099"/>
        <s v="B-26153"/>
        <s v="B-25060"/>
        <s v="B-26572"/>
        <s v="B-25919"/>
        <s v="B-26978"/>
        <s v="B-26554"/>
        <s v="B-26883"/>
        <s v="B-25423"/>
        <s v="B-26324"/>
        <s v="B-26945"/>
        <s v="B-26405"/>
        <s v="B-26046"/>
        <s v="B-25746"/>
        <s v="B-25232"/>
        <s v="B-25591"/>
        <s v="B-26325"/>
        <s v="B-25251"/>
        <s v="B-25464"/>
        <s v="B-26678"/>
        <s v="B-25962"/>
        <s v="B-26586"/>
        <s v="B-26841"/>
        <s v="B-26284"/>
        <s v="B-26478"/>
        <s v="B-26679"/>
        <s v="B-26397"/>
        <s v="B-25957"/>
        <s v="B-26916"/>
        <s v="B-25925"/>
        <s v="B-25602"/>
        <s v="B-26592"/>
        <s v="B-26251"/>
        <s v="B-25979"/>
        <s v="B-25437"/>
        <s v="B-26986"/>
        <s v="B-25990"/>
        <s v="B-25222"/>
        <s v="B-26402"/>
        <s v="B-26792"/>
        <s v="B-25154"/>
        <s v="B-26114"/>
        <s v="B-26485"/>
        <s v="B-26191"/>
        <s v="B-26754"/>
        <s v="B-25953"/>
        <s v="B-26516"/>
        <s v="B-26843"/>
        <s v="B-26167"/>
        <s v="B-26972"/>
        <s v="B-25673"/>
        <s v="B-26587"/>
        <s v="B-26668"/>
        <s v="B-26906"/>
        <s v="B-25226"/>
        <s v="B-25166"/>
        <s v="B-25454"/>
        <s v="B-26215"/>
        <s v="B-25777"/>
        <s v="B-25383"/>
        <s v="B-26409"/>
        <s v="B-26684"/>
        <s v="B-26726"/>
        <s v="B-26136"/>
        <s v="B-26098"/>
        <s v="B-25430"/>
        <s v="B-25266"/>
        <s v="B-25283"/>
        <s v="B-25227"/>
        <s v="B-25669"/>
        <s v="B-25064"/>
        <s v="B-26268"/>
        <s v="B-25456"/>
        <s v="B-25495"/>
        <s v="B-26552"/>
        <s v="B-25203"/>
        <s v="B-25462"/>
        <s v="B-26145"/>
        <s v="B-25552"/>
        <s v="B-26069"/>
        <s v="B-25120"/>
        <s v="B-26146"/>
        <s v="B-25549"/>
        <s v="B-25488"/>
        <s v="B-26885"/>
        <s v="B-25703"/>
        <s v="B-25809"/>
        <s v="B-25477"/>
        <s v="B-26018"/>
        <s v="B-25329"/>
        <s v="B-25182"/>
        <s v="B-25492"/>
        <s v="B-25517"/>
        <s v="B-25200"/>
        <s v="B-26009"/>
        <s v="B-26580"/>
        <s v="B-25679"/>
        <s v="B-26034"/>
        <s v="B-25148"/>
        <s v="B-25830"/>
        <s v="B-25762"/>
        <s v="B-26794"/>
        <s v="B-25011"/>
        <s v="B-25515"/>
        <s v="B-25369"/>
        <s v="B-26222"/>
        <s v="B-25316"/>
        <s v="B-25507"/>
        <s v="B-25846"/>
        <s v="B-25763"/>
        <s v="B-25465"/>
        <s v="B-26352"/>
        <s v="B-26528"/>
        <s v="B-26670"/>
        <s v="B-25331"/>
        <s v="B-25832"/>
        <s v="B-25897"/>
        <s v="B-25713"/>
        <s v="B-25065"/>
        <s v="B-25949"/>
        <s v="B-26033"/>
        <s v="B-26017"/>
        <s v="B-26926"/>
        <s v="B-26258"/>
        <s v="B-26240"/>
        <s v="B-26922"/>
        <s v="B-26894"/>
        <s v="B-25330"/>
        <s v="B-26288"/>
        <s v="B-25228"/>
        <s v="B-26457"/>
        <s v="B-25790"/>
        <s v="B-25868"/>
        <s v="B-25381"/>
        <s v="B-25153"/>
        <s v="B-26576"/>
        <s v="B-26526"/>
        <s v="B-25819"/>
        <s v="B-25698"/>
        <s v="B-26820"/>
        <s v="B-25396"/>
        <s v="B-25529"/>
        <s v="B-26501"/>
        <s v="B-26910"/>
        <s v="B-25978"/>
        <s v="B-26537"/>
        <s v="B-25881"/>
        <s v="B-25237"/>
        <s v="B-26122"/>
        <s v="B-25709"/>
        <s v="B-26656"/>
        <s v="B-25801"/>
        <s v="B-25006"/>
        <s v="B-26106"/>
        <s v="B-25789"/>
        <s v="B-26292"/>
        <s v="B-25895"/>
        <s v="B-25813"/>
        <s v="B-26863"/>
        <s v="B-25759"/>
        <s v="B-26357"/>
        <s v="B-26819"/>
        <s v="B-25502"/>
        <s v="B-25258"/>
        <s v="B-26878"/>
        <s v="B-25170"/>
        <s v="B-26842"/>
        <s v="B-26599"/>
        <s v="B-25705"/>
        <s v="B-26366"/>
        <s v="B-26116"/>
        <s v="B-26443"/>
        <s v="B-25955"/>
        <s v="B-26383"/>
        <s v="B-26999"/>
        <s v="B-26712"/>
        <s v="B-26066"/>
        <s v="B-25996"/>
        <s v="B-26924"/>
        <s v="B-25541"/>
        <s v="B-25196"/>
        <s v="B-25855"/>
        <s v="B-25071"/>
        <s v="B-26159"/>
        <s v="B-26228"/>
        <s v="B-25888"/>
        <s v="B-25574"/>
        <s v="B-26938"/>
        <s v="B-26379"/>
        <s v="B-26623"/>
        <s v="B-25566"/>
        <s v="B-26740"/>
        <s v="B-25024"/>
        <s v="B-26367"/>
        <s v="B-26353"/>
        <s v="B-25742"/>
        <s v="B-26965"/>
        <s v="B-26038"/>
        <s v="B-25317"/>
        <s v="B-25970"/>
        <s v="B-25590"/>
        <s v="B-25580"/>
        <s v="B-25443"/>
        <s v="B-25774"/>
        <s v="B-26505"/>
        <s v="B-25163"/>
        <s v="B-26095"/>
        <s v="B-25768"/>
        <s v="B-25328"/>
        <s v="B-26573"/>
        <s v="B-25138"/>
        <s v="B-26803"/>
        <s v="B-25101"/>
        <s v="B-25827"/>
        <s v="B-25792"/>
        <s v="B-25646"/>
        <s v="B-25043"/>
        <s v="B-26598"/>
        <s v="B-26643"/>
        <s v="B-25992"/>
        <s v="B-25532"/>
        <s v="B-25564"/>
        <s v="B-26543"/>
        <s v="B-25976"/>
        <s v="B-25929"/>
        <s v="B-25497"/>
        <s v="B-26735"/>
        <s v="B-25036"/>
        <s v="B-25971"/>
        <s v="B-25441"/>
        <s v="B-25823"/>
        <s v="B-25363"/>
        <s v="B-26445"/>
        <s v="B-26724"/>
        <s v="B-25447"/>
        <s v="B-26904"/>
        <s v="B-26456"/>
        <s v="B-25435"/>
        <s v="B-26279"/>
        <s v="B-25770"/>
        <s v="B-25715"/>
        <s v="B-26961"/>
        <s v="B-25902"/>
        <s v="B-26321"/>
        <s v="B-25612"/>
        <s v="B-25605"/>
        <s v="B-25810"/>
        <s v="B-25935"/>
        <s v="B-26245"/>
        <s v="B-25346"/>
        <s v="B-25594"/>
        <s v="B-25471"/>
        <s v="B-25398"/>
        <s v="B-25999"/>
        <s v="B-25159"/>
        <s v="B-25496"/>
        <s v="B-25401"/>
        <s v="B-25707"/>
        <s v="B-26225"/>
        <s v="B-25662"/>
        <s v="B-26752"/>
        <s v="B-25640"/>
        <s v="B-25030"/>
        <s v="B-25504"/>
        <s v="B-26912"/>
        <s v="B-25193"/>
        <s v="B-25106"/>
        <s v="B-26835"/>
        <s v="B-25836"/>
        <s v="B-26661"/>
        <s v="B-26317"/>
        <s v="B-26839"/>
        <s v="B-25735"/>
        <s v="B-25387"/>
        <s v="B-25192"/>
        <s v="B-26844"/>
        <s v="B-25236"/>
        <s v="B-25940"/>
        <s v="B-26765"/>
        <s v="B-26817"/>
        <s v="B-26522"/>
        <s v="B-25681"/>
        <s v="B-25382"/>
        <s v="B-25944"/>
        <s v="B-26980"/>
        <s v="B-25780"/>
        <s v="B-25964"/>
        <s v="B-26767"/>
        <s v="B-25501"/>
        <s v="B-26029"/>
        <s v="B-25292"/>
        <s v="B-25873"/>
        <s v="B-25444"/>
        <s v="B-26796"/>
        <s v="B-25537"/>
        <s v="B-26083"/>
        <s v="B-25298"/>
        <s v="B-26734"/>
        <s v="B-25483"/>
        <s v="B-26041"/>
        <s v="B-26750"/>
        <s v="B-26138"/>
        <s v="B-26929"/>
        <s v="B-25359"/>
        <s v="B-25738"/>
        <s v="B-25931"/>
        <s v="B-25706"/>
        <s v="B-25352"/>
        <s v="B-26909"/>
        <s v="B-26296"/>
        <s v="B-26112"/>
        <s v="B-26790"/>
        <s v="B-25986"/>
        <s v="B-25630"/>
        <s v="B-26872"/>
        <s v="B-25870"/>
        <s v="B-25991"/>
        <s v="B-25198"/>
        <s v="B-25189"/>
        <s v="B-26563"/>
        <s v="B-25548"/>
        <s v="B-25965"/>
        <s v="B-26545"/>
        <s v="B-26603"/>
        <s v="B-26393"/>
        <s v="B-26628"/>
        <s v="B-25945"/>
        <s v="B-26565"/>
        <s v="B-25684"/>
        <s v="B-26612"/>
        <s v="B-25839"/>
        <s v="B-25898"/>
        <s v="B-26120"/>
        <s v="B-26426"/>
        <s v="B-26309"/>
        <s v="B-26789"/>
        <s v="B-26420"/>
        <s v="B-26257"/>
        <s v="B-25603"/>
        <s v="B-25010"/>
        <s v="B-25889"/>
        <s v="B-26675"/>
        <s v="B-26168"/>
        <s v="B-25436"/>
        <s v="B-25794"/>
        <s v="B-26495"/>
        <s v="B-25815"/>
        <s v="B-25022"/>
        <s v="B-26928"/>
        <s v="B-25905"/>
        <s v="B-26739"/>
        <s v="B-25697"/>
        <s v="B-25234"/>
        <s v="B-25665"/>
        <s v="B-25028"/>
        <s v="B-26659"/>
        <s v="B-25966"/>
        <s v="B-25350"/>
        <s v="B-26370"/>
        <s v="B-26298"/>
        <s v="B-25068"/>
      </sharedItems>
    </cacheField>
    <cacheField name="Amount" numFmtId="0">
      <sharedItems containsSemiMixedTypes="0" containsString="0" containsNumber="1" containsInteger="1" minValue="508" maxValue="9992"/>
    </cacheField>
    <cacheField name="Profit" numFmtId="0">
      <sharedItems containsSemiMixedTypes="0" containsString="0" containsNumber="1" containsInteger="1" minValue="50" maxValue="4930"/>
    </cacheField>
    <cacheField name="Quantity" numFmtId="0">
      <sharedItems containsSemiMixedTypes="0" containsString="0" containsNumber="1" containsInteger="1" minValue="1" maxValue="20"/>
    </cacheField>
    <cacheField name="Category" numFmtId="0">
      <sharedItems count="3">
        <s v="Electronics"/>
        <s v="Office Supplies"/>
        <s v="Furniture"/>
      </sharedItems>
    </cacheField>
    <cacheField name="Sub-Category" numFmtId="0">
      <sharedItems count="12">
        <s v="Electronic Games"/>
        <s v="Printers"/>
        <s v="Pens"/>
        <s v="Laptops"/>
        <s v="Tables"/>
        <s v="Chairs"/>
        <s v="Markers"/>
        <s v="Sofas"/>
        <s v="Paper"/>
        <s v="Binders"/>
        <s v="Phones"/>
        <s v="Bookcases"/>
      </sharedItems>
    </cacheField>
    <cacheField name="PaymentMode" numFmtId="0">
      <sharedItems count="5">
        <s v="UPI"/>
        <s v="Debit Card"/>
        <s v="EMI"/>
        <s v="Credit Card"/>
        <s v="COD"/>
      </sharedItems>
    </cacheField>
    <cacheField name="Order Date" numFmtId="14">
      <sharedItems containsSemiMixedTypes="0" containsNonDate="0" containsDate="1" containsString="0" minDate="2020-03-22T00:00:00" maxDate="2025-03-16T00:00:00"/>
    </cacheField>
    <cacheField name="CustomerName" numFmtId="0">
      <sharedItems count="802">
        <s v="David Padilla"/>
        <s v="Connor Morgan"/>
        <s v="Robert Stone"/>
        <s v="John Fields"/>
        <s v="Clayton Smith"/>
        <s v="Richard Kelley"/>
        <s v="Jacqueline Hubbard"/>
        <s v="Jessica Anderson"/>
        <s v="Mary Taylor"/>
        <s v="Walter Crawford"/>
        <s v="Lawrence Robinson"/>
        <s v="Douglas Pennington"/>
        <s v="Ricardo Andrews"/>
        <s v="Paul Raymond"/>
        <s v="Karen Johnson"/>
        <s v="Juan Erickson"/>
        <s v="Alexander Reed"/>
        <s v="Jacqueline Harris"/>
        <s v="Tyler Park"/>
        <s v="Richard Wolfe"/>
        <s v="Sierra Rios"/>
        <s v="Jessica Richardson"/>
        <s v="Kimberly Warren"/>
        <s v="Casey Garcia"/>
        <s v="Denise Hampton"/>
        <s v="Justin Rodriguez"/>
        <s v="Ms. Emily Baxter"/>
        <s v="Austin White"/>
        <s v="Morgan Montes"/>
        <s v="Christine Mosley"/>
        <s v="Ashley Rodriguez"/>
        <s v="Elizabeth King"/>
        <s v="Connie Holmes"/>
        <s v="Melissa Peck"/>
        <s v="David Smith"/>
        <s v="Heather Jenkins"/>
        <s v="Kelsey Castaneda"/>
        <s v="Katherine Harris"/>
        <s v="Paul Rogers"/>
        <s v="Jon Banks"/>
        <s v="Michelle Williams"/>
        <s v="Andrew Allen"/>
        <s v="Vanessa Bauer"/>
        <s v="Sean Smith"/>
        <s v="Shelly Sweeney"/>
        <s v="Emily Gill"/>
        <s v="Brian Patrick"/>
        <s v="Dr. Sarah Booth"/>
        <s v="Douglas Mcfarland"/>
        <s v="Kayla Ross"/>
        <s v="Marc Strickland"/>
        <s v="Charlene Brown"/>
        <s v="Charles Smith"/>
        <s v="Karen Townsend"/>
        <s v="Steven Cox"/>
        <s v="Cynthia Rodriguez"/>
        <s v="Jessica Baker"/>
        <s v="Mark Blackburn"/>
        <s v="Zachary Perez"/>
        <s v="Brian Green"/>
        <s v="Becky Leach"/>
        <s v="Bryan Russell"/>
        <s v="Tony Maddox"/>
        <s v="Jason Randolph"/>
        <s v="Laura Andrews"/>
        <s v="Mrs. Stephanie Hooper"/>
        <s v="Anthony Evans"/>
        <s v="Patrick Williams"/>
        <s v="Susan Burke"/>
        <s v="Brent Hernandez"/>
        <s v="Sean Elliott"/>
        <s v="Wanda West"/>
        <s v="Renee Solomon"/>
        <s v="Daryl Miles"/>
        <s v="Michael Hunt"/>
        <s v="Adam Clark"/>
        <s v="Amy Olsen"/>
        <s v="Stacey Miller"/>
        <s v="Daniel Mosley"/>
        <s v="Monica Gibson"/>
        <s v="Christopher Jordan"/>
        <s v="Christina Davis"/>
        <s v="Claudia Curry"/>
        <s v="Brandon Anderson"/>
        <s v="George Foster"/>
        <s v="Nicholas Anderson"/>
        <s v="Emily Ellison"/>
        <s v="Darren Perez"/>
        <s v="Michelle Hunter"/>
        <s v="Janet Guerrero"/>
        <s v="Jeffrey Kline"/>
        <s v="Ryan Bullock"/>
        <s v="Tom Lawson"/>
        <s v="Rebecca Smith"/>
        <s v="William Welch"/>
        <s v="Mr. Curtis Bailey"/>
        <s v="Janet Carlson"/>
        <s v="Spencer Spears"/>
        <s v="Jeffrey Middleton"/>
        <s v="Veronica Kelley"/>
        <s v="Leslie Bean"/>
        <s v="Amy Wilson"/>
        <s v="Susan Ramirez"/>
        <s v="Jacob Meyer"/>
        <s v="Scott Lewis"/>
        <s v="Eric Griffith"/>
        <s v="Anna Ferguson"/>
        <s v="David Figueroa"/>
        <s v="Theresa Medina"/>
        <s v="Mary Smith"/>
        <s v="Lance Cain"/>
        <s v="Alexandra Moran"/>
        <s v="Sara Castro"/>
        <s v="Shawn Leach"/>
        <s v="Mark Boyle"/>
        <s v="John Stevens"/>
        <s v="Lisa Graham"/>
        <s v="Nancy Jones"/>
        <s v="Darryl Robbins"/>
        <s v="Kimberly Smith"/>
        <s v="Maria Thomas"/>
        <s v="Nicholas Johnson"/>
        <s v="Dawn Howard"/>
        <s v="Jennifer Marshall"/>
        <s v="Frank Garcia"/>
        <s v="Terri Madden"/>
        <s v="James Gutierrez"/>
        <s v="Morgan Sellers"/>
        <s v="Caitlin Thomas"/>
        <s v="Kimberly Greene"/>
        <s v="Tammy Anthony"/>
        <s v="Jennifer Chase"/>
        <s v="Cassandra Farley"/>
        <s v="Justin Vasquez"/>
        <s v="Melissa Morales"/>
        <s v="Tyler Thompson"/>
        <s v="Heidi Davis"/>
        <s v="Charles Lane"/>
        <s v="Joyce Good MD"/>
        <s v="Maria Miller"/>
        <s v="Terry Mcdaniel"/>
        <s v="Lisa Jacobs"/>
        <s v="Jeff Duncan"/>
        <s v="Pamela Jones"/>
        <s v="Renee Robinson"/>
        <s v="Jessica Kidd"/>
        <s v="Nicholas Martin"/>
        <s v="David Brown"/>
        <s v="Amber Moore"/>
        <s v="James Williams"/>
        <s v="Karina Barr"/>
        <s v="Meghan Rush"/>
        <s v="Bianca Brown"/>
        <s v="Timothy Jensen"/>
        <s v="Melinda Montoya"/>
        <s v="Tammy Bell"/>
        <s v="Connie Richards"/>
        <s v="Peter Ward"/>
        <s v="Jonathan Alvarez"/>
        <s v="Becky Hodges"/>
        <s v="Larry Hill"/>
        <s v="Amber Moon"/>
        <s v="Cynthia Wilcox"/>
        <s v="Rebecca Wright"/>
        <s v="Sarah Flores"/>
        <s v="Carol Norman"/>
        <s v="Stephanie Gardner"/>
        <s v="Philip Baker"/>
        <s v="Randall Dennis"/>
        <s v="Suzanne Cross"/>
        <s v="Jasmine Delgado"/>
        <s v="Kristen Harper"/>
        <s v="Kaitlyn Graham MD"/>
        <s v="Dean Avila"/>
        <s v="Megan Mack"/>
        <s v="Heather Johnson"/>
        <s v="Tina Davies"/>
        <s v="Matthew Harris"/>
        <s v="Christopher Kirk"/>
        <s v="Eric Stevens"/>
        <s v="James Dickerson"/>
        <s v="James Jones"/>
        <s v="Hannah Hendricks"/>
        <s v="Brett Mullins"/>
        <s v="Ms. Kim Jordan"/>
        <s v="Marcus Santiago"/>
        <s v="Jill Perez"/>
        <s v="Courtney Williams"/>
        <s v="Jordan Hahn"/>
        <s v="William Cook"/>
        <s v="Stephanie Hayes"/>
        <s v="Melissa Wise"/>
        <s v="Elizabeth Gonzalez"/>
        <s v="Mr. Eric Lopez"/>
        <s v="Benjamin Higgins"/>
        <s v="Brett Sutton"/>
        <s v="Anna Blackburn"/>
        <s v="Michelle Bailey"/>
        <s v="Sara Peterson"/>
        <s v="Katherine Williams"/>
        <s v="Cory Evans"/>
        <s v="Michael Rodriguez"/>
        <s v="John Munoz"/>
        <s v="David Clark"/>
        <s v="April Welch"/>
        <s v="Alan Livingston"/>
        <s v="Angela Jackson"/>
        <s v="Amy Williams"/>
        <s v="Laura Jordan"/>
        <s v="Richard Maynard"/>
        <s v="Lawrence Oliver"/>
        <s v="Anthony Williams"/>
        <s v="Lynn Matthews"/>
        <s v="Andrew Griffin"/>
        <s v="Megan Williams"/>
        <s v="Alison Martin"/>
        <s v="Samuel Wallace"/>
        <s v="Manuel Stark"/>
        <s v="William Villarreal"/>
        <s v="Brandon Kirk"/>
        <s v="Abigail Brown"/>
        <s v="Kristine Carter"/>
        <s v="Wesley Deleon"/>
        <s v="Laura Cole"/>
        <s v="Lauren Harris"/>
        <s v="Cameron Miller"/>
        <s v="Jacob Carpenter"/>
        <s v="Pamela Callahan DVM"/>
        <s v="William Ruiz"/>
        <s v="Paula Marshall"/>
        <s v="Natalie Cox"/>
        <s v="Andrew Fernandez"/>
        <s v="Alisha Saunders"/>
        <s v="Travis Chandler DDS"/>
        <s v="Russell Austin"/>
        <s v="Collin Cameron"/>
        <s v="Elizabeth Hernandez"/>
        <s v="William Russell"/>
        <s v="Sheri Berg"/>
        <s v="Anthony Barnett"/>
        <s v="Kaitlyn Flores"/>
        <s v="Rebecca Owen"/>
        <s v="Michael Bell"/>
        <s v="Willie Huynh"/>
        <s v="Samuel Hayes"/>
        <s v="Sherry Tran"/>
        <s v="Heather Gray"/>
        <s v="Benjamin Meadows"/>
        <s v="Micheal Graham"/>
        <s v="Jean Jackson"/>
        <s v="Timothy Murphy"/>
        <s v="Mrs. Jennifer Lewis"/>
        <s v="Bryan Brown"/>
        <s v="Christopher Johnson"/>
        <s v="Christina Conner"/>
        <s v="Luis Luna"/>
        <s v="Julie Chavez"/>
        <s v="Richard Blair"/>
        <s v="Mitchell Lester"/>
        <s v="Mr. John Tyler PhD"/>
        <s v="Juan Kelly"/>
        <s v="Morgan Mccarthy"/>
        <s v="Morgan Sullivan"/>
        <s v="Eric Clark"/>
        <s v="Mark Padilla"/>
        <s v="Anthony Lane"/>
        <s v="Jeffrey Henderson"/>
        <s v="Michelle Hardy"/>
        <s v="Ms. Barbara Cervantes"/>
        <s v="Steven Proctor"/>
        <s v="Shannon Patterson"/>
        <s v="William Valdez"/>
        <s v="Laura Yu"/>
        <s v="Jonathan Mcmillan"/>
        <s v="Austin Davis"/>
        <s v="Mark Roy"/>
        <s v="Jillian Williams"/>
        <s v="Rebekah Carter"/>
        <s v="Jonathan Reed"/>
        <s v="Roger Harris"/>
        <s v="Louis Jimenez"/>
        <s v="Jessica Jones"/>
        <s v="Renee Gomez"/>
        <s v="Connie Olson"/>
        <s v="Christian Jones"/>
        <s v="Matthew Kelley"/>
        <s v="Candace Martinez"/>
        <s v="Jacob Mann"/>
        <s v="Keith Reese"/>
        <s v="Aaron Jones"/>
        <s v="Christopher Brooks"/>
        <s v="Charles Moore"/>
        <s v="Manuel Walls"/>
        <s v="Darren Moore"/>
        <s v="Stephanie Thomas"/>
        <s v="Kristy Hernandez"/>
        <s v="Randy Johnson"/>
        <s v="James Benitez"/>
        <s v="Donald York"/>
        <s v="Tiffany Parker"/>
        <s v="Melissa Mcknight"/>
        <s v="Mr. Jack Mercado"/>
        <s v="Rachel Fisher"/>
        <s v="Donald Moore"/>
        <s v="William Wu"/>
        <s v="Jesus Zuniga"/>
        <s v="Michael Gallegos"/>
        <s v="Robert Daniels"/>
        <s v="Jill Jones"/>
        <s v="Elizabeth Miller"/>
        <s v="Sabrina Clark"/>
        <s v="Larry Casey"/>
        <s v="Daniel Burns"/>
        <s v="James Tanner"/>
        <s v="Leonard Gonzalez"/>
        <s v="Richard Lee"/>
        <s v="Matthew Schroeder"/>
        <s v="Marcus Flores"/>
        <s v="Tonya Long"/>
        <s v="Michael Chambers"/>
        <s v="Kaylee Glover"/>
        <s v="Pamela Patterson"/>
        <s v="Ronald Mckinney"/>
        <s v="James Hart"/>
        <s v="Rhonda Harris"/>
        <s v="Randy Fisher"/>
        <s v="James Hernandez"/>
        <s v="Brenda Murphy"/>
        <s v="Andrew Kirby"/>
        <s v="Justin Thomas"/>
        <s v="Jillian Johnson MD"/>
        <s v="William Martin"/>
        <s v="Mark Dixon"/>
        <s v="Alicia Allen"/>
        <s v="Cynthia Meyer"/>
        <s v="Brandon Norton"/>
        <s v="Christina Scott"/>
        <s v="Andrew Macias"/>
        <s v="Alejandro Williams"/>
        <s v="Mark Rodriguez"/>
        <s v="Sarah Montgomery"/>
        <s v="Marisa Prince"/>
        <s v="James Bonilla"/>
        <s v="Robin Myers"/>
        <s v="Nancy Sanchez"/>
        <s v="Sydney Walls"/>
        <s v="Deborah Hoffman"/>
        <s v="Shane Clark"/>
        <s v="Steven Haynes"/>
        <s v="Kimberly Fuller"/>
        <s v="Angela Lyons"/>
        <s v="Betty Tucker"/>
        <s v="Brianna Hunt"/>
        <s v="Cathy Clark"/>
        <s v="Nicole Warren"/>
        <s v="Richard Castaneda"/>
        <s v="Sarah Torres"/>
        <s v="Vanessa Deleon"/>
        <s v="Richard Lyons"/>
        <s v="Eric Adams"/>
        <s v="Chad Brown"/>
        <s v="Kayla Becker"/>
        <s v="Ashley Freeman"/>
        <s v="Scott Harris"/>
        <s v="John James"/>
        <s v="Jesse Bond"/>
        <s v="Brandon Hughes"/>
        <s v="Lynn Reynolds"/>
        <s v="Ronald Good"/>
        <s v="Kyle Baker"/>
        <s v="Michael Rivera"/>
        <s v="Lori Adkins"/>
        <s v="Luis Warner"/>
        <s v="Donald Perry"/>
        <s v="Adam Stevens"/>
        <s v="Kimberly Johnson"/>
        <s v="Kelly Jones"/>
        <s v="Ashley Petty"/>
        <s v="Crystal Ross"/>
        <s v="Alexis Duffy"/>
        <s v="Stephanie Sanchez"/>
        <s v="Reginald Espinoza"/>
        <s v="Sandra Hicks"/>
        <s v="Olivia Orozco"/>
        <s v="Larry Moore"/>
        <s v="Mrs. Rachel Cannon DDS"/>
        <s v="Daniel Flowers"/>
        <s v="Randy Acosta"/>
        <s v="Deborah Williams"/>
        <s v="Robert Michael"/>
        <s v="Danny Ramirez"/>
        <s v="Stephen Baker"/>
        <s v="Jeffrey Wilcox"/>
        <s v="James Clarke"/>
        <s v="Julia Gallagher"/>
        <s v="Ronald Frey Jr."/>
        <s v="Megan Charles"/>
        <s v="Amy Duran MD"/>
        <s v="Christopher Thomas"/>
        <s v="Peter Castro"/>
        <s v="Steven Acosta"/>
        <s v="Lindsay Jackson"/>
        <s v="Kelly Smith"/>
        <s v="Sabrina Hartman"/>
        <s v="Cynthia Smith"/>
        <s v="Olivia Dickerson"/>
        <s v="Whitney Stout"/>
        <s v="Stephanie Flores"/>
        <s v="Gregory English"/>
        <s v="Natalie Maxwell"/>
        <s v="Tina Blake"/>
        <s v="Clarence Cooke"/>
        <s v="Tamara Guzman"/>
        <s v="Marissa Hartman"/>
        <s v="Sara Garcia"/>
        <s v="Kathryn Rogers"/>
        <s v="Kyle Dickson"/>
        <s v="Jacob Decker"/>
        <s v="Aaron Johnson"/>
        <s v="William Morse"/>
        <s v="Carrie Smith"/>
        <s v="Vincent Roth"/>
        <s v="Andrew Benson"/>
        <s v="Jason Wilson"/>
        <s v="Colin Patterson"/>
        <s v="Eric Bates"/>
        <s v="Steven Keith"/>
        <s v="Seth Rodriguez"/>
        <s v="Lauren Jones"/>
        <s v="Thomas Wallace"/>
        <s v="Mr. Daniel Wilson"/>
        <s v="Julie Smith MD"/>
        <s v="Carol Mitchell"/>
        <s v="John Thompson"/>
        <s v="Debra Rodriguez"/>
        <s v="Erin Vasquez"/>
        <s v="Clayton Lara"/>
        <s v="Tony Ray"/>
        <s v="Steven Frey"/>
        <s v="Stephanie Leonard"/>
        <s v="Crystal Chambers"/>
        <s v="Robert White"/>
        <s v="Sylvia Barron"/>
        <s v="Marcus Brown"/>
        <s v="Annette Pierce"/>
        <s v="Donald Hernandez"/>
        <s v="Megan Davis"/>
        <s v="Robert Brooks"/>
        <s v="Miguel Alvarez"/>
        <s v="Jennifer Arnold"/>
        <s v="Jessica Blankenship"/>
        <s v="Peggy Campos"/>
        <s v="Craig Ortega"/>
        <s v="Johnny Simon"/>
        <s v="Keith Brooks"/>
        <s v="Jason Martinez"/>
        <s v="Steven Herrera"/>
        <s v="Beverly Lamb"/>
        <s v="Michael Williams"/>
        <s v="Zachary Carpenter"/>
        <s v="Timothy Baker"/>
        <s v="Adam James"/>
        <s v="Katrina Wood"/>
        <s v="James Murray"/>
        <s v="Mr. Nathaniel Reeves"/>
        <s v="Jodi Wood"/>
        <s v="Dr. Thomas Peterson"/>
        <s v="Mario Hall"/>
        <s v="Justin Rosales"/>
        <s v="Autumn Lee"/>
        <s v="Victoria Duran"/>
        <s v="Barry Garcia"/>
        <s v="Dawn Webb"/>
        <s v="Patricia Sanford"/>
        <s v="William Walters"/>
        <s v="Emma Scott"/>
        <s v="Sabrina Buckley"/>
        <s v="Robert Rojas"/>
        <s v="Eric Johnson"/>
        <s v="Heather Parker"/>
        <s v="Thomas Matthews"/>
        <s v="Kimberly Beard"/>
        <s v="Lydia Donovan"/>
        <s v="Edward Johnson"/>
        <s v="Ricky Smith"/>
        <s v="Mr. Ralph Garcia Jr."/>
        <s v="Malik Walker"/>
        <s v="Tanya Walker"/>
        <s v="Sherri Ferguson DVM"/>
        <s v="Kristin Hart"/>
        <s v="Jim Johnson"/>
        <s v="David Hamilton"/>
        <s v="Michael Jimenez"/>
        <s v="Angela Norman"/>
        <s v="Denise Mcdaniel"/>
        <s v="Matthew Huff"/>
        <s v="Linda Little"/>
        <s v="Kerri Andrews"/>
        <s v="Jeffrey Johnson III"/>
        <s v="Daniel Dixon"/>
        <s v="Tiffany Robinson"/>
        <s v="Mr. Gregg Sawyer"/>
        <s v="John Silva"/>
        <s v="Nathan Moss"/>
        <s v="Donald Medina"/>
        <s v="Charles Henderson"/>
        <s v="Brenda Davis"/>
        <s v="Leah Calderon"/>
        <s v="Brandi Vasquez"/>
        <s v="Debra Richards"/>
        <s v="Tammy Day"/>
        <s v="Sheila Clay"/>
        <s v="Nicholas Flores"/>
        <s v="Jasmin Jones"/>
        <s v="Matthew Gardner"/>
        <s v="Joseph Perkins"/>
        <s v="Ashley Adams MD"/>
        <s v="Cheryl Stevens"/>
        <s v="Jorge George"/>
        <s v="Ann Mooney"/>
        <s v="James Mendoza"/>
        <s v="Kaitlin Garrison"/>
        <s v="Jeremy Jackson"/>
        <s v="Dale Craig"/>
        <s v="Joseph Hooper"/>
        <s v="Alexander Adams"/>
        <s v="Ashlee Mills"/>
        <s v="Brittany Jenkins"/>
        <s v="Eddie Gonzales"/>
        <s v="Edward Valencia"/>
        <s v="Emma Bruce"/>
        <s v="Carl Wade DDS"/>
        <s v="Brandon Alvarado"/>
        <s v="Jennifer Clark"/>
        <s v="David Johnson"/>
        <s v="April Marquez"/>
        <s v="Joseph Guerrero"/>
        <s v="Michael Hanson"/>
        <s v="William Hill"/>
        <s v="Kelsey Huber"/>
        <s v="Hailey Chandler"/>
        <s v="Cheyenne Rose"/>
        <s v="Richard Petersen"/>
        <s v="Kathryn Gray"/>
        <s v="Victor Collins"/>
        <s v="Jason Hernandez"/>
        <s v="Jacob Torres"/>
        <s v="Erin Hernandez"/>
        <s v="Jacob Guzman"/>
        <s v="Mike Armstrong"/>
        <s v="Cindy Rowland"/>
        <s v="Kenneth Matthews"/>
        <s v="Susan Valdez"/>
        <s v="Stephanie Manning"/>
        <s v="Logan Galloway"/>
        <s v="Christopher Stone"/>
        <s v="Megan Pitts"/>
        <s v="Richard Gardner"/>
        <s v="Samuel Moore"/>
        <s v="Robert Stokes"/>
        <s v="Danielle Ramirez"/>
        <s v="Taylor White"/>
        <s v="Jordan Krause"/>
        <s v="Kimberly King"/>
        <s v="Sharon Russell"/>
        <s v="Kevin Cooper"/>
        <s v="Darrell Ramos"/>
        <s v="Dr. Terry Alvarado"/>
        <s v="Kathy Wilson"/>
        <s v="Brandon Le"/>
        <s v="Mary Wright"/>
        <s v="Douglas Reynolds"/>
        <s v="Leroy Harris"/>
        <s v="Ricardo Dixon"/>
        <s v="Debra Smith"/>
        <s v="Jasmine James"/>
        <s v="Felicia Morton"/>
        <s v="Sylvia Jenkins"/>
        <s v="Elizabeth White"/>
        <s v="Steven Steele"/>
        <s v="Amanda Ramirez"/>
        <s v="Kyle Jackson"/>
        <s v="Sharon Wilkins"/>
        <s v="Austin Hammond"/>
        <s v="Jessica Barajas"/>
        <s v="Jamie Jimenez"/>
        <s v="James Carter"/>
        <s v="John Williams"/>
        <s v="Alicia Oneill"/>
        <s v="Rebecca Huff"/>
        <s v="Diana Scott"/>
        <s v="Brian Young"/>
        <s v="Susan Wright"/>
        <s v="Kayla Banks"/>
        <s v="Zachary Pierce"/>
        <s v="Nicolas Owen"/>
        <s v="Martha Carney"/>
        <s v="Francisco Hicks"/>
        <s v="Matthew Parker"/>
        <s v="Paul Bryant"/>
        <s v="Bruce Dennis"/>
        <s v="Joseph Bates"/>
        <s v="Kelly Pacheco"/>
        <s v="Jeffrey Weber"/>
        <s v="Andrew Krueger"/>
        <s v="Kathleen Cox"/>
        <s v="Jamie Bradley"/>
        <s v="Robert Martinez"/>
        <s v="Christopher Rogers"/>
        <s v="Roberto Parrish"/>
        <s v="Amber Kennedy"/>
        <s v="Maria Davis"/>
        <s v="Terry Gilbert"/>
        <s v="Devon Schmitt"/>
        <s v="Robert Mosley"/>
        <s v="Paul Scott"/>
        <s v="Kristin Alvarez"/>
        <s v="Kevin Jackson"/>
        <s v="Mrs. Lauren Potter DDS"/>
        <s v="Jason Brown"/>
        <s v="Jamie Santos"/>
        <s v="James Taylor"/>
        <s v="Alicia Vincent"/>
        <s v="Kenneth Adams"/>
        <s v="Shelby Browning"/>
        <s v="Johnny Hill"/>
        <s v="Nicholas Tucker"/>
        <s v="Theresa Cline"/>
        <s v="Christine Wheeler"/>
        <s v="Carlos Wells"/>
        <s v="Randall Bell"/>
        <s v="Kendra Mckinney"/>
        <s v="Amanda Kim"/>
        <s v="Megan Morgan"/>
        <s v="Vincent Kramer"/>
        <s v="Raymond Bean"/>
        <s v="Reginald Hebert"/>
        <s v="Jeremy Vazquez"/>
        <s v="Michael Stewart"/>
        <s v="Kevin Johnson"/>
        <s v="Tara Hughes"/>
        <s v="Sandra Perkins"/>
        <s v="Heather Bell"/>
        <s v="Nancy Boyd"/>
        <s v="Raymond Reyes"/>
        <s v="Cassandra Jordan"/>
        <s v="Evelyn Harris"/>
        <s v="Shannon Maynard"/>
        <s v="Marie James"/>
        <s v="Maria Carroll"/>
        <s v="Jessica Sloan"/>
        <s v="Scott Craig"/>
        <s v="Kaitlin Brown"/>
        <s v="William Beck"/>
        <s v="Eric Mason"/>
        <s v="Lisa Lowe"/>
        <s v="Roy Miller"/>
        <s v="Christopher Espinoza"/>
        <s v="Claire Cole"/>
        <s v="Eric Nunez"/>
        <s v="David Bell"/>
        <s v="Patrick Hensley MD"/>
        <s v="John Cox"/>
        <s v="Michelle Sullivan"/>
        <s v="Angela Todd"/>
        <s v="Luke Saunders"/>
        <s v="Dr. Jennifer Benton DVM"/>
        <s v="Keith Smith"/>
        <s v="Danielle Mitchell"/>
        <s v="Jesus Hernandez"/>
        <s v="Jason Norman"/>
        <s v="Laura Poole"/>
        <s v="Sarah Wagner"/>
        <s v="Bryan Baird"/>
        <s v="Amy Thompson"/>
        <s v="Ashley Wright"/>
        <s v="Michelle Lynch"/>
        <s v="Ryan Hale"/>
        <s v="Marie Jefferson"/>
        <s v="Vanessa Smith"/>
        <s v="Ryan Foster"/>
        <s v="David Lara"/>
        <s v="Jonathan Young"/>
        <s v="Debra Townsend"/>
        <s v="John Thomas"/>
        <s v="Bryan Anderson"/>
        <s v="Sarah Miller"/>
        <s v="Robert Hill"/>
        <s v="Joshua Rojas"/>
        <s v="Angelica Lewis"/>
        <s v="Jessica Russell"/>
        <s v="Mary Johnson"/>
        <s v="Joseph Knight"/>
        <s v="Jessica Greene"/>
        <s v="Vincent Perez"/>
        <s v="Dennis Rivera"/>
        <s v="Nancy Keller"/>
        <s v="Michelle Anderson"/>
        <s v="Anthony May"/>
        <s v="Michelle Guerra"/>
        <s v="Meghan Ballard"/>
        <s v="Brian Wheeler"/>
        <s v="William Rosario"/>
        <s v="Jessica Hunt"/>
        <s v="Tony Chavez"/>
        <s v="Mary Crawford"/>
        <s v="Roger Morrison"/>
        <s v="Bethany Harrison"/>
        <s v="Lisa Mcintyre"/>
        <s v="Carolyn Gonzalez"/>
        <s v="Christina Oconnell"/>
        <s v="James Garcia"/>
        <s v="Emily Frederick"/>
        <s v="Shawn Wise"/>
        <s v="Carrie Alvarez"/>
        <s v="Matthew James"/>
        <s v="Jerry Alvarado"/>
        <s v="Paul Zimmerman"/>
        <s v="Carl Ryan"/>
        <s v="Kelly Roberts"/>
        <s v="Jack Woods"/>
        <s v="Albert Alexander Jr."/>
        <s v="Teresa Perez"/>
        <s v="Amanda Williams"/>
        <s v="Kristen Lawson"/>
        <s v="Jacob Stewart"/>
        <s v="Daniel Brooks"/>
        <s v="Aaron Dunn"/>
        <s v="Jacob Martinez"/>
        <s v="Raymond Burgess"/>
        <s v="Jennifer Cooke"/>
        <s v="Tyrone White"/>
        <s v="Charles Williams"/>
        <s v="Amy Page"/>
        <s v="Scott Gibbs"/>
        <s v="Angela Roberts"/>
        <s v="Kyle Hernandez"/>
        <s v="Cynthia Ferguson"/>
        <s v="Brandi Garcia"/>
        <s v="Matthew Blake"/>
        <s v="Lauren Howell"/>
        <s v="Joseph Wilson"/>
        <s v="Tanner Vance"/>
        <s v="Michael Nash"/>
        <s v="Brent Thomas"/>
        <s v="Harold Mitchell"/>
        <s v="Ashley Palmer"/>
        <s v="Stephen Hogan"/>
        <s v="George Ashley"/>
        <s v="Sara Bailey"/>
        <s v="Tanya Thomas MD"/>
        <s v="Maria Galvan"/>
        <s v="Duane Kelly"/>
        <s v="Frank Reynolds"/>
        <s v="Aaron Kim"/>
        <s v="David Allen"/>
        <s v="Monica Lee"/>
        <s v="Erica Scott"/>
        <s v="Melissa Mitchell"/>
        <s v="Joshua Murray"/>
        <s v="John Jones"/>
        <s v="Cheryl Johnson"/>
        <s v="Lisa Farmer"/>
        <s v="Christopher Walker"/>
        <s v="Elizabeth Coffey"/>
        <s v="Joseph Clark"/>
        <s v="Jamie Brewer"/>
        <s v="Lauren Boyer"/>
        <s v="Howard Esparza"/>
        <s v="James Hickman"/>
        <s v="Jennifer Hernandez"/>
        <s v="Shannon Warren"/>
        <s v="Ashley Aguilar"/>
        <s v="Daniel Price"/>
        <s v="James Perez"/>
        <s v="Jerry Smith"/>
        <s v="Andre Fernandez"/>
        <s v="Anthony West"/>
        <s v="Amber Flowers"/>
        <s v="Patricia Davis"/>
        <s v="Jasmine Gibbs"/>
        <s v="Nicole Dudley"/>
        <s v="Lori Colon"/>
        <s v="William Carr"/>
        <s v="Jeffrey Dixon"/>
        <s v="Robert Sexton"/>
        <s v="Brooke Gonzalez"/>
        <s v="Victoria Bryant MD"/>
        <s v="Nancy Kennedy"/>
        <s v="Andrew Barry"/>
        <s v="Carlos Wheeler"/>
        <s v="Isabella Roach"/>
        <s v="Samantha Williams"/>
        <s v="Samuel Little MD"/>
        <s v="Paul Taylor"/>
        <s v="Susan Baker"/>
        <s v="Mark Fry"/>
        <s v="Megan Mclean"/>
        <s v="Caitlin Hunt"/>
        <s v="Jenna Holland"/>
        <s v="Stephanie Oconnell"/>
        <s v="Andrea Hill"/>
      </sharedItems>
    </cacheField>
    <cacheField name="State" numFmtId="0">
      <sharedItems count="7">
        <s v="Florida"/>
        <s v="Illinois"/>
        <s v="New York"/>
        <s v="California"/>
        <s v="New York "/>
        <s v="Texas"/>
        <s v="Ohio"/>
      </sharedItems>
    </cacheField>
    <cacheField name="City" numFmtId="0">
      <sharedItems/>
    </cacheField>
    <cacheField name="Year-Month" numFmtId="164">
      <sharedItems/>
    </cacheField>
    <cacheField name="Month" numFmtId="0">
      <sharedItems count="12">
        <s v="Jun"/>
        <s v="Dec"/>
        <s v="Jul"/>
        <s v="May"/>
        <s v="Oct"/>
        <s v="Nov"/>
        <s v="Mar"/>
        <s v="Feb"/>
        <s v="Jan"/>
        <s v="Aug"/>
        <s v="Sep"/>
        <s v="Apr"/>
      </sharedItems>
    </cacheField>
    <cacheField name="Year" numFmtId="0">
      <sharedItems containsSemiMixedTypes="0" containsString="0" containsNumber="1" containsInteger="1" minValue="2020" maxValue="2025" count="6">
        <n v="2023"/>
        <n v="2024"/>
        <n v="2021"/>
        <n v="2022"/>
        <n v="2020"/>
        <n v="2025"/>
      </sharedItems>
    </cacheField>
    <cacheField name="Quarter" numFmtId="0">
      <sharedItems/>
    </cacheField>
    <cacheField name="Profit Margin(%)" numFmtId="10">
      <sharedItems containsSemiMixedTypes="0" containsString="0" containsNumber="1" minValue="7.7901843676967024E-3" maxValue="0.5"/>
    </cacheField>
    <cacheField name="Average Selling Price" numFmtId="2">
      <sharedItems containsSemiMixedTypes="0" containsString="0" containsNumber="1" minValue="26.15" maxValue="9894"/>
    </cacheField>
  </cacheFields>
  <extLst>
    <ext xmlns:x14="http://schemas.microsoft.com/office/spreadsheetml/2009/9/main" uri="{725AE2AE-9491-48be-B2B4-4EB974FC3084}">
      <x14:pivotCacheDefinition pivotCacheId="9402507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x v="0"/>
    <n v="9726"/>
    <n v="1275"/>
    <n v="5"/>
    <x v="0"/>
    <x v="0"/>
    <x v="0"/>
    <d v="2023-06-27T00:00:00"/>
    <x v="0"/>
    <x v="0"/>
    <s v="Miami"/>
    <s v="2023-06"/>
    <x v="0"/>
    <x v="0"/>
    <s v="Q2"/>
    <n v="0.13109191856878469"/>
    <n v="1945.2"/>
  </r>
  <r>
    <x v="0"/>
    <n v="9726"/>
    <n v="1275"/>
    <n v="5"/>
    <x v="0"/>
    <x v="0"/>
    <x v="0"/>
    <d v="2024-12-27T00:00:00"/>
    <x v="1"/>
    <x v="1"/>
    <s v="Chicago"/>
    <s v="2024-12"/>
    <x v="1"/>
    <x v="1"/>
    <s v="Q4"/>
    <n v="0.13109191856878469"/>
    <n v="1945.2"/>
  </r>
  <r>
    <x v="0"/>
    <n v="9726"/>
    <n v="1275"/>
    <n v="5"/>
    <x v="0"/>
    <x v="0"/>
    <x v="0"/>
    <d v="2021-07-25T00:00:00"/>
    <x v="2"/>
    <x v="2"/>
    <s v="Buffalo"/>
    <s v="2021-07"/>
    <x v="2"/>
    <x v="2"/>
    <s v="Q3"/>
    <n v="0.13109191856878469"/>
    <n v="1945.2"/>
  </r>
  <r>
    <x v="0"/>
    <n v="4975"/>
    <n v="1330"/>
    <n v="14"/>
    <x v="0"/>
    <x v="1"/>
    <x v="0"/>
    <d v="2023-06-27T00:00:00"/>
    <x v="0"/>
    <x v="0"/>
    <s v="Miami"/>
    <s v="2023-06"/>
    <x v="0"/>
    <x v="0"/>
    <s v="Q2"/>
    <n v="0.26733668341708544"/>
    <n v="355.35714285714283"/>
  </r>
  <r>
    <x v="0"/>
    <n v="4975"/>
    <n v="1330"/>
    <n v="14"/>
    <x v="0"/>
    <x v="1"/>
    <x v="0"/>
    <d v="2024-12-27T00:00:00"/>
    <x v="1"/>
    <x v="1"/>
    <s v="Chicago"/>
    <s v="2024-12"/>
    <x v="1"/>
    <x v="1"/>
    <s v="Q4"/>
    <n v="0.26733668341708544"/>
    <n v="355.35714285714283"/>
  </r>
  <r>
    <x v="0"/>
    <n v="4975"/>
    <n v="1330"/>
    <n v="14"/>
    <x v="0"/>
    <x v="1"/>
    <x v="0"/>
    <d v="2021-07-25T00:00:00"/>
    <x v="2"/>
    <x v="2"/>
    <s v="Buffalo"/>
    <s v="2021-07"/>
    <x v="2"/>
    <x v="2"/>
    <s v="Q3"/>
    <n v="0.26733668341708544"/>
    <n v="355.35714285714283"/>
  </r>
  <r>
    <x v="1"/>
    <n v="1525"/>
    <n v="185"/>
    <n v="12"/>
    <x v="1"/>
    <x v="2"/>
    <x v="1"/>
    <d v="2024-05-11T00:00:00"/>
    <x v="3"/>
    <x v="0"/>
    <s v="Orlando"/>
    <s v="2024-05"/>
    <x v="3"/>
    <x v="1"/>
    <s v="Q2"/>
    <n v="0.12131147540983607"/>
    <n v="127.08333333333333"/>
  </r>
  <r>
    <x v="1"/>
    <n v="1525"/>
    <n v="185"/>
    <n v="12"/>
    <x v="1"/>
    <x v="2"/>
    <x v="1"/>
    <d v="2021-10-09T00:00:00"/>
    <x v="4"/>
    <x v="0"/>
    <s v="Miami"/>
    <s v="2021-10"/>
    <x v="4"/>
    <x v="2"/>
    <s v="Q4"/>
    <n v="0.12131147540983607"/>
    <n v="127.08333333333333"/>
  </r>
  <r>
    <x v="2"/>
    <n v="883"/>
    <n v="117"/>
    <n v="10"/>
    <x v="0"/>
    <x v="3"/>
    <x v="2"/>
    <d v="2022-11-18T00:00:00"/>
    <x v="5"/>
    <x v="3"/>
    <s v="Los Angeles"/>
    <s v="2022-11"/>
    <x v="5"/>
    <x v="3"/>
    <s v="Q4"/>
    <n v="0.13250283125707815"/>
    <n v="88.3"/>
  </r>
  <r>
    <x v="2"/>
    <n v="8127"/>
    <n v="3551"/>
    <n v="16"/>
    <x v="2"/>
    <x v="4"/>
    <x v="3"/>
    <d v="2022-11-18T00:00:00"/>
    <x v="5"/>
    <x v="3"/>
    <s v="Los Angeles"/>
    <s v="2022-11"/>
    <x v="5"/>
    <x v="3"/>
    <s v="Q4"/>
    <n v="0.43693859972929738"/>
    <n v="507.9375"/>
  </r>
  <r>
    <x v="3"/>
    <n v="2516"/>
    <n v="734"/>
    <n v="19"/>
    <x v="2"/>
    <x v="5"/>
    <x v="0"/>
    <d v="2023-11-12T00:00:00"/>
    <x v="6"/>
    <x v="2"/>
    <s v="New York City"/>
    <s v="2023-11"/>
    <x v="5"/>
    <x v="0"/>
    <s v="Q4"/>
    <n v="0.29173290937996821"/>
    <n v="132.42105263157896"/>
  </r>
  <r>
    <x v="4"/>
    <n v="2975"/>
    <n v="462"/>
    <n v="14"/>
    <x v="1"/>
    <x v="2"/>
    <x v="3"/>
    <d v="2020-03-23T00:00:00"/>
    <x v="7"/>
    <x v="2"/>
    <s v="New York City"/>
    <s v="2020-03"/>
    <x v="6"/>
    <x v="4"/>
    <s v="Q1"/>
    <n v="0.15529411764705883"/>
    <n v="212.5"/>
  </r>
  <r>
    <x v="5"/>
    <n v="6851"/>
    <n v="2812"/>
    <n v="1"/>
    <x v="1"/>
    <x v="6"/>
    <x v="1"/>
    <d v="2020-05-04T00:00:00"/>
    <x v="8"/>
    <x v="0"/>
    <s v="Orlando"/>
    <s v="2020-05"/>
    <x v="3"/>
    <x v="4"/>
    <s v="Q2"/>
    <n v="0.41045102904685449"/>
    <n v="6851"/>
  </r>
  <r>
    <x v="5"/>
    <n v="7626"/>
    <n v="1046"/>
    <n v="15"/>
    <x v="2"/>
    <x v="7"/>
    <x v="3"/>
    <d v="2020-05-04T00:00:00"/>
    <x v="8"/>
    <x v="0"/>
    <s v="Orlando"/>
    <s v="2020-05"/>
    <x v="3"/>
    <x v="4"/>
    <s v="Q2"/>
    <n v="0.13716233936532915"/>
    <n v="508.4"/>
  </r>
  <r>
    <x v="5"/>
    <n v="1023"/>
    <n v="78"/>
    <n v="9"/>
    <x v="2"/>
    <x v="4"/>
    <x v="0"/>
    <d v="2020-05-04T00:00:00"/>
    <x v="8"/>
    <x v="0"/>
    <s v="Orlando"/>
    <s v="2020-05"/>
    <x v="3"/>
    <x v="4"/>
    <s v="Q2"/>
    <n v="7.6246334310850442E-2"/>
    <n v="113.66666666666667"/>
  </r>
  <r>
    <x v="6"/>
    <n v="7600"/>
    <n v="1098"/>
    <n v="10"/>
    <x v="1"/>
    <x v="2"/>
    <x v="0"/>
    <d v="2023-11-09T00:00:00"/>
    <x v="9"/>
    <x v="1"/>
    <s v="Springfield"/>
    <s v="2023-11"/>
    <x v="5"/>
    <x v="0"/>
    <s v="Q4"/>
    <n v="0.14447368421052631"/>
    <n v="760"/>
  </r>
  <r>
    <x v="6"/>
    <n v="7501"/>
    <n v="262"/>
    <n v="18"/>
    <x v="1"/>
    <x v="8"/>
    <x v="4"/>
    <d v="2023-11-09T00:00:00"/>
    <x v="9"/>
    <x v="1"/>
    <s v="Springfield"/>
    <s v="2023-11"/>
    <x v="5"/>
    <x v="0"/>
    <s v="Q4"/>
    <n v="3.4928676176509799E-2"/>
    <n v="416.72222222222223"/>
  </r>
  <r>
    <x v="7"/>
    <n v="725"/>
    <n v="133"/>
    <n v="6"/>
    <x v="1"/>
    <x v="8"/>
    <x v="3"/>
    <d v="2024-12-30T00:00:00"/>
    <x v="10"/>
    <x v="4"/>
    <s v="Rochester"/>
    <s v="2024-12"/>
    <x v="1"/>
    <x v="1"/>
    <s v="Q4"/>
    <n v="0.18344827586206897"/>
    <n v="120.83333333333333"/>
  </r>
  <r>
    <x v="7"/>
    <n v="7201"/>
    <n v="2685"/>
    <n v="2"/>
    <x v="2"/>
    <x v="4"/>
    <x v="3"/>
    <d v="2024-12-30T00:00:00"/>
    <x v="10"/>
    <x v="2"/>
    <s v="Rochester"/>
    <s v="2024-12"/>
    <x v="1"/>
    <x v="1"/>
    <s v="Q4"/>
    <n v="0.37286487987779476"/>
    <n v="3600.5"/>
  </r>
  <r>
    <x v="8"/>
    <n v="1629"/>
    <n v="265"/>
    <n v="1"/>
    <x v="1"/>
    <x v="8"/>
    <x v="0"/>
    <d v="2025-02-11T00:00:00"/>
    <x v="11"/>
    <x v="5"/>
    <s v="Dallas"/>
    <s v="2025-02"/>
    <x v="7"/>
    <x v="5"/>
    <s v="Q1"/>
    <n v="0.16267648864333947"/>
    <n v="1629"/>
  </r>
  <r>
    <x v="8"/>
    <n v="1629"/>
    <n v="265"/>
    <n v="1"/>
    <x v="1"/>
    <x v="8"/>
    <x v="0"/>
    <d v="2024-01-23T00:00:00"/>
    <x v="12"/>
    <x v="3"/>
    <s v="San Diego"/>
    <s v="2024-01"/>
    <x v="8"/>
    <x v="1"/>
    <s v="Q1"/>
    <n v="0.16267648864333947"/>
    <n v="1629"/>
  </r>
  <r>
    <x v="9"/>
    <n v="8971"/>
    <n v="2971"/>
    <n v="19"/>
    <x v="1"/>
    <x v="9"/>
    <x v="1"/>
    <d v="2020-11-28T00:00:00"/>
    <x v="13"/>
    <x v="3"/>
    <s v="San Diego"/>
    <s v="2020-11"/>
    <x v="5"/>
    <x v="4"/>
    <s v="Q4"/>
    <n v="0.33117824099877385"/>
    <n v="472.15789473684208"/>
  </r>
  <r>
    <x v="9"/>
    <n v="2939"/>
    <n v="894"/>
    <n v="20"/>
    <x v="1"/>
    <x v="9"/>
    <x v="4"/>
    <d v="2020-11-28T00:00:00"/>
    <x v="13"/>
    <x v="3"/>
    <s v="San Diego"/>
    <s v="2020-11"/>
    <x v="5"/>
    <x v="4"/>
    <s v="Q4"/>
    <n v="0.30418509697175911"/>
    <n v="146.94999999999999"/>
  </r>
  <r>
    <x v="10"/>
    <n v="9380"/>
    <n v="414"/>
    <n v="11"/>
    <x v="0"/>
    <x v="10"/>
    <x v="0"/>
    <d v="2024-05-30T00:00:00"/>
    <x v="14"/>
    <x v="2"/>
    <s v="Rochester"/>
    <s v="2024-05"/>
    <x v="3"/>
    <x v="1"/>
    <s v="Q2"/>
    <n v="4.4136460554371003E-2"/>
    <n v="852.72727272727275"/>
  </r>
  <r>
    <x v="10"/>
    <n v="8558"/>
    <n v="1644"/>
    <n v="18"/>
    <x v="1"/>
    <x v="9"/>
    <x v="3"/>
    <d v="2024-05-30T00:00:00"/>
    <x v="14"/>
    <x v="2"/>
    <s v="Rochester"/>
    <s v="2024-05"/>
    <x v="3"/>
    <x v="1"/>
    <s v="Q2"/>
    <n v="0.19210095816779621"/>
    <n v="475.44444444444446"/>
  </r>
  <r>
    <x v="10"/>
    <n v="4080"/>
    <n v="72"/>
    <n v="17"/>
    <x v="1"/>
    <x v="8"/>
    <x v="4"/>
    <d v="2024-05-30T00:00:00"/>
    <x v="14"/>
    <x v="2"/>
    <s v="Rochester"/>
    <s v="2024-05"/>
    <x v="3"/>
    <x v="1"/>
    <s v="Q2"/>
    <n v="1.7647058823529412E-2"/>
    <n v="240"/>
  </r>
  <r>
    <x v="11"/>
    <n v="4206"/>
    <n v="1821"/>
    <n v="17"/>
    <x v="0"/>
    <x v="0"/>
    <x v="2"/>
    <d v="2022-01-23T00:00:00"/>
    <x v="15"/>
    <x v="5"/>
    <s v="Austin"/>
    <s v="2022-01"/>
    <x v="8"/>
    <x v="3"/>
    <s v="Q1"/>
    <n v="0.43295292439372324"/>
    <n v="247.41176470588235"/>
  </r>
  <r>
    <x v="12"/>
    <n v="5219"/>
    <n v="1180"/>
    <n v="20"/>
    <x v="1"/>
    <x v="9"/>
    <x v="4"/>
    <d v="2021-12-17T00:00:00"/>
    <x v="16"/>
    <x v="2"/>
    <s v="New York City"/>
    <s v="2021-12"/>
    <x v="1"/>
    <x v="2"/>
    <s v="Q4"/>
    <n v="0.22609695343935621"/>
    <n v="260.95"/>
  </r>
  <r>
    <x v="12"/>
    <n v="5219"/>
    <n v="1180"/>
    <n v="20"/>
    <x v="1"/>
    <x v="9"/>
    <x v="4"/>
    <d v="2023-02-03T00:00:00"/>
    <x v="17"/>
    <x v="3"/>
    <s v="San Francisco"/>
    <s v="2023-02"/>
    <x v="7"/>
    <x v="0"/>
    <s v="Q1"/>
    <n v="0.22609695343935621"/>
    <n v="260.95"/>
  </r>
  <r>
    <x v="13"/>
    <n v="3686"/>
    <n v="760"/>
    <n v="20"/>
    <x v="1"/>
    <x v="2"/>
    <x v="1"/>
    <d v="2022-10-30T00:00:00"/>
    <x v="18"/>
    <x v="3"/>
    <s v="San Francisco"/>
    <s v="2022-10"/>
    <x v="4"/>
    <x v="3"/>
    <s v="Q4"/>
    <n v="0.20618556701030927"/>
    <n v="184.3"/>
  </r>
  <r>
    <x v="13"/>
    <n v="3686"/>
    <n v="760"/>
    <n v="20"/>
    <x v="1"/>
    <x v="2"/>
    <x v="1"/>
    <d v="2022-01-15T00:00:00"/>
    <x v="19"/>
    <x v="6"/>
    <s v="Columbus"/>
    <s v="2022-01"/>
    <x v="8"/>
    <x v="3"/>
    <s v="Q1"/>
    <n v="0.20618556701030927"/>
    <n v="184.3"/>
  </r>
  <r>
    <x v="14"/>
    <n v="6045"/>
    <n v="1606"/>
    <n v="4"/>
    <x v="1"/>
    <x v="8"/>
    <x v="4"/>
    <d v="2023-12-14T00:00:00"/>
    <x v="20"/>
    <x v="0"/>
    <s v="Orlando"/>
    <s v="2023-12"/>
    <x v="1"/>
    <x v="0"/>
    <s v="Q4"/>
    <n v="0.26567411083540116"/>
    <n v="1511.25"/>
  </r>
  <r>
    <x v="14"/>
    <n v="9337"/>
    <n v="554"/>
    <n v="11"/>
    <x v="1"/>
    <x v="2"/>
    <x v="4"/>
    <d v="2023-12-14T00:00:00"/>
    <x v="20"/>
    <x v="0"/>
    <s v="Orlando"/>
    <s v="2023-12"/>
    <x v="1"/>
    <x v="0"/>
    <s v="Q4"/>
    <n v="5.9333833136981901E-2"/>
    <n v="848.81818181818187"/>
  </r>
  <r>
    <x v="15"/>
    <n v="4051"/>
    <n v="1848"/>
    <n v="12"/>
    <x v="0"/>
    <x v="10"/>
    <x v="3"/>
    <d v="2023-07-03T00:00:00"/>
    <x v="21"/>
    <x v="3"/>
    <s v="San Diego"/>
    <s v="2023-07"/>
    <x v="2"/>
    <x v="0"/>
    <s v="Q3"/>
    <n v="0.45618365835596147"/>
    <n v="337.58333333333331"/>
  </r>
  <r>
    <x v="15"/>
    <n v="4051"/>
    <n v="1848"/>
    <n v="12"/>
    <x v="0"/>
    <x v="10"/>
    <x v="3"/>
    <d v="2021-05-08T00:00:00"/>
    <x v="22"/>
    <x v="6"/>
    <s v="Cincinnati"/>
    <s v="2021-05"/>
    <x v="3"/>
    <x v="2"/>
    <s v="Q2"/>
    <n v="0.45618365835596147"/>
    <n v="337.58333333333331"/>
  </r>
  <r>
    <x v="15"/>
    <n v="5011"/>
    <n v="866"/>
    <n v="11"/>
    <x v="2"/>
    <x v="11"/>
    <x v="3"/>
    <d v="2023-07-03T00:00:00"/>
    <x v="21"/>
    <x v="3"/>
    <s v="San Diego"/>
    <s v="2023-07"/>
    <x v="2"/>
    <x v="0"/>
    <s v="Q3"/>
    <n v="0.17281979644781481"/>
    <n v="455.54545454545456"/>
  </r>
  <r>
    <x v="15"/>
    <n v="5011"/>
    <n v="866"/>
    <n v="11"/>
    <x v="2"/>
    <x v="11"/>
    <x v="3"/>
    <d v="2021-05-08T00:00:00"/>
    <x v="22"/>
    <x v="6"/>
    <s v="Cincinnati"/>
    <s v="2021-05"/>
    <x v="3"/>
    <x v="2"/>
    <s v="Q2"/>
    <n v="0.17281979644781481"/>
    <n v="455.54545454545456"/>
  </r>
  <r>
    <x v="16"/>
    <n v="3958"/>
    <n v="630"/>
    <n v="15"/>
    <x v="2"/>
    <x v="7"/>
    <x v="2"/>
    <d v="2022-10-07T00:00:00"/>
    <x v="23"/>
    <x v="0"/>
    <s v="Orlando"/>
    <s v="2022-10"/>
    <x v="4"/>
    <x v="3"/>
    <s v="Q4"/>
    <n v="0.15917129863567459"/>
    <n v="263.86666666666667"/>
  </r>
  <r>
    <x v="16"/>
    <n v="3132"/>
    <n v="963"/>
    <n v="1"/>
    <x v="2"/>
    <x v="4"/>
    <x v="1"/>
    <d v="2022-10-07T00:00:00"/>
    <x v="23"/>
    <x v="0"/>
    <s v="Orlando"/>
    <s v="2022-10"/>
    <x v="4"/>
    <x v="3"/>
    <s v="Q4"/>
    <n v="0.30747126436781608"/>
    <n v="3132"/>
  </r>
  <r>
    <x v="17"/>
    <n v="7784"/>
    <n v="2937"/>
    <n v="12"/>
    <x v="1"/>
    <x v="6"/>
    <x v="0"/>
    <d v="2024-08-06T00:00:00"/>
    <x v="24"/>
    <x v="3"/>
    <s v="San Francisco"/>
    <s v="2024-08"/>
    <x v="9"/>
    <x v="1"/>
    <s v="Q3"/>
    <n v="0.37731243576567319"/>
    <n v="648.66666666666663"/>
  </r>
  <r>
    <x v="17"/>
    <n v="5591"/>
    <n v="1696"/>
    <n v="3"/>
    <x v="1"/>
    <x v="2"/>
    <x v="4"/>
    <d v="2024-08-06T00:00:00"/>
    <x v="24"/>
    <x v="3"/>
    <s v="San Francisco"/>
    <s v="2024-08"/>
    <x v="9"/>
    <x v="1"/>
    <s v="Q3"/>
    <n v="0.30334466106242175"/>
    <n v="1863.6666666666667"/>
  </r>
  <r>
    <x v="17"/>
    <n v="5122"/>
    <n v="2413"/>
    <n v="12"/>
    <x v="0"/>
    <x v="0"/>
    <x v="4"/>
    <d v="2024-08-06T00:00:00"/>
    <x v="24"/>
    <x v="3"/>
    <s v="San Francisco"/>
    <s v="2024-08"/>
    <x v="9"/>
    <x v="1"/>
    <s v="Q3"/>
    <n v="0.47110503709488483"/>
    <n v="426.83333333333331"/>
  </r>
  <r>
    <x v="18"/>
    <n v="8293"/>
    <n v="2632"/>
    <n v="8"/>
    <x v="1"/>
    <x v="9"/>
    <x v="4"/>
    <d v="2022-01-05T00:00:00"/>
    <x v="25"/>
    <x v="6"/>
    <s v="Cleveland"/>
    <s v="2022-01"/>
    <x v="8"/>
    <x v="3"/>
    <s v="Q1"/>
    <n v="0.31737610032557578"/>
    <n v="1036.625"/>
  </r>
  <r>
    <x v="18"/>
    <n v="8293"/>
    <n v="2632"/>
    <n v="8"/>
    <x v="1"/>
    <x v="9"/>
    <x v="4"/>
    <d v="2020-10-17T00:00:00"/>
    <x v="26"/>
    <x v="2"/>
    <s v="Rochester"/>
    <s v="2020-10"/>
    <x v="4"/>
    <x v="4"/>
    <s v="Q4"/>
    <n v="0.31737610032557578"/>
    <n v="1036.625"/>
  </r>
  <r>
    <x v="18"/>
    <n v="8293"/>
    <n v="2632"/>
    <n v="8"/>
    <x v="1"/>
    <x v="9"/>
    <x v="4"/>
    <d v="2023-08-21T00:00:00"/>
    <x v="27"/>
    <x v="3"/>
    <s v="Los Angeles"/>
    <s v="2023-08"/>
    <x v="9"/>
    <x v="0"/>
    <s v="Q3"/>
    <n v="0.31737610032557578"/>
    <n v="1036.625"/>
  </r>
  <r>
    <x v="18"/>
    <n v="2863"/>
    <n v="205"/>
    <n v="17"/>
    <x v="0"/>
    <x v="10"/>
    <x v="0"/>
    <d v="2022-01-05T00:00:00"/>
    <x v="25"/>
    <x v="6"/>
    <s v="Cleveland"/>
    <s v="2022-01"/>
    <x v="8"/>
    <x v="3"/>
    <s v="Q1"/>
    <n v="7.1603213412504363E-2"/>
    <n v="168.41176470588235"/>
  </r>
  <r>
    <x v="18"/>
    <n v="2863"/>
    <n v="205"/>
    <n v="17"/>
    <x v="0"/>
    <x v="10"/>
    <x v="0"/>
    <d v="2020-10-17T00:00:00"/>
    <x v="26"/>
    <x v="2"/>
    <s v="Rochester"/>
    <s v="2020-10"/>
    <x v="4"/>
    <x v="4"/>
    <s v="Q4"/>
    <n v="7.1603213412504363E-2"/>
    <n v="168.41176470588235"/>
  </r>
  <r>
    <x v="18"/>
    <n v="2863"/>
    <n v="205"/>
    <n v="17"/>
    <x v="0"/>
    <x v="10"/>
    <x v="0"/>
    <d v="2023-08-21T00:00:00"/>
    <x v="27"/>
    <x v="3"/>
    <s v="Los Angeles"/>
    <s v="2023-08"/>
    <x v="9"/>
    <x v="0"/>
    <s v="Q3"/>
    <n v="7.1603213412504363E-2"/>
    <n v="168.41176470588235"/>
  </r>
  <r>
    <x v="19"/>
    <n v="3090"/>
    <n v="573"/>
    <n v="6"/>
    <x v="2"/>
    <x v="4"/>
    <x v="2"/>
    <d v="2024-12-27T00:00:00"/>
    <x v="28"/>
    <x v="3"/>
    <s v="San Diego"/>
    <s v="2024-12"/>
    <x v="1"/>
    <x v="1"/>
    <s v="Q4"/>
    <n v="0.18543689320388348"/>
    <n v="515"/>
  </r>
  <r>
    <x v="19"/>
    <n v="3090"/>
    <n v="573"/>
    <n v="6"/>
    <x v="2"/>
    <x v="4"/>
    <x v="2"/>
    <d v="2021-06-18T00:00:00"/>
    <x v="29"/>
    <x v="6"/>
    <s v="Cincinnati"/>
    <s v="2021-06"/>
    <x v="0"/>
    <x v="2"/>
    <s v="Q2"/>
    <n v="0.18543689320388348"/>
    <n v="515"/>
  </r>
  <r>
    <x v="19"/>
    <n v="3090"/>
    <n v="573"/>
    <n v="6"/>
    <x v="2"/>
    <x v="4"/>
    <x v="2"/>
    <d v="2023-05-27T00:00:00"/>
    <x v="30"/>
    <x v="5"/>
    <s v="Austin"/>
    <s v="2023-05"/>
    <x v="3"/>
    <x v="0"/>
    <s v="Q2"/>
    <n v="0.18543689320388348"/>
    <n v="515"/>
  </r>
  <r>
    <x v="19"/>
    <n v="3090"/>
    <n v="573"/>
    <n v="6"/>
    <x v="2"/>
    <x v="4"/>
    <x v="2"/>
    <d v="2021-10-12T00:00:00"/>
    <x v="31"/>
    <x v="5"/>
    <s v="Dallas"/>
    <s v="2021-10"/>
    <x v="4"/>
    <x v="2"/>
    <s v="Q4"/>
    <n v="0.18543689320388348"/>
    <n v="515"/>
  </r>
  <r>
    <x v="19"/>
    <n v="9683"/>
    <n v="1014"/>
    <n v="5"/>
    <x v="0"/>
    <x v="1"/>
    <x v="0"/>
    <d v="2024-12-27T00:00:00"/>
    <x v="28"/>
    <x v="3"/>
    <s v="San Diego"/>
    <s v="2024-12"/>
    <x v="1"/>
    <x v="1"/>
    <s v="Q4"/>
    <n v="0.10471961169059175"/>
    <n v="1936.6"/>
  </r>
  <r>
    <x v="19"/>
    <n v="9683"/>
    <n v="1014"/>
    <n v="5"/>
    <x v="0"/>
    <x v="1"/>
    <x v="0"/>
    <d v="2021-06-18T00:00:00"/>
    <x v="29"/>
    <x v="6"/>
    <s v="Cincinnati"/>
    <s v="2021-06"/>
    <x v="0"/>
    <x v="2"/>
    <s v="Q2"/>
    <n v="0.10471961169059175"/>
    <n v="1936.6"/>
  </r>
  <r>
    <x v="19"/>
    <n v="9683"/>
    <n v="1014"/>
    <n v="5"/>
    <x v="0"/>
    <x v="1"/>
    <x v="0"/>
    <d v="2023-05-27T00:00:00"/>
    <x v="30"/>
    <x v="5"/>
    <s v="Austin"/>
    <s v="2023-05"/>
    <x v="3"/>
    <x v="0"/>
    <s v="Q2"/>
    <n v="0.10471961169059175"/>
    <n v="1936.6"/>
  </r>
  <r>
    <x v="19"/>
    <n v="9683"/>
    <n v="1014"/>
    <n v="5"/>
    <x v="0"/>
    <x v="1"/>
    <x v="0"/>
    <d v="2021-10-12T00:00:00"/>
    <x v="31"/>
    <x v="5"/>
    <s v="Dallas"/>
    <s v="2021-10"/>
    <x v="4"/>
    <x v="2"/>
    <s v="Q4"/>
    <n v="0.10471961169059175"/>
    <n v="1936.6"/>
  </r>
  <r>
    <x v="20"/>
    <n v="2463"/>
    <n v="648"/>
    <n v="18"/>
    <x v="2"/>
    <x v="4"/>
    <x v="2"/>
    <d v="2022-09-19T00:00:00"/>
    <x v="32"/>
    <x v="6"/>
    <s v="Cincinnati"/>
    <s v="2022-09"/>
    <x v="10"/>
    <x v="3"/>
    <s v="Q3"/>
    <n v="0.26309378806333739"/>
    <n v="136.83333333333334"/>
  </r>
  <r>
    <x v="21"/>
    <n v="7811"/>
    <n v="1538"/>
    <n v="12"/>
    <x v="2"/>
    <x v="7"/>
    <x v="4"/>
    <d v="2022-03-25T00:00:00"/>
    <x v="33"/>
    <x v="0"/>
    <s v="Miami"/>
    <s v="2022-03"/>
    <x v="6"/>
    <x v="3"/>
    <s v="Q1"/>
    <n v="0.19690180514658814"/>
    <n v="650.91666666666663"/>
  </r>
  <r>
    <x v="22"/>
    <n v="6139"/>
    <n v="451"/>
    <n v="10"/>
    <x v="2"/>
    <x v="4"/>
    <x v="1"/>
    <d v="2022-02-26T00:00:00"/>
    <x v="34"/>
    <x v="0"/>
    <s v="Orlando"/>
    <s v="2022-02"/>
    <x v="7"/>
    <x v="3"/>
    <s v="Q1"/>
    <n v="7.3464733669978827E-2"/>
    <n v="613.9"/>
  </r>
  <r>
    <x v="22"/>
    <n v="6139"/>
    <n v="451"/>
    <n v="10"/>
    <x v="2"/>
    <x v="4"/>
    <x v="1"/>
    <d v="2021-04-05T00:00:00"/>
    <x v="17"/>
    <x v="5"/>
    <s v="Houston"/>
    <s v="2021-04"/>
    <x v="11"/>
    <x v="2"/>
    <s v="Q2"/>
    <n v="7.3464733669978827E-2"/>
    <n v="613.9"/>
  </r>
  <r>
    <x v="22"/>
    <n v="8636"/>
    <n v="3192"/>
    <n v="3"/>
    <x v="2"/>
    <x v="5"/>
    <x v="4"/>
    <d v="2022-02-26T00:00:00"/>
    <x v="34"/>
    <x v="0"/>
    <s v="Orlando"/>
    <s v="2022-02"/>
    <x v="7"/>
    <x v="3"/>
    <s v="Q1"/>
    <n v="0.36961556276053731"/>
    <n v="2878.6666666666665"/>
  </r>
  <r>
    <x v="22"/>
    <n v="8636"/>
    <n v="3192"/>
    <n v="3"/>
    <x v="2"/>
    <x v="5"/>
    <x v="4"/>
    <d v="2021-04-05T00:00:00"/>
    <x v="17"/>
    <x v="5"/>
    <s v="Houston"/>
    <s v="2021-04"/>
    <x v="11"/>
    <x v="2"/>
    <s v="Q2"/>
    <n v="0.36961556276053731"/>
    <n v="2878.6666666666665"/>
  </r>
  <r>
    <x v="22"/>
    <n v="4439"/>
    <n v="1712"/>
    <n v="19"/>
    <x v="2"/>
    <x v="7"/>
    <x v="3"/>
    <d v="2022-02-26T00:00:00"/>
    <x v="34"/>
    <x v="0"/>
    <s v="Orlando"/>
    <s v="2022-02"/>
    <x v="7"/>
    <x v="3"/>
    <s v="Q1"/>
    <n v="0.3856724487497184"/>
    <n v="233.63157894736841"/>
  </r>
  <r>
    <x v="22"/>
    <n v="4439"/>
    <n v="1712"/>
    <n v="19"/>
    <x v="2"/>
    <x v="7"/>
    <x v="3"/>
    <d v="2021-04-05T00:00:00"/>
    <x v="17"/>
    <x v="5"/>
    <s v="Houston"/>
    <s v="2021-04"/>
    <x v="11"/>
    <x v="2"/>
    <s v="Q2"/>
    <n v="0.3856724487497184"/>
    <n v="233.63157894736841"/>
  </r>
  <r>
    <x v="23"/>
    <n v="1016"/>
    <n v="172"/>
    <n v="20"/>
    <x v="2"/>
    <x v="4"/>
    <x v="1"/>
    <d v="2020-11-16T00:00:00"/>
    <x v="35"/>
    <x v="2"/>
    <s v="Buffalo"/>
    <s v="2020-11"/>
    <x v="5"/>
    <x v="4"/>
    <s v="Q4"/>
    <n v="0.16929133858267717"/>
    <n v="50.8"/>
  </r>
  <r>
    <x v="23"/>
    <n v="5768"/>
    <n v="2059"/>
    <n v="14"/>
    <x v="2"/>
    <x v="4"/>
    <x v="0"/>
    <d v="2020-11-16T00:00:00"/>
    <x v="35"/>
    <x v="2"/>
    <s v="Buffalo"/>
    <s v="2020-11"/>
    <x v="5"/>
    <x v="4"/>
    <s v="Q4"/>
    <n v="0.35696948682385576"/>
    <n v="412"/>
  </r>
  <r>
    <x v="23"/>
    <n v="1217"/>
    <n v="151"/>
    <n v="3"/>
    <x v="2"/>
    <x v="4"/>
    <x v="3"/>
    <d v="2020-11-16T00:00:00"/>
    <x v="35"/>
    <x v="2"/>
    <s v="Buffalo"/>
    <s v="2020-11"/>
    <x v="5"/>
    <x v="4"/>
    <s v="Q4"/>
    <n v="0.12407559572719803"/>
    <n v="405.66666666666669"/>
  </r>
  <r>
    <x v="24"/>
    <n v="953"/>
    <n v="93"/>
    <n v="2"/>
    <x v="1"/>
    <x v="8"/>
    <x v="1"/>
    <d v="2024-12-12T00:00:00"/>
    <x v="36"/>
    <x v="6"/>
    <s v="Cleveland"/>
    <s v="2024-12"/>
    <x v="1"/>
    <x v="1"/>
    <s v="Q4"/>
    <n v="9.7586568730325285E-2"/>
    <n v="476.5"/>
  </r>
  <r>
    <x v="24"/>
    <n v="953"/>
    <n v="93"/>
    <n v="2"/>
    <x v="1"/>
    <x v="8"/>
    <x v="1"/>
    <d v="2023-04-06T00:00:00"/>
    <x v="37"/>
    <x v="3"/>
    <s v="Los Angeles"/>
    <s v="2023-04"/>
    <x v="11"/>
    <x v="0"/>
    <s v="Q2"/>
    <n v="9.7586568730325285E-2"/>
    <n v="476.5"/>
  </r>
  <r>
    <x v="24"/>
    <n v="7355"/>
    <n v="1034"/>
    <n v="3"/>
    <x v="2"/>
    <x v="7"/>
    <x v="4"/>
    <d v="2024-12-12T00:00:00"/>
    <x v="36"/>
    <x v="6"/>
    <s v="Cleveland"/>
    <s v="2024-12"/>
    <x v="1"/>
    <x v="1"/>
    <s v="Q4"/>
    <n v="0.14058463630183549"/>
    <n v="2451.6666666666665"/>
  </r>
  <r>
    <x v="24"/>
    <n v="7355"/>
    <n v="1034"/>
    <n v="3"/>
    <x v="2"/>
    <x v="7"/>
    <x v="4"/>
    <d v="2023-04-06T00:00:00"/>
    <x v="37"/>
    <x v="3"/>
    <s v="Los Angeles"/>
    <s v="2023-04"/>
    <x v="11"/>
    <x v="0"/>
    <s v="Q2"/>
    <n v="0.14058463630183549"/>
    <n v="2451.6666666666665"/>
  </r>
  <r>
    <x v="24"/>
    <n v="1843"/>
    <n v="248"/>
    <n v="3"/>
    <x v="0"/>
    <x v="10"/>
    <x v="3"/>
    <d v="2024-12-12T00:00:00"/>
    <x v="36"/>
    <x v="6"/>
    <s v="Cleveland"/>
    <s v="2024-12"/>
    <x v="1"/>
    <x v="1"/>
    <s v="Q4"/>
    <n v="0.13456321215409658"/>
    <n v="614.33333333333337"/>
  </r>
  <r>
    <x v="24"/>
    <n v="1843"/>
    <n v="248"/>
    <n v="3"/>
    <x v="0"/>
    <x v="10"/>
    <x v="3"/>
    <d v="2023-04-06T00:00:00"/>
    <x v="37"/>
    <x v="3"/>
    <s v="Los Angeles"/>
    <s v="2023-04"/>
    <x v="11"/>
    <x v="0"/>
    <s v="Q2"/>
    <n v="0.13456321215409658"/>
    <n v="614.33333333333337"/>
  </r>
  <r>
    <x v="24"/>
    <n v="1603"/>
    <n v="361"/>
    <n v="10"/>
    <x v="1"/>
    <x v="2"/>
    <x v="1"/>
    <d v="2024-12-12T00:00:00"/>
    <x v="36"/>
    <x v="6"/>
    <s v="Cleveland"/>
    <s v="2024-12"/>
    <x v="1"/>
    <x v="1"/>
    <s v="Q4"/>
    <n v="0.22520274485339989"/>
    <n v="160.30000000000001"/>
  </r>
  <r>
    <x v="24"/>
    <n v="1603"/>
    <n v="361"/>
    <n v="10"/>
    <x v="1"/>
    <x v="2"/>
    <x v="1"/>
    <d v="2023-04-06T00:00:00"/>
    <x v="37"/>
    <x v="3"/>
    <s v="Los Angeles"/>
    <s v="2023-04"/>
    <x v="11"/>
    <x v="0"/>
    <s v="Q2"/>
    <n v="0.22520274485339989"/>
    <n v="160.30000000000001"/>
  </r>
  <r>
    <x v="25"/>
    <n v="2025"/>
    <n v="528"/>
    <n v="1"/>
    <x v="1"/>
    <x v="2"/>
    <x v="3"/>
    <d v="2024-01-28T00:00:00"/>
    <x v="38"/>
    <x v="0"/>
    <s v="Miami"/>
    <s v="2024-01"/>
    <x v="8"/>
    <x v="1"/>
    <s v="Q1"/>
    <n v="0.26074074074074072"/>
    <n v="2025"/>
  </r>
  <r>
    <x v="25"/>
    <n v="6800"/>
    <n v="167"/>
    <n v="16"/>
    <x v="1"/>
    <x v="9"/>
    <x v="2"/>
    <d v="2024-01-28T00:00:00"/>
    <x v="38"/>
    <x v="0"/>
    <s v="Miami"/>
    <s v="2024-01"/>
    <x v="8"/>
    <x v="1"/>
    <s v="Q1"/>
    <n v="2.4558823529411765E-2"/>
    <n v="425"/>
  </r>
  <r>
    <x v="26"/>
    <n v="1126"/>
    <n v="55"/>
    <n v="1"/>
    <x v="2"/>
    <x v="11"/>
    <x v="0"/>
    <d v="2022-01-16T00:00:00"/>
    <x v="39"/>
    <x v="0"/>
    <s v="Tampa"/>
    <s v="2022-01"/>
    <x v="8"/>
    <x v="3"/>
    <s v="Q1"/>
    <n v="4.8845470692717587E-2"/>
    <n v="1126"/>
  </r>
  <r>
    <x v="26"/>
    <n v="1126"/>
    <n v="55"/>
    <n v="1"/>
    <x v="2"/>
    <x v="11"/>
    <x v="0"/>
    <d v="2022-12-16T00:00:00"/>
    <x v="40"/>
    <x v="2"/>
    <s v="Buffalo"/>
    <s v="2022-12"/>
    <x v="1"/>
    <x v="3"/>
    <s v="Q4"/>
    <n v="4.8845470692717587E-2"/>
    <n v="1126"/>
  </r>
  <r>
    <x v="27"/>
    <n v="7533"/>
    <n v="3508"/>
    <n v="12"/>
    <x v="2"/>
    <x v="4"/>
    <x v="0"/>
    <d v="2023-07-13T00:00:00"/>
    <x v="41"/>
    <x v="3"/>
    <s v="San Diego"/>
    <s v="2023-07"/>
    <x v="2"/>
    <x v="0"/>
    <s v="Q3"/>
    <n v="0.46568432231514667"/>
    <n v="627.75"/>
  </r>
  <r>
    <x v="27"/>
    <n v="4734"/>
    <n v="1178"/>
    <n v="16"/>
    <x v="1"/>
    <x v="9"/>
    <x v="3"/>
    <d v="2023-07-13T00:00:00"/>
    <x v="41"/>
    <x v="3"/>
    <s v="San Diego"/>
    <s v="2023-07"/>
    <x v="2"/>
    <x v="0"/>
    <s v="Q3"/>
    <n v="0.24883819180397126"/>
    <n v="295.875"/>
  </r>
  <r>
    <x v="27"/>
    <n v="4074"/>
    <n v="1175"/>
    <n v="6"/>
    <x v="0"/>
    <x v="0"/>
    <x v="1"/>
    <d v="2023-07-13T00:00:00"/>
    <x v="41"/>
    <x v="3"/>
    <s v="San Diego"/>
    <s v="2023-07"/>
    <x v="2"/>
    <x v="0"/>
    <s v="Q3"/>
    <n v="0.28841433480608736"/>
    <n v="679"/>
  </r>
  <r>
    <x v="27"/>
    <n v="2334"/>
    <n v="484"/>
    <n v="3"/>
    <x v="2"/>
    <x v="7"/>
    <x v="3"/>
    <d v="2023-07-13T00:00:00"/>
    <x v="41"/>
    <x v="3"/>
    <s v="San Diego"/>
    <s v="2023-07"/>
    <x v="2"/>
    <x v="0"/>
    <s v="Q3"/>
    <n v="0.207369323050557"/>
    <n v="778"/>
  </r>
  <r>
    <x v="28"/>
    <n v="2750"/>
    <n v="1239"/>
    <n v="11"/>
    <x v="0"/>
    <x v="10"/>
    <x v="1"/>
    <d v="2025-03-10T00:00:00"/>
    <x v="42"/>
    <x v="2"/>
    <s v="Buffalo"/>
    <s v="2025-03"/>
    <x v="6"/>
    <x v="5"/>
    <s v="Q1"/>
    <n v="0.45054545454545453"/>
    <n v="250"/>
  </r>
  <r>
    <x v="28"/>
    <n v="2750"/>
    <n v="1239"/>
    <n v="11"/>
    <x v="0"/>
    <x v="10"/>
    <x v="1"/>
    <d v="2024-09-24T00:00:00"/>
    <x v="43"/>
    <x v="6"/>
    <s v="Cleveland"/>
    <s v="2024-09"/>
    <x v="10"/>
    <x v="1"/>
    <s v="Q3"/>
    <n v="0.45054545454545453"/>
    <n v="250"/>
  </r>
  <r>
    <x v="28"/>
    <n v="8639"/>
    <n v="3104"/>
    <n v="19"/>
    <x v="1"/>
    <x v="2"/>
    <x v="2"/>
    <d v="2025-03-10T00:00:00"/>
    <x v="42"/>
    <x v="2"/>
    <s v="Buffalo"/>
    <s v="2025-03"/>
    <x v="6"/>
    <x v="5"/>
    <s v="Q1"/>
    <n v="0.35930084500520892"/>
    <n v="454.68421052631578"/>
  </r>
  <r>
    <x v="28"/>
    <n v="8639"/>
    <n v="3104"/>
    <n v="19"/>
    <x v="1"/>
    <x v="2"/>
    <x v="2"/>
    <d v="2024-09-24T00:00:00"/>
    <x v="43"/>
    <x v="6"/>
    <s v="Cleveland"/>
    <s v="2024-09"/>
    <x v="10"/>
    <x v="1"/>
    <s v="Q3"/>
    <n v="0.35930084500520892"/>
    <n v="454.68421052631578"/>
  </r>
  <r>
    <x v="29"/>
    <n v="3808"/>
    <n v="1192"/>
    <n v="4"/>
    <x v="1"/>
    <x v="6"/>
    <x v="0"/>
    <d v="2020-04-13T00:00:00"/>
    <x v="44"/>
    <x v="2"/>
    <s v="New York City"/>
    <s v="2020-04"/>
    <x v="11"/>
    <x v="4"/>
    <s v="Q2"/>
    <n v="0.31302521008403361"/>
    <n v="952"/>
  </r>
  <r>
    <x v="29"/>
    <n v="2588"/>
    <n v="705"/>
    <n v="16"/>
    <x v="1"/>
    <x v="2"/>
    <x v="3"/>
    <d v="2020-04-13T00:00:00"/>
    <x v="44"/>
    <x v="2"/>
    <s v="New York City"/>
    <s v="2020-04"/>
    <x v="11"/>
    <x v="4"/>
    <s v="Q2"/>
    <n v="0.27241112828438951"/>
    <n v="161.75"/>
  </r>
  <r>
    <x v="30"/>
    <n v="1591"/>
    <n v="727"/>
    <n v="5"/>
    <x v="0"/>
    <x v="0"/>
    <x v="3"/>
    <d v="2022-06-27T00:00:00"/>
    <x v="45"/>
    <x v="1"/>
    <s v="Springfield"/>
    <s v="2022-06"/>
    <x v="0"/>
    <x v="3"/>
    <s v="Q2"/>
    <n v="0.4569453174104337"/>
    <n v="318.2"/>
  </r>
  <r>
    <x v="30"/>
    <n v="1591"/>
    <n v="727"/>
    <n v="5"/>
    <x v="0"/>
    <x v="0"/>
    <x v="3"/>
    <d v="2021-03-14T00:00:00"/>
    <x v="46"/>
    <x v="0"/>
    <s v="Tampa"/>
    <s v="2021-03"/>
    <x v="6"/>
    <x v="2"/>
    <s v="Q1"/>
    <n v="0.4569453174104337"/>
    <n v="318.2"/>
  </r>
  <r>
    <x v="30"/>
    <n v="1591"/>
    <n v="727"/>
    <n v="5"/>
    <x v="0"/>
    <x v="0"/>
    <x v="3"/>
    <d v="2022-02-23T00:00:00"/>
    <x v="47"/>
    <x v="6"/>
    <s v="Cincinnati"/>
    <s v="2022-02"/>
    <x v="7"/>
    <x v="3"/>
    <s v="Q1"/>
    <n v="0.4569453174104337"/>
    <n v="318.2"/>
  </r>
  <r>
    <x v="31"/>
    <n v="1757"/>
    <n v="622"/>
    <n v="10"/>
    <x v="2"/>
    <x v="5"/>
    <x v="0"/>
    <d v="2022-03-29T00:00:00"/>
    <x v="48"/>
    <x v="6"/>
    <s v="Cleveland"/>
    <s v="2022-03"/>
    <x v="6"/>
    <x v="3"/>
    <s v="Q1"/>
    <n v="0.35401252134319866"/>
    <n v="175.7"/>
  </r>
  <r>
    <x v="31"/>
    <n v="1757"/>
    <n v="622"/>
    <n v="10"/>
    <x v="2"/>
    <x v="5"/>
    <x v="0"/>
    <d v="2022-11-20T00:00:00"/>
    <x v="49"/>
    <x v="1"/>
    <s v="Peoria"/>
    <s v="2022-11"/>
    <x v="5"/>
    <x v="3"/>
    <s v="Q4"/>
    <n v="0.35401252134319866"/>
    <n v="175.7"/>
  </r>
  <r>
    <x v="32"/>
    <n v="6940"/>
    <n v="253"/>
    <n v="15"/>
    <x v="2"/>
    <x v="11"/>
    <x v="1"/>
    <d v="2021-11-12T00:00:00"/>
    <x v="50"/>
    <x v="0"/>
    <s v="Orlando"/>
    <s v="2021-11"/>
    <x v="5"/>
    <x v="2"/>
    <s v="Q4"/>
    <n v="3.6455331412103748E-2"/>
    <n v="462.66666666666669"/>
  </r>
  <r>
    <x v="32"/>
    <n v="5105"/>
    <n v="465"/>
    <n v="5"/>
    <x v="0"/>
    <x v="1"/>
    <x v="0"/>
    <d v="2021-11-12T00:00:00"/>
    <x v="50"/>
    <x v="0"/>
    <s v="Orlando"/>
    <s v="2021-11"/>
    <x v="5"/>
    <x v="2"/>
    <s v="Q4"/>
    <n v="9.1087169441723806E-2"/>
    <n v="1021"/>
  </r>
  <r>
    <x v="33"/>
    <n v="5578"/>
    <n v="277"/>
    <n v="16"/>
    <x v="2"/>
    <x v="4"/>
    <x v="4"/>
    <d v="2021-08-17T00:00:00"/>
    <x v="51"/>
    <x v="0"/>
    <s v="Miami"/>
    <s v="2021-08"/>
    <x v="9"/>
    <x v="2"/>
    <s v="Q3"/>
    <n v="4.9659376120473289E-2"/>
    <n v="348.625"/>
  </r>
  <r>
    <x v="33"/>
    <n v="5578"/>
    <n v="277"/>
    <n v="16"/>
    <x v="2"/>
    <x v="4"/>
    <x v="4"/>
    <d v="2022-05-16T00:00:00"/>
    <x v="52"/>
    <x v="6"/>
    <s v="Columbus"/>
    <s v="2022-05"/>
    <x v="3"/>
    <x v="3"/>
    <s v="Q2"/>
    <n v="4.9659376120473289E-2"/>
    <n v="348.625"/>
  </r>
  <r>
    <x v="34"/>
    <n v="5224"/>
    <n v="1958"/>
    <n v="16"/>
    <x v="2"/>
    <x v="5"/>
    <x v="3"/>
    <d v="2023-07-16T00:00:00"/>
    <x v="53"/>
    <x v="5"/>
    <s v="Houston"/>
    <s v="2023-07"/>
    <x v="2"/>
    <x v="0"/>
    <s v="Q3"/>
    <n v="0.37480857580398164"/>
    <n v="326.5"/>
  </r>
  <r>
    <x v="34"/>
    <n v="5002"/>
    <n v="1801"/>
    <n v="11"/>
    <x v="1"/>
    <x v="6"/>
    <x v="3"/>
    <d v="2023-07-16T00:00:00"/>
    <x v="53"/>
    <x v="5"/>
    <s v="Houston"/>
    <s v="2023-07"/>
    <x v="2"/>
    <x v="0"/>
    <s v="Q3"/>
    <n v="0.36005597760895641"/>
    <n v="454.72727272727275"/>
  </r>
  <r>
    <x v="34"/>
    <n v="7380"/>
    <n v="1673"/>
    <n v="18"/>
    <x v="1"/>
    <x v="6"/>
    <x v="4"/>
    <d v="2023-07-16T00:00:00"/>
    <x v="53"/>
    <x v="5"/>
    <s v="Houston"/>
    <s v="2023-07"/>
    <x v="2"/>
    <x v="0"/>
    <s v="Q3"/>
    <n v="0.22669376693766938"/>
    <n v="410"/>
  </r>
  <r>
    <x v="35"/>
    <n v="7595"/>
    <n v="2873"/>
    <n v="4"/>
    <x v="2"/>
    <x v="5"/>
    <x v="1"/>
    <d v="2020-08-18T00:00:00"/>
    <x v="54"/>
    <x v="3"/>
    <s v="Los Angeles"/>
    <s v="2020-08"/>
    <x v="9"/>
    <x v="4"/>
    <s v="Q3"/>
    <n v="0.378275181040158"/>
    <n v="1898.75"/>
  </r>
  <r>
    <x v="35"/>
    <n v="7595"/>
    <n v="2873"/>
    <n v="4"/>
    <x v="2"/>
    <x v="5"/>
    <x v="1"/>
    <d v="2022-04-19T00:00:00"/>
    <x v="55"/>
    <x v="2"/>
    <s v="Rochester"/>
    <s v="2022-04"/>
    <x v="11"/>
    <x v="3"/>
    <s v="Q2"/>
    <n v="0.378275181040158"/>
    <n v="1898.75"/>
  </r>
  <r>
    <x v="36"/>
    <n v="1954"/>
    <n v="294"/>
    <n v="7"/>
    <x v="2"/>
    <x v="7"/>
    <x v="1"/>
    <d v="2022-12-23T00:00:00"/>
    <x v="56"/>
    <x v="5"/>
    <s v="Austin"/>
    <s v="2022-12"/>
    <x v="1"/>
    <x v="3"/>
    <s v="Q4"/>
    <n v="0.15046059365404299"/>
    <n v="279.14285714285717"/>
  </r>
  <r>
    <x v="37"/>
    <n v="523"/>
    <n v="95"/>
    <n v="20"/>
    <x v="0"/>
    <x v="1"/>
    <x v="2"/>
    <d v="2024-12-07T00:00:00"/>
    <x v="57"/>
    <x v="5"/>
    <s v="Dallas"/>
    <s v="2024-12"/>
    <x v="1"/>
    <x v="1"/>
    <s v="Q4"/>
    <n v="0.18164435946462715"/>
    <n v="26.15"/>
  </r>
  <r>
    <x v="38"/>
    <n v="5704"/>
    <n v="714"/>
    <n v="13"/>
    <x v="0"/>
    <x v="3"/>
    <x v="2"/>
    <d v="2022-02-03T00:00:00"/>
    <x v="58"/>
    <x v="5"/>
    <s v="Austin"/>
    <s v="2022-02"/>
    <x v="7"/>
    <x v="3"/>
    <s v="Q1"/>
    <n v="0.12517531556802244"/>
    <n v="438.76923076923077"/>
  </r>
  <r>
    <x v="38"/>
    <n v="5704"/>
    <n v="714"/>
    <n v="13"/>
    <x v="0"/>
    <x v="3"/>
    <x v="2"/>
    <d v="2021-12-12T00:00:00"/>
    <x v="59"/>
    <x v="3"/>
    <s v="San Diego"/>
    <s v="2021-12"/>
    <x v="1"/>
    <x v="2"/>
    <s v="Q4"/>
    <n v="0.12517531556802244"/>
    <n v="438.76923076923077"/>
  </r>
  <r>
    <x v="38"/>
    <n v="8797"/>
    <n v="1010"/>
    <n v="8"/>
    <x v="2"/>
    <x v="4"/>
    <x v="0"/>
    <d v="2022-02-03T00:00:00"/>
    <x v="58"/>
    <x v="5"/>
    <s v="Austin"/>
    <s v="2022-02"/>
    <x v="7"/>
    <x v="3"/>
    <s v="Q1"/>
    <n v="0.11481186768216438"/>
    <n v="1099.625"/>
  </r>
  <r>
    <x v="38"/>
    <n v="8797"/>
    <n v="1010"/>
    <n v="8"/>
    <x v="2"/>
    <x v="4"/>
    <x v="0"/>
    <d v="2021-12-12T00:00:00"/>
    <x v="59"/>
    <x v="3"/>
    <s v="San Diego"/>
    <s v="2021-12"/>
    <x v="1"/>
    <x v="2"/>
    <s v="Q4"/>
    <n v="0.11481186768216438"/>
    <n v="1099.625"/>
  </r>
  <r>
    <x v="38"/>
    <n v="9236"/>
    <n v="2899"/>
    <n v="5"/>
    <x v="0"/>
    <x v="3"/>
    <x v="1"/>
    <d v="2022-02-03T00:00:00"/>
    <x v="58"/>
    <x v="5"/>
    <s v="Austin"/>
    <s v="2022-02"/>
    <x v="7"/>
    <x v="3"/>
    <s v="Q1"/>
    <n v="0.31388046773495021"/>
    <n v="1847.2"/>
  </r>
  <r>
    <x v="38"/>
    <n v="9236"/>
    <n v="2899"/>
    <n v="5"/>
    <x v="0"/>
    <x v="3"/>
    <x v="1"/>
    <d v="2021-12-12T00:00:00"/>
    <x v="59"/>
    <x v="3"/>
    <s v="San Diego"/>
    <s v="2021-12"/>
    <x v="1"/>
    <x v="2"/>
    <s v="Q4"/>
    <n v="0.31388046773495021"/>
    <n v="1847.2"/>
  </r>
  <r>
    <x v="39"/>
    <n v="9109"/>
    <n v="586"/>
    <n v="17"/>
    <x v="2"/>
    <x v="7"/>
    <x v="2"/>
    <d v="2020-05-17T00:00:00"/>
    <x v="60"/>
    <x v="0"/>
    <s v="Miami"/>
    <s v="2020-05"/>
    <x v="3"/>
    <x v="4"/>
    <s v="Q2"/>
    <n v="6.4331979361071462E-2"/>
    <n v="535.82352941176475"/>
  </r>
  <r>
    <x v="40"/>
    <n v="4358"/>
    <n v="526"/>
    <n v="19"/>
    <x v="0"/>
    <x v="10"/>
    <x v="3"/>
    <d v="2022-12-05T00:00:00"/>
    <x v="61"/>
    <x v="5"/>
    <s v="Dallas"/>
    <s v="2022-12"/>
    <x v="1"/>
    <x v="3"/>
    <s v="Q4"/>
    <n v="0.12069756769160166"/>
    <n v="229.36842105263159"/>
  </r>
  <r>
    <x v="40"/>
    <n v="4358"/>
    <n v="526"/>
    <n v="19"/>
    <x v="0"/>
    <x v="10"/>
    <x v="3"/>
    <d v="2024-09-17T00:00:00"/>
    <x v="62"/>
    <x v="3"/>
    <s v="San Francisco"/>
    <s v="2024-09"/>
    <x v="10"/>
    <x v="1"/>
    <s v="Q3"/>
    <n v="0.12069756769160166"/>
    <n v="229.36842105263159"/>
  </r>
  <r>
    <x v="40"/>
    <n v="6459"/>
    <n v="825"/>
    <n v="8"/>
    <x v="0"/>
    <x v="10"/>
    <x v="3"/>
    <d v="2022-12-05T00:00:00"/>
    <x v="61"/>
    <x v="5"/>
    <s v="Dallas"/>
    <s v="2022-12"/>
    <x v="1"/>
    <x v="3"/>
    <s v="Q4"/>
    <n v="0.12772875058058522"/>
    <n v="807.375"/>
  </r>
  <r>
    <x v="40"/>
    <n v="6459"/>
    <n v="825"/>
    <n v="8"/>
    <x v="0"/>
    <x v="10"/>
    <x v="3"/>
    <d v="2024-09-17T00:00:00"/>
    <x v="62"/>
    <x v="3"/>
    <s v="San Francisco"/>
    <s v="2024-09"/>
    <x v="10"/>
    <x v="1"/>
    <s v="Q3"/>
    <n v="0.12772875058058522"/>
    <n v="807.375"/>
  </r>
  <r>
    <x v="41"/>
    <n v="2478"/>
    <n v="92"/>
    <n v="12"/>
    <x v="2"/>
    <x v="11"/>
    <x v="4"/>
    <d v="2023-05-08T00:00:00"/>
    <x v="63"/>
    <x v="3"/>
    <s v="San Francisco"/>
    <s v="2023-05"/>
    <x v="3"/>
    <x v="0"/>
    <s v="Q2"/>
    <n v="3.7126715092816787E-2"/>
    <n v="206.5"/>
  </r>
  <r>
    <x v="41"/>
    <n v="2478"/>
    <n v="92"/>
    <n v="12"/>
    <x v="2"/>
    <x v="11"/>
    <x v="4"/>
    <d v="2021-03-03T00:00:00"/>
    <x v="64"/>
    <x v="2"/>
    <s v="New York City"/>
    <s v="2021-03"/>
    <x v="6"/>
    <x v="2"/>
    <s v="Q1"/>
    <n v="3.7126715092816787E-2"/>
    <n v="206.5"/>
  </r>
  <r>
    <x v="41"/>
    <n v="2478"/>
    <n v="92"/>
    <n v="12"/>
    <x v="2"/>
    <x v="11"/>
    <x v="4"/>
    <d v="2021-03-18T00:00:00"/>
    <x v="65"/>
    <x v="3"/>
    <s v="San Francisco"/>
    <s v="2021-03"/>
    <x v="6"/>
    <x v="2"/>
    <s v="Q1"/>
    <n v="3.7126715092816787E-2"/>
    <n v="206.5"/>
  </r>
  <r>
    <x v="41"/>
    <n v="2478"/>
    <n v="92"/>
    <n v="12"/>
    <x v="2"/>
    <x v="11"/>
    <x v="4"/>
    <d v="2023-04-24T00:00:00"/>
    <x v="66"/>
    <x v="6"/>
    <s v="Cleveland"/>
    <s v="2023-04"/>
    <x v="11"/>
    <x v="0"/>
    <s v="Q2"/>
    <n v="3.7126715092816787E-2"/>
    <n v="206.5"/>
  </r>
  <r>
    <x v="42"/>
    <n v="9992"/>
    <n v="3696"/>
    <n v="20"/>
    <x v="1"/>
    <x v="2"/>
    <x v="1"/>
    <d v="2021-10-09T00:00:00"/>
    <x v="67"/>
    <x v="2"/>
    <s v="Rochester"/>
    <s v="2021-10"/>
    <x v="4"/>
    <x v="2"/>
    <s v="Q4"/>
    <n v="0.36989591673338673"/>
    <n v="499.6"/>
  </r>
  <r>
    <x v="42"/>
    <n v="9992"/>
    <n v="3696"/>
    <n v="20"/>
    <x v="1"/>
    <x v="2"/>
    <x v="1"/>
    <d v="2022-04-15T00:00:00"/>
    <x v="68"/>
    <x v="5"/>
    <s v="Austin"/>
    <s v="2022-04"/>
    <x v="11"/>
    <x v="3"/>
    <s v="Q2"/>
    <n v="0.36989591673338673"/>
    <n v="499.6"/>
  </r>
  <r>
    <x v="42"/>
    <n v="9992"/>
    <n v="3696"/>
    <n v="20"/>
    <x v="1"/>
    <x v="2"/>
    <x v="1"/>
    <d v="2022-08-29T00:00:00"/>
    <x v="69"/>
    <x v="2"/>
    <s v="Rochester"/>
    <s v="2022-08"/>
    <x v="9"/>
    <x v="3"/>
    <s v="Q3"/>
    <n v="0.36989591673338673"/>
    <n v="499.6"/>
  </r>
  <r>
    <x v="42"/>
    <n v="9619"/>
    <n v="3420"/>
    <n v="7"/>
    <x v="1"/>
    <x v="9"/>
    <x v="0"/>
    <d v="2021-10-09T00:00:00"/>
    <x v="67"/>
    <x v="2"/>
    <s v="Rochester"/>
    <s v="2021-10"/>
    <x v="4"/>
    <x v="2"/>
    <s v="Q4"/>
    <n v="0.35554631458571578"/>
    <n v="1374.1428571428571"/>
  </r>
  <r>
    <x v="42"/>
    <n v="9619"/>
    <n v="3420"/>
    <n v="7"/>
    <x v="1"/>
    <x v="9"/>
    <x v="0"/>
    <d v="2022-04-15T00:00:00"/>
    <x v="68"/>
    <x v="5"/>
    <s v="Austin"/>
    <s v="2022-04"/>
    <x v="11"/>
    <x v="3"/>
    <s v="Q2"/>
    <n v="0.35554631458571578"/>
    <n v="1374.1428571428571"/>
  </r>
  <r>
    <x v="42"/>
    <n v="9619"/>
    <n v="3420"/>
    <n v="7"/>
    <x v="1"/>
    <x v="9"/>
    <x v="0"/>
    <d v="2022-08-29T00:00:00"/>
    <x v="69"/>
    <x v="2"/>
    <s v="Rochester"/>
    <s v="2022-08"/>
    <x v="9"/>
    <x v="3"/>
    <s v="Q3"/>
    <n v="0.35554631458571578"/>
    <n v="1374.1428571428571"/>
  </r>
  <r>
    <x v="43"/>
    <n v="9538"/>
    <n v="3158"/>
    <n v="20"/>
    <x v="0"/>
    <x v="1"/>
    <x v="3"/>
    <d v="2024-09-04T00:00:00"/>
    <x v="70"/>
    <x v="3"/>
    <s v="San Francisco"/>
    <s v="2024-09"/>
    <x v="10"/>
    <x v="1"/>
    <s v="Q3"/>
    <n v="0.33109666596770809"/>
    <n v="476.9"/>
  </r>
  <r>
    <x v="43"/>
    <n v="9538"/>
    <n v="3158"/>
    <n v="20"/>
    <x v="0"/>
    <x v="1"/>
    <x v="3"/>
    <d v="2021-05-18T00:00:00"/>
    <x v="71"/>
    <x v="6"/>
    <s v="Cleveland"/>
    <s v="2021-05"/>
    <x v="3"/>
    <x v="2"/>
    <s v="Q2"/>
    <n v="0.33109666596770809"/>
    <n v="476.9"/>
  </r>
  <r>
    <x v="43"/>
    <n v="9035"/>
    <n v="1227"/>
    <n v="14"/>
    <x v="2"/>
    <x v="5"/>
    <x v="2"/>
    <d v="2024-09-04T00:00:00"/>
    <x v="70"/>
    <x v="3"/>
    <s v="San Francisco"/>
    <s v="2024-09"/>
    <x v="10"/>
    <x v="1"/>
    <s v="Q3"/>
    <n v="0.13580520199225235"/>
    <n v="645.35714285714289"/>
  </r>
  <r>
    <x v="43"/>
    <n v="9035"/>
    <n v="1227"/>
    <n v="14"/>
    <x v="2"/>
    <x v="5"/>
    <x v="2"/>
    <d v="2021-05-18T00:00:00"/>
    <x v="71"/>
    <x v="6"/>
    <s v="Cleveland"/>
    <s v="2021-05"/>
    <x v="3"/>
    <x v="2"/>
    <s v="Q2"/>
    <n v="0.13580520199225235"/>
    <n v="645.35714285714289"/>
  </r>
  <r>
    <x v="44"/>
    <n v="2684"/>
    <n v="670"/>
    <n v="2"/>
    <x v="1"/>
    <x v="8"/>
    <x v="4"/>
    <d v="2024-07-02T00:00:00"/>
    <x v="72"/>
    <x v="0"/>
    <s v="Tampa"/>
    <s v="2024-07"/>
    <x v="2"/>
    <x v="1"/>
    <s v="Q3"/>
    <n v="0.24962742175856931"/>
    <n v="1342"/>
  </r>
  <r>
    <x v="44"/>
    <n v="822"/>
    <n v="147"/>
    <n v="5"/>
    <x v="2"/>
    <x v="7"/>
    <x v="3"/>
    <d v="2024-07-02T00:00:00"/>
    <x v="72"/>
    <x v="0"/>
    <s v="Tampa"/>
    <s v="2024-07"/>
    <x v="2"/>
    <x v="1"/>
    <s v="Q3"/>
    <n v="0.17883211678832117"/>
    <n v="164.4"/>
  </r>
  <r>
    <x v="44"/>
    <n v="9730"/>
    <n v="2341"/>
    <n v="2"/>
    <x v="2"/>
    <x v="5"/>
    <x v="2"/>
    <d v="2024-07-02T00:00:00"/>
    <x v="72"/>
    <x v="0"/>
    <s v="Tampa"/>
    <s v="2024-07"/>
    <x v="2"/>
    <x v="1"/>
    <s v="Q3"/>
    <n v="0.24059609455292907"/>
    <n v="4865"/>
  </r>
  <r>
    <x v="44"/>
    <n v="2483"/>
    <n v="236"/>
    <n v="2"/>
    <x v="0"/>
    <x v="0"/>
    <x v="4"/>
    <d v="2024-07-02T00:00:00"/>
    <x v="72"/>
    <x v="0"/>
    <s v="Tampa"/>
    <s v="2024-07"/>
    <x v="2"/>
    <x v="1"/>
    <s v="Q3"/>
    <n v="9.50463149416029E-2"/>
    <n v="1241.5"/>
  </r>
  <r>
    <x v="45"/>
    <n v="1297"/>
    <n v="600"/>
    <n v="7"/>
    <x v="1"/>
    <x v="9"/>
    <x v="3"/>
    <d v="2024-02-16T00:00:00"/>
    <x v="73"/>
    <x v="0"/>
    <s v="Orlando"/>
    <s v="2024-02"/>
    <x v="7"/>
    <x v="1"/>
    <s v="Q1"/>
    <n v="0.4626060138781804"/>
    <n v="185.28571428571428"/>
  </r>
  <r>
    <x v="45"/>
    <n v="7909"/>
    <n v="1942"/>
    <n v="19"/>
    <x v="0"/>
    <x v="10"/>
    <x v="4"/>
    <d v="2024-02-16T00:00:00"/>
    <x v="73"/>
    <x v="0"/>
    <s v="Orlando"/>
    <s v="2024-02"/>
    <x v="7"/>
    <x v="1"/>
    <s v="Q1"/>
    <n v="0.24554305221899103"/>
    <n v="416.26315789473682"/>
  </r>
  <r>
    <x v="46"/>
    <n v="9768"/>
    <n v="4518"/>
    <n v="8"/>
    <x v="2"/>
    <x v="4"/>
    <x v="3"/>
    <d v="2021-11-26T00:00:00"/>
    <x v="74"/>
    <x v="5"/>
    <s v="Dallas"/>
    <s v="2021-11"/>
    <x v="5"/>
    <x v="2"/>
    <s v="Q4"/>
    <n v="0.46253071253071254"/>
    <n v="1221"/>
  </r>
  <r>
    <x v="46"/>
    <n v="4968"/>
    <n v="934"/>
    <n v="5"/>
    <x v="2"/>
    <x v="7"/>
    <x v="1"/>
    <d v="2021-11-26T00:00:00"/>
    <x v="74"/>
    <x v="5"/>
    <s v="Dallas"/>
    <s v="2021-11"/>
    <x v="5"/>
    <x v="2"/>
    <s v="Q4"/>
    <n v="0.18800322061191627"/>
    <n v="993.6"/>
  </r>
  <r>
    <x v="46"/>
    <n v="1731"/>
    <n v="149"/>
    <n v="4"/>
    <x v="0"/>
    <x v="3"/>
    <x v="2"/>
    <d v="2021-11-26T00:00:00"/>
    <x v="74"/>
    <x v="5"/>
    <s v="Dallas"/>
    <s v="2021-11"/>
    <x v="5"/>
    <x v="2"/>
    <s v="Q4"/>
    <n v="8.6077411900635475E-2"/>
    <n v="432.75"/>
  </r>
  <r>
    <x v="47"/>
    <n v="3433"/>
    <n v="1169"/>
    <n v="10"/>
    <x v="1"/>
    <x v="9"/>
    <x v="4"/>
    <d v="2024-02-01T00:00:00"/>
    <x v="75"/>
    <x v="3"/>
    <s v="San Francisco"/>
    <s v="2024-02"/>
    <x v="7"/>
    <x v="1"/>
    <s v="Q1"/>
    <n v="0.34051849694145064"/>
    <n v="343.3"/>
  </r>
  <r>
    <x v="47"/>
    <n v="3433"/>
    <n v="1169"/>
    <n v="10"/>
    <x v="1"/>
    <x v="9"/>
    <x v="4"/>
    <d v="2021-09-09T00:00:00"/>
    <x v="76"/>
    <x v="1"/>
    <s v="Springfield"/>
    <s v="2021-09"/>
    <x v="10"/>
    <x v="2"/>
    <s v="Q3"/>
    <n v="0.34051849694145064"/>
    <n v="343.3"/>
  </r>
  <r>
    <x v="47"/>
    <n v="3433"/>
    <n v="1169"/>
    <n v="10"/>
    <x v="1"/>
    <x v="9"/>
    <x v="4"/>
    <d v="2021-09-08T00:00:00"/>
    <x v="77"/>
    <x v="3"/>
    <s v="San Diego"/>
    <s v="2021-09"/>
    <x v="10"/>
    <x v="2"/>
    <s v="Q3"/>
    <n v="0.34051849694145064"/>
    <n v="343.3"/>
  </r>
  <r>
    <x v="47"/>
    <n v="3887"/>
    <n v="1490"/>
    <n v="1"/>
    <x v="1"/>
    <x v="9"/>
    <x v="1"/>
    <d v="2024-02-01T00:00:00"/>
    <x v="75"/>
    <x v="3"/>
    <s v="San Francisco"/>
    <s v="2024-02"/>
    <x v="7"/>
    <x v="1"/>
    <s v="Q1"/>
    <n v="0.3833290455364034"/>
    <n v="3887"/>
  </r>
  <r>
    <x v="47"/>
    <n v="3887"/>
    <n v="1490"/>
    <n v="1"/>
    <x v="1"/>
    <x v="9"/>
    <x v="1"/>
    <d v="2021-09-09T00:00:00"/>
    <x v="76"/>
    <x v="1"/>
    <s v="Springfield"/>
    <s v="2021-09"/>
    <x v="10"/>
    <x v="2"/>
    <s v="Q3"/>
    <n v="0.3833290455364034"/>
    <n v="3887"/>
  </r>
  <r>
    <x v="47"/>
    <n v="3887"/>
    <n v="1490"/>
    <n v="1"/>
    <x v="1"/>
    <x v="9"/>
    <x v="1"/>
    <d v="2021-09-08T00:00:00"/>
    <x v="77"/>
    <x v="3"/>
    <s v="San Diego"/>
    <s v="2021-09"/>
    <x v="10"/>
    <x v="2"/>
    <s v="Q3"/>
    <n v="0.3833290455364034"/>
    <n v="3887"/>
  </r>
  <r>
    <x v="48"/>
    <n v="1801"/>
    <n v="641"/>
    <n v="20"/>
    <x v="1"/>
    <x v="6"/>
    <x v="3"/>
    <d v="2024-07-09T00:00:00"/>
    <x v="78"/>
    <x v="3"/>
    <s v="Los Angeles"/>
    <s v="2024-07"/>
    <x v="2"/>
    <x v="1"/>
    <s v="Q3"/>
    <n v="0.35591338145474738"/>
    <n v="90.05"/>
  </r>
  <r>
    <x v="48"/>
    <n v="5301"/>
    <n v="817"/>
    <n v="10"/>
    <x v="2"/>
    <x v="4"/>
    <x v="1"/>
    <d v="2024-07-09T00:00:00"/>
    <x v="78"/>
    <x v="3"/>
    <s v="Los Angeles"/>
    <s v="2024-07"/>
    <x v="2"/>
    <x v="1"/>
    <s v="Q3"/>
    <n v="0.15412186379928317"/>
    <n v="530.1"/>
  </r>
  <r>
    <x v="48"/>
    <n v="1166"/>
    <n v="520"/>
    <n v="12"/>
    <x v="1"/>
    <x v="8"/>
    <x v="1"/>
    <d v="2024-07-09T00:00:00"/>
    <x v="78"/>
    <x v="3"/>
    <s v="Los Angeles"/>
    <s v="2024-07"/>
    <x v="2"/>
    <x v="1"/>
    <s v="Q3"/>
    <n v="0.44596912521440824"/>
    <n v="97.166666666666671"/>
  </r>
  <r>
    <x v="48"/>
    <n v="3196"/>
    <n v="1411"/>
    <n v="15"/>
    <x v="1"/>
    <x v="8"/>
    <x v="1"/>
    <d v="2024-07-09T00:00:00"/>
    <x v="78"/>
    <x v="3"/>
    <s v="Los Angeles"/>
    <s v="2024-07"/>
    <x v="2"/>
    <x v="1"/>
    <s v="Q3"/>
    <n v="0.44148936170212766"/>
    <n v="213.06666666666666"/>
  </r>
  <r>
    <x v="49"/>
    <n v="3428"/>
    <n v="350"/>
    <n v="1"/>
    <x v="2"/>
    <x v="5"/>
    <x v="3"/>
    <d v="2023-02-28T00:00:00"/>
    <x v="79"/>
    <x v="1"/>
    <s v="Springfield"/>
    <s v="2023-02"/>
    <x v="7"/>
    <x v="0"/>
    <s v="Q1"/>
    <n v="0.10210035005834306"/>
    <n v="3428"/>
  </r>
  <r>
    <x v="49"/>
    <n v="7223"/>
    <n v="2433"/>
    <n v="12"/>
    <x v="1"/>
    <x v="9"/>
    <x v="3"/>
    <d v="2023-02-28T00:00:00"/>
    <x v="79"/>
    <x v="1"/>
    <s v="Springfield"/>
    <s v="2023-02"/>
    <x v="7"/>
    <x v="0"/>
    <s v="Q1"/>
    <n v="0.33684064793022289"/>
    <n v="601.91666666666663"/>
  </r>
  <r>
    <x v="49"/>
    <n v="3731"/>
    <n v="647"/>
    <n v="1"/>
    <x v="1"/>
    <x v="2"/>
    <x v="3"/>
    <d v="2023-02-28T00:00:00"/>
    <x v="79"/>
    <x v="1"/>
    <s v="Springfield"/>
    <s v="2023-02"/>
    <x v="7"/>
    <x v="0"/>
    <s v="Q1"/>
    <n v="0.17341195389975878"/>
    <n v="3731"/>
  </r>
  <r>
    <x v="50"/>
    <n v="8903"/>
    <n v="4401"/>
    <n v="18"/>
    <x v="1"/>
    <x v="2"/>
    <x v="3"/>
    <d v="2022-08-08T00:00:00"/>
    <x v="80"/>
    <x v="6"/>
    <s v="Columbus"/>
    <s v="2022-08"/>
    <x v="9"/>
    <x v="3"/>
    <s v="Q3"/>
    <n v="0.49432775468943052"/>
    <n v="494.61111111111109"/>
  </r>
  <r>
    <x v="51"/>
    <n v="6009"/>
    <n v="2107"/>
    <n v="7"/>
    <x v="0"/>
    <x v="10"/>
    <x v="0"/>
    <d v="2022-12-07T00:00:00"/>
    <x v="81"/>
    <x v="1"/>
    <s v="Chicago"/>
    <s v="2022-12"/>
    <x v="1"/>
    <x v="3"/>
    <s v="Q4"/>
    <n v="0.35064070560825428"/>
    <n v="858.42857142857144"/>
  </r>
  <r>
    <x v="51"/>
    <n v="6009"/>
    <n v="2107"/>
    <n v="7"/>
    <x v="0"/>
    <x v="10"/>
    <x v="0"/>
    <d v="2024-04-29T00:00:00"/>
    <x v="82"/>
    <x v="5"/>
    <s v="Austin"/>
    <s v="2024-04"/>
    <x v="11"/>
    <x v="1"/>
    <s v="Q2"/>
    <n v="0.35064070560825428"/>
    <n v="858.42857142857144"/>
  </r>
  <r>
    <x v="51"/>
    <n v="2858"/>
    <n v="230"/>
    <n v="3"/>
    <x v="2"/>
    <x v="4"/>
    <x v="3"/>
    <d v="2022-12-07T00:00:00"/>
    <x v="81"/>
    <x v="1"/>
    <s v="Chicago"/>
    <s v="2022-12"/>
    <x v="1"/>
    <x v="3"/>
    <s v="Q4"/>
    <n v="8.0475857242827145E-2"/>
    <n v="952.66666666666663"/>
  </r>
  <r>
    <x v="51"/>
    <n v="2858"/>
    <n v="230"/>
    <n v="3"/>
    <x v="2"/>
    <x v="4"/>
    <x v="3"/>
    <d v="2024-04-29T00:00:00"/>
    <x v="82"/>
    <x v="5"/>
    <s v="Austin"/>
    <s v="2024-04"/>
    <x v="11"/>
    <x v="1"/>
    <s v="Q2"/>
    <n v="8.0475857242827145E-2"/>
    <n v="952.66666666666663"/>
  </r>
  <r>
    <x v="51"/>
    <n v="8175"/>
    <n v="525"/>
    <n v="7"/>
    <x v="2"/>
    <x v="7"/>
    <x v="3"/>
    <d v="2022-12-07T00:00:00"/>
    <x v="81"/>
    <x v="1"/>
    <s v="Chicago"/>
    <s v="2022-12"/>
    <x v="1"/>
    <x v="3"/>
    <s v="Q4"/>
    <n v="6.4220183486238536E-2"/>
    <n v="1167.8571428571429"/>
  </r>
  <r>
    <x v="51"/>
    <n v="8175"/>
    <n v="525"/>
    <n v="7"/>
    <x v="2"/>
    <x v="7"/>
    <x v="3"/>
    <d v="2024-04-29T00:00:00"/>
    <x v="82"/>
    <x v="5"/>
    <s v="Austin"/>
    <s v="2024-04"/>
    <x v="11"/>
    <x v="1"/>
    <s v="Q2"/>
    <n v="6.4220183486238536E-2"/>
    <n v="1167.8571428571429"/>
  </r>
  <r>
    <x v="51"/>
    <n v="5846"/>
    <n v="586"/>
    <n v="18"/>
    <x v="2"/>
    <x v="7"/>
    <x v="0"/>
    <d v="2022-12-07T00:00:00"/>
    <x v="81"/>
    <x v="1"/>
    <s v="Chicago"/>
    <s v="2022-12"/>
    <x v="1"/>
    <x v="3"/>
    <s v="Q4"/>
    <n v="0.10023947998631542"/>
    <n v="324.77777777777777"/>
  </r>
  <r>
    <x v="51"/>
    <n v="5846"/>
    <n v="586"/>
    <n v="18"/>
    <x v="2"/>
    <x v="7"/>
    <x v="0"/>
    <d v="2024-04-29T00:00:00"/>
    <x v="82"/>
    <x v="5"/>
    <s v="Austin"/>
    <s v="2024-04"/>
    <x v="11"/>
    <x v="1"/>
    <s v="Q2"/>
    <n v="0.10023947998631542"/>
    <n v="324.77777777777777"/>
  </r>
  <r>
    <x v="52"/>
    <n v="706"/>
    <n v="197"/>
    <n v="11"/>
    <x v="0"/>
    <x v="3"/>
    <x v="3"/>
    <d v="2022-01-02T00:00:00"/>
    <x v="83"/>
    <x v="5"/>
    <s v="Austin"/>
    <s v="2022-01"/>
    <x v="8"/>
    <x v="3"/>
    <s v="Q1"/>
    <n v="0.27903682719546741"/>
    <n v="64.181818181818187"/>
  </r>
  <r>
    <x v="53"/>
    <n v="9835"/>
    <n v="2571"/>
    <n v="16"/>
    <x v="2"/>
    <x v="4"/>
    <x v="4"/>
    <d v="2022-06-10T00:00:00"/>
    <x v="84"/>
    <x v="5"/>
    <s v="Dallas"/>
    <s v="2022-06"/>
    <x v="0"/>
    <x v="3"/>
    <s v="Q2"/>
    <n v="0.26141331977630911"/>
    <n v="614.6875"/>
  </r>
  <r>
    <x v="53"/>
    <n v="9835"/>
    <n v="2571"/>
    <n v="16"/>
    <x v="2"/>
    <x v="4"/>
    <x v="4"/>
    <d v="2021-11-16T00:00:00"/>
    <x v="85"/>
    <x v="0"/>
    <s v="Orlando"/>
    <s v="2021-11"/>
    <x v="5"/>
    <x v="2"/>
    <s v="Q4"/>
    <n v="0.26141331977630911"/>
    <n v="614.6875"/>
  </r>
  <r>
    <x v="53"/>
    <n v="9835"/>
    <n v="2571"/>
    <n v="16"/>
    <x v="2"/>
    <x v="4"/>
    <x v="4"/>
    <d v="2022-08-17T00:00:00"/>
    <x v="86"/>
    <x v="3"/>
    <s v="Los Angeles"/>
    <s v="2022-08"/>
    <x v="9"/>
    <x v="3"/>
    <s v="Q3"/>
    <n v="0.26141331977630911"/>
    <n v="614.6875"/>
  </r>
  <r>
    <x v="53"/>
    <n v="9691"/>
    <n v="3056"/>
    <n v="13"/>
    <x v="1"/>
    <x v="6"/>
    <x v="3"/>
    <d v="2022-06-10T00:00:00"/>
    <x v="84"/>
    <x v="5"/>
    <s v="Dallas"/>
    <s v="2022-06"/>
    <x v="0"/>
    <x v="3"/>
    <s v="Q2"/>
    <n v="0.31534413373232895"/>
    <n v="745.46153846153845"/>
  </r>
  <r>
    <x v="53"/>
    <n v="9691"/>
    <n v="3056"/>
    <n v="13"/>
    <x v="1"/>
    <x v="6"/>
    <x v="3"/>
    <d v="2021-11-16T00:00:00"/>
    <x v="85"/>
    <x v="0"/>
    <s v="Orlando"/>
    <s v="2021-11"/>
    <x v="5"/>
    <x v="2"/>
    <s v="Q4"/>
    <n v="0.31534413373232895"/>
    <n v="745.46153846153845"/>
  </r>
  <r>
    <x v="53"/>
    <n v="9691"/>
    <n v="3056"/>
    <n v="13"/>
    <x v="1"/>
    <x v="6"/>
    <x v="3"/>
    <d v="2022-08-17T00:00:00"/>
    <x v="86"/>
    <x v="3"/>
    <s v="Los Angeles"/>
    <s v="2022-08"/>
    <x v="9"/>
    <x v="3"/>
    <s v="Q3"/>
    <n v="0.31534413373232895"/>
    <n v="745.46153846153845"/>
  </r>
  <r>
    <x v="53"/>
    <n v="7826"/>
    <n v="1221"/>
    <n v="14"/>
    <x v="2"/>
    <x v="11"/>
    <x v="0"/>
    <d v="2022-06-10T00:00:00"/>
    <x v="84"/>
    <x v="5"/>
    <s v="Dallas"/>
    <s v="2022-06"/>
    <x v="0"/>
    <x v="3"/>
    <s v="Q2"/>
    <n v="0.15601840020444671"/>
    <n v="559"/>
  </r>
  <r>
    <x v="53"/>
    <n v="7826"/>
    <n v="1221"/>
    <n v="14"/>
    <x v="2"/>
    <x v="11"/>
    <x v="0"/>
    <d v="2021-11-16T00:00:00"/>
    <x v="85"/>
    <x v="0"/>
    <s v="Orlando"/>
    <s v="2021-11"/>
    <x v="5"/>
    <x v="2"/>
    <s v="Q4"/>
    <n v="0.15601840020444671"/>
    <n v="559"/>
  </r>
  <r>
    <x v="53"/>
    <n v="7826"/>
    <n v="1221"/>
    <n v="14"/>
    <x v="2"/>
    <x v="11"/>
    <x v="0"/>
    <d v="2022-08-17T00:00:00"/>
    <x v="86"/>
    <x v="3"/>
    <s v="Los Angeles"/>
    <s v="2022-08"/>
    <x v="9"/>
    <x v="3"/>
    <s v="Q3"/>
    <n v="0.15601840020444671"/>
    <n v="559"/>
  </r>
  <r>
    <x v="54"/>
    <n v="770"/>
    <n v="241"/>
    <n v="11"/>
    <x v="2"/>
    <x v="7"/>
    <x v="4"/>
    <d v="2021-11-23T00:00:00"/>
    <x v="87"/>
    <x v="5"/>
    <s v="Austin"/>
    <s v="2021-11"/>
    <x v="5"/>
    <x v="2"/>
    <s v="Q4"/>
    <n v="0.31298701298701298"/>
    <n v="70"/>
  </r>
  <r>
    <x v="54"/>
    <n v="770"/>
    <n v="241"/>
    <n v="11"/>
    <x v="2"/>
    <x v="7"/>
    <x v="4"/>
    <d v="2023-03-04T00:00:00"/>
    <x v="88"/>
    <x v="6"/>
    <s v="Cincinnati"/>
    <s v="2023-03"/>
    <x v="6"/>
    <x v="0"/>
    <s v="Q1"/>
    <n v="0.31298701298701298"/>
    <n v="70"/>
  </r>
  <r>
    <x v="55"/>
    <n v="9895"/>
    <n v="1598"/>
    <n v="20"/>
    <x v="2"/>
    <x v="11"/>
    <x v="4"/>
    <d v="2023-12-16T00:00:00"/>
    <x v="89"/>
    <x v="2"/>
    <s v="Rochester"/>
    <s v="2023-12"/>
    <x v="1"/>
    <x v="0"/>
    <s v="Q4"/>
    <n v="0.16149570490146539"/>
    <n v="494.75"/>
  </r>
  <r>
    <x v="56"/>
    <n v="6517"/>
    <n v="1581"/>
    <n v="10"/>
    <x v="1"/>
    <x v="8"/>
    <x v="1"/>
    <d v="2024-05-19T00:00:00"/>
    <x v="90"/>
    <x v="0"/>
    <s v="Miami"/>
    <s v="2024-05"/>
    <x v="3"/>
    <x v="1"/>
    <s v="Q2"/>
    <n v="0.24259628663495472"/>
    <n v="651.70000000000005"/>
  </r>
  <r>
    <x v="56"/>
    <n v="6517"/>
    <n v="1581"/>
    <n v="10"/>
    <x v="1"/>
    <x v="8"/>
    <x v="1"/>
    <d v="2020-05-14T00:00:00"/>
    <x v="91"/>
    <x v="0"/>
    <s v="Tampa"/>
    <s v="2020-05"/>
    <x v="3"/>
    <x v="4"/>
    <s v="Q2"/>
    <n v="0.24259628663495472"/>
    <n v="651.70000000000005"/>
  </r>
  <r>
    <x v="56"/>
    <n v="1166"/>
    <n v="349"/>
    <n v="11"/>
    <x v="2"/>
    <x v="4"/>
    <x v="3"/>
    <d v="2024-05-19T00:00:00"/>
    <x v="90"/>
    <x v="0"/>
    <s v="Miami"/>
    <s v="2024-05"/>
    <x v="3"/>
    <x v="1"/>
    <s v="Q2"/>
    <n v="0.29931389365351629"/>
    <n v="106"/>
  </r>
  <r>
    <x v="56"/>
    <n v="1166"/>
    <n v="349"/>
    <n v="11"/>
    <x v="2"/>
    <x v="4"/>
    <x v="3"/>
    <d v="2020-05-14T00:00:00"/>
    <x v="91"/>
    <x v="0"/>
    <s v="Tampa"/>
    <s v="2020-05"/>
    <x v="3"/>
    <x v="4"/>
    <s v="Q2"/>
    <n v="0.29931389365351629"/>
    <n v="106"/>
  </r>
  <r>
    <x v="57"/>
    <n v="9820"/>
    <n v="793"/>
    <n v="16"/>
    <x v="2"/>
    <x v="5"/>
    <x v="3"/>
    <d v="2021-08-29T00:00:00"/>
    <x v="92"/>
    <x v="2"/>
    <s v="Buffalo"/>
    <s v="2021-08"/>
    <x v="9"/>
    <x v="2"/>
    <s v="Q3"/>
    <n v="8.0753564154786156E-2"/>
    <n v="613.75"/>
  </r>
  <r>
    <x v="58"/>
    <n v="8563"/>
    <n v="2624"/>
    <n v="8"/>
    <x v="1"/>
    <x v="9"/>
    <x v="4"/>
    <d v="2024-11-10T00:00:00"/>
    <x v="93"/>
    <x v="5"/>
    <s v="Dallas"/>
    <s v="2024-11"/>
    <x v="5"/>
    <x v="1"/>
    <s v="Q4"/>
    <n v="0.30643466074973724"/>
    <n v="1070.375"/>
  </r>
  <r>
    <x v="58"/>
    <n v="4441"/>
    <n v="281"/>
    <n v="20"/>
    <x v="0"/>
    <x v="1"/>
    <x v="4"/>
    <d v="2024-11-10T00:00:00"/>
    <x v="93"/>
    <x v="5"/>
    <s v="Dallas"/>
    <s v="2024-11"/>
    <x v="5"/>
    <x v="1"/>
    <s v="Q4"/>
    <n v="6.3274037378968695E-2"/>
    <n v="222.05"/>
  </r>
  <r>
    <x v="59"/>
    <n v="7340"/>
    <n v="2271"/>
    <n v="8"/>
    <x v="1"/>
    <x v="8"/>
    <x v="2"/>
    <d v="2021-12-05T00:00:00"/>
    <x v="94"/>
    <x v="0"/>
    <s v="Orlando"/>
    <s v="2021-12"/>
    <x v="1"/>
    <x v="2"/>
    <s v="Q4"/>
    <n v="0.30940054495912805"/>
    <n v="917.5"/>
  </r>
  <r>
    <x v="59"/>
    <n v="5442"/>
    <n v="1610"/>
    <n v="1"/>
    <x v="0"/>
    <x v="10"/>
    <x v="2"/>
    <d v="2021-12-05T00:00:00"/>
    <x v="94"/>
    <x v="0"/>
    <s v="Orlando"/>
    <s v="2021-12"/>
    <x v="1"/>
    <x v="2"/>
    <s v="Q4"/>
    <n v="0.29584711503123851"/>
    <n v="5442"/>
  </r>
  <r>
    <x v="60"/>
    <n v="1895"/>
    <n v="391"/>
    <n v="14"/>
    <x v="2"/>
    <x v="4"/>
    <x v="0"/>
    <d v="2024-07-05T00:00:00"/>
    <x v="95"/>
    <x v="0"/>
    <s v="Tampa"/>
    <s v="2024-07"/>
    <x v="2"/>
    <x v="1"/>
    <s v="Q3"/>
    <n v="0.20633245382585752"/>
    <n v="135.35714285714286"/>
  </r>
  <r>
    <x v="60"/>
    <n v="5323"/>
    <n v="322"/>
    <n v="13"/>
    <x v="1"/>
    <x v="9"/>
    <x v="4"/>
    <d v="2024-07-05T00:00:00"/>
    <x v="95"/>
    <x v="0"/>
    <s v="Tampa"/>
    <s v="2024-07"/>
    <x v="2"/>
    <x v="1"/>
    <s v="Q3"/>
    <n v="6.0492203644561336E-2"/>
    <n v="409.46153846153845"/>
  </r>
  <r>
    <x v="61"/>
    <n v="8850"/>
    <n v="279"/>
    <n v="13"/>
    <x v="1"/>
    <x v="6"/>
    <x v="1"/>
    <d v="2024-06-25T00:00:00"/>
    <x v="96"/>
    <x v="0"/>
    <s v="Miami"/>
    <s v="2024-06"/>
    <x v="0"/>
    <x v="1"/>
    <s v="Q2"/>
    <n v="3.1525423728813562E-2"/>
    <n v="680.76923076923072"/>
  </r>
  <r>
    <x v="61"/>
    <n v="8667"/>
    <n v="1266"/>
    <n v="6"/>
    <x v="1"/>
    <x v="8"/>
    <x v="1"/>
    <d v="2024-06-25T00:00:00"/>
    <x v="96"/>
    <x v="0"/>
    <s v="Miami"/>
    <s v="2024-06"/>
    <x v="0"/>
    <x v="1"/>
    <s v="Q2"/>
    <n v="0.14607130494980963"/>
    <n v="1444.5"/>
  </r>
  <r>
    <x v="62"/>
    <n v="6903"/>
    <n v="105"/>
    <n v="1"/>
    <x v="2"/>
    <x v="4"/>
    <x v="4"/>
    <d v="2024-05-31T00:00:00"/>
    <x v="97"/>
    <x v="1"/>
    <s v="Chicago"/>
    <s v="2024-05"/>
    <x v="3"/>
    <x v="1"/>
    <s v="Q2"/>
    <n v="1.5210777922642329E-2"/>
    <n v="6903"/>
  </r>
  <r>
    <x v="62"/>
    <n v="8793"/>
    <n v="3010"/>
    <n v="7"/>
    <x v="1"/>
    <x v="2"/>
    <x v="4"/>
    <d v="2024-05-31T00:00:00"/>
    <x v="97"/>
    <x v="1"/>
    <s v="Chicago"/>
    <s v="2024-05"/>
    <x v="3"/>
    <x v="1"/>
    <s v="Q2"/>
    <n v="0.34231775275787557"/>
    <n v="1256.1428571428571"/>
  </r>
  <r>
    <x v="63"/>
    <n v="9883"/>
    <n v="4812"/>
    <n v="16"/>
    <x v="1"/>
    <x v="8"/>
    <x v="0"/>
    <d v="2020-10-20T00:00:00"/>
    <x v="98"/>
    <x v="2"/>
    <s v="Buffalo"/>
    <s v="2020-10"/>
    <x v="4"/>
    <x v="4"/>
    <s v="Q4"/>
    <n v="0.48689669128807045"/>
    <n v="617.6875"/>
  </r>
  <r>
    <x v="63"/>
    <n v="9883"/>
    <n v="4812"/>
    <n v="16"/>
    <x v="1"/>
    <x v="8"/>
    <x v="0"/>
    <d v="2022-08-11T00:00:00"/>
    <x v="99"/>
    <x v="0"/>
    <s v="Orlando"/>
    <s v="2022-08"/>
    <x v="9"/>
    <x v="3"/>
    <s v="Q3"/>
    <n v="0.48689669128807045"/>
    <n v="617.6875"/>
  </r>
  <r>
    <x v="63"/>
    <n v="9883"/>
    <n v="4812"/>
    <n v="16"/>
    <x v="1"/>
    <x v="8"/>
    <x v="0"/>
    <d v="2021-10-17T00:00:00"/>
    <x v="100"/>
    <x v="1"/>
    <s v="Springfield"/>
    <s v="2021-10"/>
    <x v="4"/>
    <x v="2"/>
    <s v="Q4"/>
    <n v="0.48689669128807045"/>
    <n v="617.6875"/>
  </r>
  <r>
    <x v="63"/>
    <n v="5210"/>
    <n v="1185"/>
    <n v="7"/>
    <x v="1"/>
    <x v="8"/>
    <x v="0"/>
    <d v="2020-10-20T00:00:00"/>
    <x v="98"/>
    <x v="2"/>
    <s v="Buffalo"/>
    <s v="2020-10"/>
    <x v="4"/>
    <x v="4"/>
    <s v="Q4"/>
    <n v="0.22744721689059502"/>
    <n v="744.28571428571433"/>
  </r>
  <r>
    <x v="63"/>
    <n v="5210"/>
    <n v="1185"/>
    <n v="7"/>
    <x v="1"/>
    <x v="8"/>
    <x v="0"/>
    <d v="2022-08-11T00:00:00"/>
    <x v="99"/>
    <x v="0"/>
    <s v="Orlando"/>
    <s v="2022-08"/>
    <x v="9"/>
    <x v="3"/>
    <s v="Q3"/>
    <n v="0.22744721689059502"/>
    <n v="744.28571428571433"/>
  </r>
  <r>
    <x v="63"/>
    <n v="5210"/>
    <n v="1185"/>
    <n v="7"/>
    <x v="1"/>
    <x v="8"/>
    <x v="0"/>
    <d v="2021-10-17T00:00:00"/>
    <x v="100"/>
    <x v="1"/>
    <s v="Springfield"/>
    <s v="2021-10"/>
    <x v="4"/>
    <x v="2"/>
    <s v="Q4"/>
    <n v="0.22744721689059502"/>
    <n v="744.28571428571433"/>
  </r>
  <r>
    <x v="64"/>
    <n v="3574"/>
    <n v="851"/>
    <n v="4"/>
    <x v="0"/>
    <x v="1"/>
    <x v="3"/>
    <d v="2022-02-23T00:00:00"/>
    <x v="101"/>
    <x v="3"/>
    <s v="Los Angeles"/>
    <s v="2022-02"/>
    <x v="7"/>
    <x v="3"/>
    <s v="Q1"/>
    <n v="0.23810856183547846"/>
    <n v="893.5"/>
  </r>
  <r>
    <x v="64"/>
    <n v="576"/>
    <n v="76"/>
    <n v="13"/>
    <x v="2"/>
    <x v="7"/>
    <x v="0"/>
    <d v="2022-02-23T00:00:00"/>
    <x v="101"/>
    <x v="3"/>
    <s v="Los Angeles"/>
    <s v="2022-02"/>
    <x v="7"/>
    <x v="3"/>
    <s v="Q1"/>
    <n v="0.13194444444444445"/>
    <n v="44.307692307692307"/>
  </r>
  <r>
    <x v="65"/>
    <n v="1860"/>
    <n v="457"/>
    <n v="13"/>
    <x v="0"/>
    <x v="1"/>
    <x v="2"/>
    <d v="2023-09-20T00:00:00"/>
    <x v="102"/>
    <x v="6"/>
    <s v="Cleveland"/>
    <s v="2023-09"/>
    <x v="10"/>
    <x v="0"/>
    <s v="Q3"/>
    <n v="0.24569892473118279"/>
    <n v="143.07692307692307"/>
  </r>
  <r>
    <x v="66"/>
    <n v="782"/>
    <n v="374"/>
    <n v="8"/>
    <x v="1"/>
    <x v="2"/>
    <x v="2"/>
    <d v="2021-01-19T00:00:00"/>
    <x v="103"/>
    <x v="1"/>
    <s v="Peoria"/>
    <s v="2021-01"/>
    <x v="8"/>
    <x v="2"/>
    <s v="Q1"/>
    <n v="0.47826086956521741"/>
    <n v="97.75"/>
  </r>
  <r>
    <x v="66"/>
    <n v="4371"/>
    <n v="1852"/>
    <n v="1"/>
    <x v="0"/>
    <x v="3"/>
    <x v="0"/>
    <d v="2021-01-19T00:00:00"/>
    <x v="103"/>
    <x v="1"/>
    <s v="Peoria"/>
    <s v="2021-01"/>
    <x v="8"/>
    <x v="2"/>
    <s v="Q1"/>
    <n v="0.42370167009837567"/>
    <n v="4371"/>
  </r>
  <r>
    <x v="67"/>
    <n v="8346"/>
    <n v="1176"/>
    <n v="1"/>
    <x v="0"/>
    <x v="10"/>
    <x v="4"/>
    <d v="2020-08-21T00:00:00"/>
    <x v="104"/>
    <x v="5"/>
    <s v="Houston"/>
    <s v="2020-08"/>
    <x v="9"/>
    <x v="4"/>
    <s v="Q3"/>
    <n v="0.14090582314881381"/>
    <n v="8346"/>
  </r>
  <r>
    <x v="67"/>
    <n v="8346"/>
    <n v="1176"/>
    <n v="1"/>
    <x v="0"/>
    <x v="10"/>
    <x v="4"/>
    <d v="2023-04-17T00:00:00"/>
    <x v="105"/>
    <x v="1"/>
    <s v="Chicago"/>
    <s v="2023-04"/>
    <x v="11"/>
    <x v="0"/>
    <s v="Q2"/>
    <n v="0.14090582314881381"/>
    <n v="8346"/>
  </r>
  <r>
    <x v="67"/>
    <n v="8346"/>
    <n v="1176"/>
    <n v="1"/>
    <x v="0"/>
    <x v="10"/>
    <x v="4"/>
    <d v="2023-12-24T00:00:00"/>
    <x v="106"/>
    <x v="3"/>
    <s v="San Francisco"/>
    <s v="2023-12"/>
    <x v="1"/>
    <x v="0"/>
    <s v="Q4"/>
    <n v="0.14090582314881381"/>
    <n v="8346"/>
  </r>
  <r>
    <x v="67"/>
    <n v="6218"/>
    <n v="1125"/>
    <n v="5"/>
    <x v="2"/>
    <x v="4"/>
    <x v="1"/>
    <d v="2020-08-21T00:00:00"/>
    <x v="104"/>
    <x v="5"/>
    <s v="Houston"/>
    <s v="2020-08"/>
    <x v="9"/>
    <x v="4"/>
    <s v="Q3"/>
    <n v="0.18092634287552267"/>
    <n v="1243.5999999999999"/>
  </r>
  <r>
    <x v="67"/>
    <n v="6218"/>
    <n v="1125"/>
    <n v="5"/>
    <x v="2"/>
    <x v="4"/>
    <x v="1"/>
    <d v="2023-04-17T00:00:00"/>
    <x v="105"/>
    <x v="1"/>
    <s v="Chicago"/>
    <s v="2023-04"/>
    <x v="11"/>
    <x v="0"/>
    <s v="Q2"/>
    <n v="0.18092634287552267"/>
    <n v="1243.5999999999999"/>
  </r>
  <r>
    <x v="67"/>
    <n v="6218"/>
    <n v="1125"/>
    <n v="5"/>
    <x v="2"/>
    <x v="4"/>
    <x v="1"/>
    <d v="2023-12-24T00:00:00"/>
    <x v="106"/>
    <x v="3"/>
    <s v="San Francisco"/>
    <s v="2023-12"/>
    <x v="1"/>
    <x v="0"/>
    <s v="Q4"/>
    <n v="0.18092634287552267"/>
    <n v="1243.5999999999999"/>
  </r>
  <r>
    <x v="67"/>
    <n v="5167"/>
    <n v="253"/>
    <n v="14"/>
    <x v="0"/>
    <x v="1"/>
    <x v="3"/>
    <d v="2020-08-21T00:00:00"/>
    <x v="104"/>
    <x v="5"/>
    <s v="Houston"/>
    <s v="2020-08"/>
    <x v="9"/>
    <x v="4"/>
    <s v="Q3"/>
    <n v="4.8964582930133539E-2"/>
    <n v="369.07142857142856"/>
  </r>
  <r>
    <x v="67"/>
    <n v="5167"/>
    <n v="253"/>
    <n v="14"/>
    <x v="0"/>
    <x v="1"/>
    <x v="3"/>
    <d v="2023-04-17T00:00:00"/>
    <x v="105"/>
    <x v="1"/>
    <s v="Chicago"/>
    <s v="2023-04"/>
    <x v="11"/>
    <x v="0"/>
    <s v="Q2"/>
    <n v="4.8964582930133539E-2"/>
    <n v="369.07142857142856"/>
  </r>
  <r>
    <x v="67"/>
    <n v="5167"/>
    <n v="253"/>
    <n v="14"/>
    <x v="0"/>
    <x v="1"/>
    <x v="3"/>
    <d v="2023-12-24T00:00:00"/>
    <x v="106"/>
    <x v="3"/>
    <s v="San Francisco"/>
    <s v="2023-12"/>
    <x v="1"/>
    <x v="0"/>
    <s v="Q4"/>
    <n v="4.8964582930133539E-2"/>
    <n v="369.07142857142856"/>
  </r>
  <r>
    <x v="67"/>
    <n v="2799"/>
    <n v="1239"/>
    <n v="5"/>
    <x v="2"/>
    <x v="7"/>
    <x v="1"/>
    <d v="2020-08-21T00:00:00"/>
    <x v="104"/>
    <x v="5"/>
    <s v="Houston"/>
    <s v="2020-08"/>
    <x v="9"/>
    <x v="4"/>
    <s v="Q3"/>
    <n v="0.44265809217577706"/>
    <n v="559.79999999999995"/>
  </r>
  <r>
    <x v="67"/>
    <n v="2799"/>
    <n v="1239"/>
    <n v="5"/>
    <x v="2"/>
    <x v="7"/>
    <x v="1"/>
    <d v="2023-04-17T00:00:00"/>
    <x v="105"/>
    <x v="1"/>
    <s v="Chicago"/>
    <s v="2023-04"/>
    <x v="11"/>
    <x v="0"/>
    <s v="Q2"/>
    <n v="0.44265809217577706"/>
    <n v="559.79999999999995"/>
  </r>
  <r>
    <x v="67"/>
    <n v="2799"/>
    <n v="1239"/>
    <n v="5"/>
    <x v="2"/>
    <x v="7"/>
    <x v="1"/>
    <d v="2023-12-24T00:00:00"/>
    <x v="106"/>
    <x v="3"/>
    <s v="San Francisco"/>
    <s v="2023-12"/>
    <x v="1"/>
    <x v="0"/>
    <s v="Q4"/>
    <n v="0.44265809217577706"/>
    <n v="559.79999999999995"/>
  </r>
  <r>
    <x v="68"/>
    <n v="3234"/>
    <n v="1029"/>
    <n v="20"/>
    <x v="1"/>
    <x v="6"/>
    <x v="3"/>
    <d v="2022-03-20T00:00:00"/>
    <x v="107"/>
    <x v="0"/>
    <s v="Miami"/>
    <s v="2022-03"/>
    <x v="6"/>
    <x v="3"/>
    <s v="Q1"/>
    <n v="0.31818181818181818"/>
    <n v="161.69999999999999"/>
  </r>
  <r>
    <x v="69"/>
    <n v="4920"/>
    <n v="775"/>
    <n v="12"/>
    <x v="2"/>
    <x v="4"/>
    <x v="1"/>
    <d v="2021-08-12T00:00:00"/>
    <x v="108"/>
    <x v="1"/>
    <s v="Springfield"/>
    <s v="2021-08"/>
    <x v="9"/>
    <x v="2"/>
    <s v="Q3"/>
    <n v="0.15752032520325204"/>
    <n v="410"/>
  </r>
  <r>
    <x v="69"/>
    <n v="9078"/>
    <n v="2213"/>
    <n v="15"/>
    <x v="2"/>
    <x v="11"/>
    <x v="2"/>
    <d v="2021-08-12T00:00:00"/>
    <x v="108"/>
    <x v="1"/>
    <s v="Springfield"/>
    <s v="2021-08"/>
    <x v="9"/>
    <x v="2"/>
    <s v="Q3"/>
    <n v="0.24377616215025336"/>
    <n v="605.20000000000005"/>
  </r>
  <r>
    <x v="70"/>
    <n v="8586"/>
    <n v="3826"/>
    <n v="7"/>
    <x v="2"/>
    <x v="11"/>
    <x v="0"/>
    <d v="2020-12-21T00:00:00"/>
    <x v="109"/>
    <x v="0"/>
    <s v="Miami"/>
    <s v="2020-12"/>
    <x v="1"/>
    <x v="4"/>
    <s v="Q4"/>
    <n v="0.44560913114372236"/>
    <n v="1226.5714285714287"/>
  </r>
  <r>
    <x v="70"/>
    <n v="8586"/>
    <n v="3826"/>
    <n v="7"/>
    <x v="2"/>
    <x v="11"/>
    <x v="0"/>
    <d v="2023-07-07T00:00:00"/>
    <x v="110"/>
    <x v="0"/>
    <s v="Tampa"/>
    <s v="2023-07"/>
    <x v="2"/>
    <x v="0"/>
    <s v="Q3"/>
    <n v="0.44560913114372236"/>
    <n v="1226.5714285714287"/>
  </r>
  <r>
    <x v="71"/>
    <n v="5047"/>
    <n v="2211"/>
    <n v="13"/>
    <x v="2"/>
    <x v="7"/>
    <x v="2"/>
    <d v="2023-08-13T00:00:00"/>
    <x v="111"/>
    <x v="3"/>
    <s v="San Francisco"/>
    <s v="2023-08"/>
    <x v="9"/>
    <x v="0"/>
    <s v="Q3"/>
    <n v="0.43808202892807607"/>
    <n v="388.23076923076923"/>
  </r>
  <r>
    <x v="71"/>
    <n v="5047"/>
    <n v="2211"/>
    <n v="13"/>
    <x v="2"/>
    <x v="7"/>
    <x v="2"/>
    <d v="2021-02-04T00:00:00"/>
    <x v="112"/>
    <x v="1"/>
    <s v="Chicago"/>
    <s v="2021-02"/>
    <x v="7"/>
    <x v="2"/>
    <s v="Q1"/>
    <n v="0.43808202892807607"/>
    <n v="388.23076923076923"/>
  </r>
  <r>
    <x v="71"/>
    <n v="5047"/>
    <n v="2211"/>
    <n v="13"/>
    <x v="2"/>
    <x v="7"/>
    <x v="2"/>
    <d v="2022-09-16T00:00:00"/>
    <x v="113"/>
    <x v="1"/>
    <s v="Peoria"/>
    <s v="2022-09"/>
    <x v="10"/>
    <x v="3"/>
    <s v="Q3"/>
    <n v="0.43808202892807607"/>
    <n v="388.23076923076923"/>
  </r>
  <r>
    <x v="71"/>
    <n v="5047"/>
    <n v="2211"/>
    <n v="13"/>
    <x v="2"/>
    <x v="7"/>
    <x v="2"/>
    <d v="2022-05-06T00:00:00"/>
    <x v="114"/>
    <x v="2"/>
    <s v="Buffalo"/>
    <s v="2022-05"/>
    <x v="3"/>
    <x v="3"/>
    <s v="Q2"/>
    <n v="0.43808202892807607"/>
    <n v="388.23076923076923"/>
  </r>
  <r>
    <x v="72"/>
    <n v="3657"/>
    <n v="163"/>
    <n v="1"/>
    <x v="2"/>
    <x v="7"/>
    <x v="0"/>
    <d v="2021-05-28T00:00:00"/>
    <x v="115"/>
    <x v="3"/>
    <s v="San Francisco"/>
    <s v="2021-05"/>
    <x v="3"/>
    <x v="2"/>
    <s v="Q2"/>
    <n v="4.457205359584359E-2"/>
    <n v="3657"/>
  </r>
  <r>
    <x v="73"/>
    <n v="6471"/>
    <n v="2842"/>
    <n v="18"/>
    <x v="0"/>
    <x v="0"/>
    <x v="0"/>
    <d v="2024-07-18T00:00:00"/>
    <x v="116"/>
    <x v="1"/>
    <s v="Peoria"/>
    <s v="2024-07"/>
    <x v="2"/>
    <x v="1"/>
    <s v="Q3"/>
    <n v="0.43919023334878687"/>
    <n v="359.5"/>
  </r>
  <r>
    <x v="74"/>
    <n v="949"/>
    <n v="301"/>
    <n v="9"/>
    <x v="1"/>
    <x v="9"/>
    <x v="0"/>
    <d v="2024-12-06T00:00:00"/>
    <x v="117"/>
    <x v="6"/>
    <s v="Cleveland"/>
    <s v="2024-12"/>
    <x v="1"/>
    <x v="1"/>
    <s v="Q4"/>
    <n v="0.3171759747102213"/>
    <n v="105.44444444444444"/>
  </r>
  <r>
    <x v="74"/>
    <n v="6823"/>
    <n v="771"/>
    <n v="6"/>
    <x v="1"/>
    <x v="9"/>
    <x v="2"/>
    <d v="2024-12-06T00:00:00"/>
    <x v="117"/>
    <x v="6"/>
    <s v="Cleveland"/>
    <s v="2024-12"/>
    <x v="1"/>
    <x v="1"/>
    <s v="Q4"/>
    <n v="0.11300014656309541"/>
    <n v="1137.1666666666667"/>
  </r>
  <r>
    <x v="74"/>
    <n v="4364"/>
    <n v="831"/>
    <n v="2"/>
    <x v="2"/>
    <x v="4"/>
    <x v="2"/>
    <d v="2024-12-06T00:00:00"/>
    <x v="117"/>
    <x v="6"/>
    <s v="Cleveland"/>
    <s v="2024-12"/>
    <x v="1"/>
    <x v="1"/>
    <s v="Q4"/>
    <n v="0.19042163153070576"/>
    <n v="2182"/>
  </r>
  <r>
    <x v="75"/>
    <n v="6671"/>
    <n v="2797"/>
    <n v="10"/>
    <x v="0"/>
    <x v="10"/>
    <x v="0"/>
    <d v="2022-12-12T00:00:00"/>
    <x v="118"/>
    <x v="1"/>
    <s v="Peoria"/>
    <s v="2022-12"/>
    <x v="1"/>
    <x v="3"/>
    <s v="Q4"/>
    <n v="0.41927746964473095"/>
    <n v="667.1"/>
  </r>
  <r>
    <x v="76"/>
    <n v="7472"/>
    <n v="1037"/>
    <n v="3"/>
    <x v="1"/>
    <x v="8"/>
    <x v="4"/>
    <d v="2022-10-20T00:00:00"/>
    <x v="119"/>
    <x v="1"/>
    <s v="Springfield"/>
    <s v="2022-10"/>
    <x v="4"/>
    <x v="3"/>
    <s v="Q4"/>
    <n v="0.1387847965738758"/>
    <n v="2490.6666666666665"/>
  </r>
  <r>
    <x v="76"/>
    <n v="9548"/>
    <n v="1806"/>
    <n v="9"/>
    <x v="0"/>
    <x v="1"/>
    <x v="4"/>
    <d v="2022-10-20T00:00:00"/>
    <x v="119"/>
    <x v="1"/>
    <s v="Springfield"/>
    <s v="2022-10"/>
    <x v="4"/>
    <x v="3"/>
    <s v="Q4"/>
    <n v="0.18914956011730205"/>
    <n v="1060.8888888888889"/>
  </r>
  <r>
    <x v="77"/>
    <n v="7759"/>
    <n v="3741"/>
    <n v="17"/>
    <x v="0"/>
    <x v="1"/>
    <x v="0"/>
    <d v="2021-03-24T00:00:00"/>
    <x v="120"/>
    <x v="0"/>
    <s v="Miami"/>
    <s v="2021-03"/>
    <x v="6"/>
    <x v="2"/>
    <s v="Q1"/>
    <n v="0.48214976156721229"/>
    <n v="456.41176470588238"/>
  </r>
  <r>
    <x v="77"/>
    <n v="7759"/>
    <n v="3741"/>
    <n v="17"/>
    <x v="0"/>
    <x v="1"/>
    <x v="0"/>
    <d v="2025-01-06T00:00:00"/>
    <x v="121"/>
    <x v="5"/>
    <s v="Dallas"/>
    <s v="2025-01"/>
    <x v="8"/>
    <x v="5"/>
    <s v="Q1"/>
    <n v="0.48214976156721229"/>
    <n v="456.41176470588238"/>
  </r>
  <r>
    <x v="77"/>
    <n v="7521"/>
    <n v="3457"/>
    <n v="16"/>
    <x v="1"/>
    <x v="6"/>
    <x v="1"/>
    <d v="2021-03-24T00:00:00"/>
    <x v="120"/>
    <x v="0"/>
    <s v="Miami"/>
    <s v="2021-03"/>
    <x v="6"/>
    <x v="2"/>
    <s v="Q1"/>
    <n v="0.45964632362717722"/>
    <n v="470.0625"/>
  </r>
  <r>
    <x v="77"/>
    <n v="7521"/>
    <n v="3457"/>
    <n v="16"/>
    <x v="1"/>
    <x v="6"/>
    <x v="1"/>
    <d v="2025-01-06T00:00:00"/>
    <x v="121"/>
    <x v="5"/>
    <s v="Dallas"/>
    <s v="2025-01"/>
    <x v="8"/>
    <x v="5"/>
    <s v="Q1"/>
    <n v="0.45964632362717722"/>
    <n v="470.0625"/>
  </r>
  <r>
    <x v="78"/>
    <n v="9704"/>
    <n v="4339"/>
    <n v="12"/>
    <x v="1"/>
    <x v="2"/>
    <x v="4"/>
    <d v="2021-03-06T00:00:00"/>
    <x v="122"/>
    <x v="5"/>
    <s v="Houston"/>
    <s v="2021-03"/>
    <x v="6"/>
    <x v="2"/>
    <s v="Q1"/>
    <n v="0.44713520197856554"/>
    <n v="808.66666666666663"/>
  </r>
  <r>
    <x v="78"/>
    <n v="4948"/>
    <n v="2356"/>
    <n v="18"/>
    <x v="0"/>
    <x v="1"/>
    <x v="1"/>
    <d v="2021-03-06T00:00:00"/>
    <x v="122"/>
    <x v="5"/>
    <s v="Houston"/>
    <s v="2021-03"/>
    <x v="6"/>
    <x v="2"/>
    <s v="Q1"/>
    <n v="0.4761519805982215"/>
    <n v="274.88888888888891"/>
  </r>
  <r>
    <x v="78"/>
    <n v="6435"/>
    <n v="334"/>
    <n v="10"/>
    <x v="0"/>
    <x v="0"/>
    <x v="1"/>
    <d v="2021-03-06T00:00:00"/>
    <x v="122"/>
    <x v="5"/>
    <s v="Houston"/>
    <s v="2021-03"/>
    <x v="6"/>
    <x v="2"/>
    <s v="Q1"/>
    <n v="5.1903651903651905E-2"/>
    <n v="643.5"/>
  </r>
  <r>
    <x v="79"/>
    <n v="9965"/>
    <n v="3033"/>
    <n v="16"/>
    <x v="1"/>
    <x v="6"/>
    <x v="4"/>
    <d v="2020-06-17T00:00:00"/>
    <x v="123"/>
    <x v="3"/>
    <s v="San Francisco"/>
    <s v="2020-06"/>
    <x v="0"/>
    <x v="4"/>
    <s v="Q2"/>
    <n v="0.30436527847466133"/>
    <n v="622.8125"/>
  </r>
  <r>
    <x v="79"/>
    <n v="9965"/>
    <n v="3033"/>
    <n v="16"/>
    <x v="1"/>
    <x v="6"/>
    <x v="4"/>
    <d v="2023-09-01T00:00:00"/>
    <x v="124"/>
    <x v="2"/>
    <s v="Buffalo"/>
    <s v="2023-09"/>
    <x v="10"/>
    <x v="0"/>
    <s v="Q3"/>
    <n v="0.30436527847466133"/>
    <n v="622.8125"/>
  </r>
  <r>
    <x v="80"/>
    <n v="1523"/>
    <n v="234"/>
    <n v="3"/>
    <x v="2"/>
    <x v="7"/>
    <x v="0"/>
    <d v="2023-06-08T00:00:00"/>
    <x v="125"/>
    <x v="2"/>
    <s v="Rochester"/>
    <s v="2023-06"/>
    <x v="0"/>
    <x v="0"/>
    <s v="Q2"/>
    <n v="0.15364412344057782"/>
    <n v="507.66666666666669"/>
  </r>
  <r>
    <x v="80"/>
    <n v="9073"/>
    <n v="424"/>
    <n v="7"/>
    <x v="0"/>
    <x v="0"/>
    <x v="1"/>
    <d v="2023-06-08T00:00:00"/>
    <x v="125"/>
    <x v="2"/>
    <s v="Rochester"/>
    <s v="2023-06"/>
    <x v="0"/>
    <x v="0"/>
    <s v="Q2"/>
    <n v="4.6732062162460043E-2"/>
    <n v="1296.1428571428571"/>
  </r>
  <r>
    <x v="81"/>
    <n v="6447"/>
    <n v="3079"/>
    <n v="20"/>
    <x v="0"/>
    <x v="3"/>
    <x v="4"/>
    <d v="2021-03-25T00:00:00"/>
    <x v="126"/>
    <x v="2"/>
    <s v="Rochester"/>
    <s v="2021-03"/>
    <x v="6"/>
    <x v="2"/>
    <s v="Q1"/>
    <n v="0.47758647432914536"/>
    <n v="322.35000000000002"/>
  </r>
  <r>
    <x v="81"/>
    <n v="8947"/>
    <n v="2807"/>
    <n v="6"/>
    <x v="0"/>
    <x v="0"/>
    <x v="3"/>
    <d v="2021-03-25T00:00:00"/>
    <x v="126"/>
    <x v="2"/>
    <s v="Rochester"/>
    <s v="2021-03"/>
    <x v="6"/>
    <x v="2"/>
    <s v="Q1"/>
    <n v="0.31373644797138706"/>
    <n v="1491.1666666666667"/>
  </r>
  <r>
    <x v="82"/>
    <n v="914"/>
    <n v="400"/>
    <n v="8"/>
    <x v="1"/>
    <x v="2"/>
    <x v="1"/>
    <d v="2021-01-03T00:00:00"/>
    <x v="127"/>
    <x v="3"/>
    <s v="Los Angeles"/>
    <s v="2021-01"/>
    <x v="8"/>
    <x v="2"/>
    <s v="Q1"/>
    <n v="0.43763676148796499"/>
    <n v="114.25"/>
  </r>
  <r>
    <x v="82"/>
    <n v="1548"/>
    <n v="666"/>
    <n v="3"/>
    <x v="1"/>
    <x v="8"/>
    <x v="3"/>
    <d v="2021-01-03T00:00:00"/>
    <x v="127"/>
    <x v="3"/>
    <s v="Los Angeles"/>
    <s v="2021-01"/>
    <x v="8"/>
    <x v="2"/>
    <s v="Q1"/>
    <n v="0.43023255813953487"/>
    <n v="516"/>
  </r>
  <r>
    <x v="83"/>
    <n v="2759"/>
    <n v="1149"/>
    <n v="6"/>
    <x v="2"/>
    <x v="4"/>
    <x v="3"/>
    <d v="2024-12-27T00:00:00"/>
    <x v="128"/>
    <x v="2"/>
    <s v="New York City"/>
    <s v="2024-12"/>
    <x v="1"/>
    <x v="1"/>
    <s v="Q4"/>
    <n v="0.41645523740485685"/>
    <n v="459.83333333333331"/>
  </r>
  <r>
    <x v="84"/>
    <n v="1341"/>
    <n v="615"/>
    <n v="4"/>
    <x v="0"/>
    <x v="3"/>
    <x v="0"/>
    <d v="2022-08-12T00:00:00"/>
    <x v="129"/>
    <x v="0"/>
    <s v="Orlando"/>
    <s v="2022-08"/>
    <x v="9"/>
    <x v="3"/>
    <s v="Q3"/>
    <n v="0.45861297539149887"/>
    <n v="335.25"/>
  </r>
  <r>
    <x v="85"/>
    <n v="9851"/>
    <n v="2669"/>
    <n v="19"/>
    <x v="0"/>
    <x v="0"/>
    <x v="1"/>
    <d v="2022-03-28T00:00:00"/>
    <x v="130"/>
    <x v="6"/>
    <s v="Cleveland"/>
    <s v="2022-03"/>
    <x v="6"/>
    <x v="3"/>
    <s v="Q1"/>
    <n v="0.27093696071464823"/>
    <n v="518.47368421052636"/>
  </r>
  <r>
    <x v="85"/>
    <n v="9851"/>
    <n v="2669"/>
    <n v="19"/>
    <x v="0"/>
    <x v="0"/>
    <x v="1"/>
    <d v="2023-07-15T00:00:00"/>
    <x v="131"/>
    <x v="2"/>
    <s v="Buffalo"/>
    <s v="2023-07"/>
    <x v="2"/>
    <x v="0"/>
    <s v="Q3"/>
    <n v="0.27093696071464823"/>
    <n v="518.47368421052636"/>
  </r>
  <r>
    <x v="85"/>
    <n v="9851"/>
    <n v="2669"/>
    <n v="19"/>
    <x v="0"/>
    <x v="0"/>
    <x v="1"/>
    <d v="2022-09-22T00:00:00"/>
    <x v="132"/>
    <x v="0"/>
    <s v="Orlando"/>
    <s v="2022-09"/>
    <x v="10"/>
    <x v="3"/>
    <s v="Q3"/>
    <n v="0.27093696071464823"/>
    <n v="518.47368421052636"/>
  </r>
  <r>
    <x v="85"/>
    <n v="9989"/>
    <n v="3930"/>
    <n v="14"/>
    <x v="2"/>
    <x v="4"/>
    <x v="1"/>
    <d v="2022-03-28T00:00:00"/>
    <x v="130"/>
    <x v="6"/>
    <s v="Cleveland"/>
    <s v="2022-03"/>
    <x v="6"/>
    <x v="3"/>
    <s v="Q1"/>
    <n v="0.39343277605365901"/>
    <n v="713.5"/>
  </r>
  <r>
    <x v="85"/>
    <n v="9989"/>
    <n v="3930"/>
    <n v="14"/>
    <x v="2"/>
    <x v="4"/>
    <x v="1"/>
    <d v="2023-07-15T00:00:00"/>
    <x v="131"/>
    <x v="2"/>
    <s v="Buffalo"/>
    <s v="2023-07"/>
    <x v="2"/>
    <x v="0"/>
    <s v="Q3"/>
    <n v="0.39343277605365901"/>
    <n v="713.5"/>
  </r>
  <r>
    <x v="85"/>
    <n v="9989"/>
    <n v="3930"/>
    <n v="14"/>
    <x v="2"/>
    <x v="4"/>
    <x v="1"/>
    <d v="2022-09-22T00:00:00"/>
    <x v="132"/>
    <x v="0"/>
    <s v="Orlando"/>
    <s v="2022-09"/>
    <x v="10"/>
    <x v="3"/>
    <s v="Q3"/>
    <n v="0.39343277605365901"/>
    <n v="713.5"/>
  </r>
  <r>
    <x v="86"/>
    <n v="7421"/>
    <n v="958"/>
    <n v="10"/>
    <x v="2"/>
    <x v="4"/>
    <x v="4"/>
    <d v="2022-12-20T00:00:00"/>
    <x v="133"/>
    <x v="5"/>
    <s v="Houston"/>
    <s v="2022-12"/>
    <x v="1"/>
    <x v="3"/>
    <s v="Q4"/>
    <n v="0.12909311413556124"/>
    <n v="742.1"/>
  </r>
  <r>
    <x v="86"/>
    <n v="7421"/>
    <n v="958"/>
    <n v="10"/>
    <x v="2"/>
    <x v="4"/>
    <x v="4"/>
    <d v="2022-01-16T00:00:00"/>
    <x v="134"/>
    <x v="5"/>
    <s v="Houston"/>
    <s v="2022-01"/>
    <x v="8"/>
    <x v="3"/>
    <s v="Q1"/>
    <n v="0.12909311413556124"/>
    <n v="742.1"/>
  </r>
  <r>
    <x v="86"/>
    <n v="7421"/>
    <n v="958"/>
    <n v="10"/>
    <x v="2"/>
    <x v="4"/>
    <x v="4"/>
    <d v="2023-01-29T00:00:00"/>
    <x v="135"/>
    <x v="5"/>
    <s v="Dallas"/>
    <s v="2023-01"/>
    <x v="8"/>
    <x v="0"/>
    <s v="Q1"/>
    <n v="0.12909311413556124"/>
    <n v="742.1"/>
  </r>
  <r>
    <x v="87"/>
    <n v="3099"/>
    <n v="479"/>
    <n v="1"/>
    <x v="1"/>
    <x v="8"/>
    <x v="4"/>
    <d v="2022-01-15T00:00:00"/>
    <x v="136"/>
    <x v="2"/>
    <s v="Buffalo"/>
    <s v="2022-01"/>
    <x v="8"/>
    <x v="3"/>
    <s v="Q1"/>
    <n v="0.15456598902871893"/>
    <n v="3099"/>
  </r>
  <r>
    <x v="87"/>
    <n v="2521"/>
    <n v="906"/>
    <n v="7"/>
    <x v="0"/>
    <x v="10"/>
    <x v="4"/>
    <d v="2022-01-15T00:00:00"/>
    <x v="136"/>
    <x v="2"/>
    <s v="Buffalo"/>
    <s v="2022-01"/>
    <x v="8"/>
    <x v="3"/>
    <s v="Q1"/>
    <n v="0.35938119793732648"/>
    <n v="360.14285714285717"/>
  </r>
  <r>
    <x v="88"/>
    <n v="6962"/>
    <n v="3429"/>
    <n v="12"/>
    <x v="0"/>
    <x v="0"/>
    <x v="0"/>
    <d v="2024-03-24T00:00:00"/>
    <x v="137"/>
    <x v="5"/>
    <s v="Dallas"/>
    <s v="2024-03"/>
    <x v="6"/>
    <x v="1"/>
    <s v="Q1"/>
    <n v="0.49253088193047972"/>
    <n v="580.16666666666663"/>
  </r>
  <r>
    <x v="88"/>
    <n v="6962"/>
    <n v="3429"/>
    <n v="12"/>
    <x v="0"/>
    <x v="0"/>
    <x v="0"/>
    <d v="2025-02-19T00:00:00"/>
    <x v="138"/>
    <x v="0"/>
    <s v="Miami"/>
    <s v="2025-02"/>
    <x v="7"/>
    <x v="5"/>
    <s v="Q1"/>
    <n v="0.49253088193047972"/>
    <n v="580.16666666666663"/>
  </r>
  <r>
    <x v="89"/>
    <n v="1085"/>
    <n v="301"/>
    <n v="20"/>
    <x v="2"/>
    <x v="11"/>
    <x v="0"/>
    <d v="2024-07-13T00:00:00"/>
    <x v="139"/>
    <x v="2"/>
    <s v="Buffalo"/>
    <s v="2024-07"/>
    <x v="2"/>
    <x v="1"/>
    <s v="Q3"/>
    <n v="0.27741935483870966"/>
    <n v="54.25"/>
  </r>
  <r>
    <x v="90"/>
    <n v="738"/>
    <n v="342"/>
    <n v="2"/>
    <x v="2"/>
    <x v="5"/>
    <x v="1"/>
    <d v="2023-04-28T00:00:00"/>
    <x v="140"/>
    <x v="6"/>
    <s v="Cincinnati"/>
    <s v="2023-04"/>
    <x v="11"/>
    <x v="0"/>
    <s v="Q2"/>
    <n v="0.46341463414634149"/>
    <n v="369"/>
  </r>
  <r>
    <x v="90"/>
    <n v="738"/>
    <n v="342"/>
    <n v="2"/>
    <x v="2"/>
    <x v="5"/>
    <x v="1"/>
    <d v="2020-12-05T00:00:00"/>
    <x v="141"/>
    <x v="2"/>
    <s v="Buffalo"/>
    <s v="2020-12"/>
    <x v="1"/>
    <x v="4"/>
    <s v="Q4"/>
    <n v="0.46341463414634149"/>
    <n v="369"/>
  </r>
  <r>
    <x v="90"/>
    <n v="738"/>
    <n v="342"/>
    <n v="2"/>
    <x v="2"/>
    <x v="5"/>
    <x v="1"/>
    <d v="2024-05-14T00:00:00"/>
    <x v="142"/>
    <x v="6"/>
    <s v="Cincinnati"/>
    <s v="2024-05"/>
    <x v="3"/>
    <x v="1"/>
    <s v="Q2"/>
    <n v="0.46341463414634149"/>
    <n v="369"/>
  </r>
  <r>
    <x v="90"/>
    <n v="738"/>
    <n v="342"/>
    <n v="2"/>
    <x v="2"/>
    <x v="5"/>
    <x v="1"/>
    <d v="2022-01-18T00:00:00"/>
    <x v="143"/>
    <x v="2"/>
    <s v="New York City"/>
    <s v="2022-01"/>
    <x v="8"/>
    <x v="3"/>
    <s v="Q1"/>
    <n v="0.46341463414634149"/>
    <n v="369"/>
  </r>
  <r>
    <x v="91"/>
    <n v="1366"/>
    <n v="242"/>
    <n v="17"/>
    <x v="0"/>
    <x v="0"/>
    <x v="2"/>
    <d v="2023-09-18T00:00:00"/>
    <x v="144"/>
    <x v="6"/>
    <s v="Columbus"/>
    <s v="2023-09"/>
    <x v="10"/>
    <x v="0"/>
    <s v="Q3"/>
    <n v="0.17715959004392387"/>
    <n v="80.352941176470594"/>
  </r>
  <r>
    <x v="91"/>
    <n v="1518"/>
    <n v="155"/>
    <n v="13"/>
    <x v="1"/>
    <x v="6"/>
    <x v="3"/>
    <d v="2023-09-18T00:00:00"/>
    <x v="144"/>
    <x v="6"/>
    <s v="Columbus"/>
    <s v="2023-09"/>
    <x v="10"/>
    <x v="0"/>
    <s v="Q3"/>
    <n v="0.10210803689064558"/>
    <n v="116.76923076923077"/>
  </r>
  <r>
    <x v="92"/>
    <n v="2962"/>
    <n v="1470"/>
    <n v="1"/>
    <x v="0"/>
    <x v="10"/>
    <x v="4"/>
    <d v="2021-05-12T00:00:00"/>
    <x v="145"/>
    <x v="2"/>
    <s v="Buffalo"/>
    <s v="2021-05"/>
    <x v="3"/>
    <x v="2"/>
    <s v="Q2"/>
    <n v="0.49628629304523969"/>
    <n v="2962"/>
  </r>
  <r>
    <x v="92"/>
    <n v="2962"/>
    <n v="1470"/>
    <n v="1"/>
    <x v="0"/>
    <x v="10"/>
    <x v="4"/>
    <d v="2023-09-17T00:00:00"/>
    <x v="146"/>
    <x v="0"/>
    <s v="Tampa"/>
    <s v="2023-09"/>
    <x v="10"/>
    <x v="0"/>
    <s v="Q3"/>
    <n v="0.49628629304523969"/>
    <n v="2962"/>
  </r>
  <r>
    <x v="92"/>
    <n v="7131"/>
    <n v="718"/>
    <n v="12"/>
    <x v="0"/>
    <x v="1"/>
    <x v="0"/>
    <d v="2021-05-12T00:00:00"/>
    <x v="145"/>
    <x v="2"/>
    <s v="Buffalo"/>
    <s v="2021-05"/>
    <x v="3"/>
    <x v="2"/>
    <s v="Q2"/>
    <n v="0.10068714065348479"/>
    <n v="594.25"/>
  </r>
  <r>
    <x v="92"/>
    <n v="7131"/>
    <n v="718"/>
    <n v="12"/>
    <x v="0"/>
    <x v="1"/>
    <x v="0"/>
    <d v="2023-09-17T00:00:00"/>
    <x v="146"/>
    <x v="0"/>
    <s v="Tampa"/>
    <s v="2023-09"/>
    <x v="10"/>
    <x v="0"/>
    <s v="Q3"/>
    <n v="0.10068714065348479"/>
    <n v="594.25"/>
  </r>
  <r>
    <x v="92"/>
    <n v="4200"/>
    <n v="855"/>
    <n v="10"/>
    <x v="1"/>
    <x v="6"/>
    <x v="2"/>
    <d v="2021-05-12T00:00:00"/>
    <x v="145"/>
    <x v="2"/>
    <s v="Buffalo"/>
    <s v="2021-05"/>
    <x v="3"/>
    <x v="2"/>
    <s v="Q2"/>
    <n v="0.20357142857142857"/>
    <n v="420"/>
  </r>
  <r>
    <x v="92"/>
    <n v="4200"/>
    <n v="855"/>
    <n v="10"/>
    <x v="1"/>
    <x v="6"/>
    <x v="2"/>
    <d v="2023-09-17T00:00:00"/>
    <x v="146"/>
    <x v="0"/>
    <s v="Tampa"/>
    <s v="2023-09"/>
    <x v="10"/>
    <x v="0"/>
    <s v="Q3"/>
    <n v="0.20357142857142857"/>
    <n v="420"/>
  </r>
  <r>
    <x v="93"/>
    <n v="5934"/>
    <n v="1563"/>
    <n v="2"/>
    <x v="1"/>
    <x v="6"/>
    <x v="2"/>
    <d v="2024-09-06T00:00:00"/>
    <x v="147"/>
    <x v="1"/>
    <s v="Peoria"/>
    <s v="2024-09"/>
    <x v="10"/>
    <x v="1"/>
    <s v="Q3"/>
    <n v="0.26339737108190092"/>
    <n v="2967"/>
  </r>
  <r>
    <x v="94"/>
    <n v="2701"/>
    <n v="322"/>
    <n v="11"/>
    <x v="0"/>
    <x v="1"/>
    <x v="0"/>
    <d v="2022-06-18T00:00:00"/>
    <x v="148"/>
    <x v="2"/>
    <s v="New York City"/>
    <s v="2022-06"/>
    <x v="0"/>
    <x v="3"/>
    <s v="Q2"/>
    <n v="0.11921510551647538"/>
    <n v="245.54545454545453"/>
  </r>
  <r>
    <x v="94"/>
    <n v="7273"/>
    <n v="2702"/>
    <n v="18"/>
    <x v="1"/>
    <x v="8"/>
    <x v="4"/>
    <d v="2022-06-18T00:00:00"/>
    <x v="148"/>
    <x v="2"/>
    <s v="New York City"/>
    <s v="2022-06"/>
    <x v="0"/>
    <x v="3"/>
    <s v="Q2"/>
    <n v="0.37151106833493747"/>
    <n v="404.05555555555554"/>
  </r>
  <r>
    <x v="95"/>
    <n v="2465"/>
    <n v="699"/>
    <n v="18"/>
    <x v="1"/>
    <x v="6"/>
    <x v="1"/>
    <d v="2020-05-22T00:00:00"/>
    <x v="149"/>
    <x v="3"/>
    <s v="San Francisco"/>
    <s v="2020-05"/>
    <x v="3"/>
    <x v="4"/>
    <s v="Q2"/>
    <n v="0.28356997971602432"/>
    <n v="136.94444444444446"/>
  </r>
  <r>
    <x v="96"/>
    <n v="3479"/>
    <n v="1087"/>
    <n v="2"/>
    <x v="1"/>
    <x v="6"/>
    <x v="2"/>
    <d v="2024-10-17T00:00:00"/>
    <x v="150"/>
    <x v="5"/>
    <s v="Dallas"/>
    <s v="2024-10"/>
    <x v="4"/>
    <x v="1"/>
    <s v="Q4"/>
    <n v="0.31244610520264443"/>
    <n v="1739.5"/>
  </r>
  <r>
    <x v="96"/>
    <n v="5457"/>
    <n v="1765"/>
    <n v="7"/>
    <x v="0"/>
    <x v="1"/>
    <x v="2"/>
    <d v="2024-10-17T00:00:00"/>
    <x v="150"/>
    <x v="5"/>
    <s v="Dallas"/>
    <s v="2024-10"/>
    <x v="4"/>
    <x v="1"/>
    <s v="Q4"/>
    <n v="0.32343778632948506"/>
    <n v="779.57142857142856"/>
  </r>
  <r>
    <x v="97"/>
    <n v="4957"/>
    <n v="1152"/>
    <n v="8"/>
    <x v="1"/>
    <x v="6"/>
    <x v="3"/>
    <d v="2022-03-22T00:00:00"/>
    <x v="151"/>
    <x v="6"/>
    <s v="Cleveland"/>
    <s v="2022-03"/>
    <x v="6"/>
    <x v="3"/>
    <s v="Q1"/>
    <n v="0.23239862820254187"/>
    <n v="619.625"/>
  </r>
  <r>
    <x v="98"/>
    <n v="4404"/>
    <n v="858"/>
    <n v="17"/>
    <x v="1"/>
    <x v="2"/>
    <x v="1"/>
    <d v="2024-03-17T00:00:00"/>
    <x v="152"/>
    <x v="6"/>
    <s v="Columbus"/>
    <s v="2024-03"/>
    <x v="6"/>
    <x v="1"/>
    <s v="Q1"/>
    <n v="0.19482288828337874"/>
    <n v="259.05882352941177"/>
  </r>
  <r>
    <x v="98"/>
    <n v="8776"/>
    <n v="2529"/>
    <n v="15"/>
    <x v="2"/>
    <x v="7"/>
    <x v="3"/>
    <d v="2024-03-17T00:00:00"/>
    <x v="152"/>
    <x v="6"/>
    <s v="Columbus"/>
    <s v="2024-03"/>
    <x v="6"/>
    <x v="1"/>
    <s v="Q1"/>
    <n v="0.28817228805834094"/>
    <n v="585.06666666666672"/>
  </r>
  <r>
    <x v="99"/>
    <n v="9536"/>
    <n v="1437"/>
    <n v="9"/>
    <x v="0"/>
    <x v="10"/>
    <x v="0"/>
    <d v="2020-04-02T00:00:00"/>
    <x v="153"/>
    <x v="0"/>
    <s v="Orlando"/>
    <s v="2020-04"/>
    <x v="11"/>
    <x v="4"/>
    <s v="Q2"/>
    <n v="0.15069211409395974"/>
    <n v="1059.5555555555557"/>
  </r>
  <r>
    <x v="99"/>
    <n v="2225"/>
    <n v="589"/>
    <n v="7"/>
    <x v="2"/>
    <x v="7"/>
    <x v="3"/>
    <d v="2020-04-02T00:00:00"/>
    <x v="153"/>
    <x v="0"/>
    <s v="Orlando"/>
    <s v="2020-04"/>
    <x v="11"/>
    <x v="4"/>
    <s v="Q2"/>
    <n v="0.26471910112359548"/>
    <n v="317.85714285714283"/>
  </r>
  <r>
    <x v="100"/>
    <n v="9574"/>
    <n v="4045"/>
    <n v="19"/>
    <x v="2"/>
    <x v="11"/>
    <x v="0"/>
    <d v="2024-03-13T00:00:00"/>
    <x v="154"/>
    <x v="3"/>
    <s v="San Francisco"/>
    <s v="2024-03"/>
    <x v="6"/>
    <x v="1"/>
    <s v="Q1"/>
    <n v="0.42249843325673697"/>
    <n v="503.89473684210526"/>
  </r>
  <r>
    <x v="100"/>
    <n v="4382"/>
    <n v="482"/>
    <n v="17"/>
    <x v="0"/>
    <x v="0"/>
    <x v="4"/>
    <d v="2024-03-13T00:00:00"/>
    <x v="154"/>
    <x v="3"/>
    <s v="San Francisco"/>
    <s v="2024-03"/>
    <x v="6"/>
    <x v="1"/>
    <s v="Q1"/>
    <n v="0.10999543587403013"/>
    <n v="257.76470588235293"/>
  </r>
  <r>
    <x v="101"/>
    <n v="8200"/>
    <n v="257"/>
    <n v="19"/>
    <x v="0"/>
    <x v="3"/>
    <x v="4"/>
    <d v="2023-03-21T00:00:00"/>
    <x v="155"/>
    <x v="6"/>
    <s v="Cincinnati"/>
    <s v="2023-03"/>
    <x v="6"/>
    <x v="0"/>
    <s v="Q1"/>
    <n v="3.1341463414634146E-2"/>
    <n v="431.57894736842104"/>
  </r>
  <r>
    <x v="101"/>
    <n v="9316"/>
    <n v="3003"/>
    <n v="13"/>
    <x v="2"/>
    <x v="7"/>
    <x v="3"/>
    <d v="2023-03-21T00:00:00"/>
    <x v="155"/>
    <x v="6"/>
    <s v="Cincinnati"/>
    <s v="2023-03"/>
    <x v="6"/>
    <x v="0"/>
    <s v="Q1"/>
    <n v="0.32234864748819236"/>
    <n v="716.61538461538464"/>
  </r>
  <r>
    <x v="101"/>
    <n v="6379"/>
    <n v="3128"/>
    <n v="15"/>
    <x v="0"/>
    <x v="0"/>
    <x v="4"/>
    <d v="2023-03-21T00:00:00"/>
    <x v="155"/>
    <x v="6"/>
    <s v="Cincinnati"/>
    <s v="2023-03"/>
    <x v="6"/>
    <x v="0"/>
    <s v="Q1"/>
    <n v="0.49035899043737263"/>
    <n v="425.26666666666665"/>
  </r>
  <r>
    <x v="102"/>
    <n v="3348"/>
    <n v="568"/>
    <n v="5"/>
    <x v="1"/>
    <x v="6"/>
    <x v="3"/>
    <d v="2024-03-02T00:00:00"/>
    <x v="156"/>
    <x v="6"/>
    <s v="Cleveland"/>
    <s v="2024-03"/>
    <x v="6"/>
    <x v="1"/>
    <s v="Q1"/>
    <n v="0.16965352449223417"/>
    <n v="669.6"/>
  </r>
  <r>
    <x v="102"/>
    <n v="3348"/>
    <n v="568"/>
    <n v="5"/>
    <x v="1"/>
    <x v="6"/>
    <x v="3"/>
    <d v="2021-04-30T00:00:00"/>
    <x v="157"/>
    <x v="2"/>
    <s v="Rochester"/>
    <s v="2021-04"/>
    <x v="11"/>
    <x v="2"/>
    <s v="Q2"/>
    <n v="0.16965352449223417"/>
    <n v="669.6"/>
  </r>
  <r>
    <x v="102"/>
    <n v="8856"/>
    <n v="2020"/>
    <n v="9"/>
    <x v="1"/>
    <x v="2"/>
    <x v="1"/>
    <d v="2024-03-02T00:00:00"/>
    <x v="156"/>
    <x v="6"/>
    <s v="Cleveland"/>
    <s v="2024-03"/>
    <x v="6"/>
    <x v="1"/>
    <s v="Q1"/>
    <n v="0.22809394760614274"/>
    <n v="984"/>
  </r>
  <r>
    <x v="102"/>
    <n v="8856"/>
    <n v="2020"/>
    <n v="9"/>
    <x v="1"/>
    <x v="2"/>
    <x v="1"/>
    <d v="2021-04-30T00:00:00"/>
    <x v="157"/>
    <x v="2"/>
    <s v="Rochester"/>
    <s v="2021-04"/>
    <x v="11"/>
    <x v="2"/>
    <s v="Q2"/>
    <n v="0.22809394760614274"/>
    <n v="984"/>
  </r>
  <r>
    <x v="103"/>
    <n v="1760"/>
    <n v="619"/>
    <n v="16"/>
    <x v="2"/>
    <x v="7"/>
    <x v="1"/>
    <d v="2021-09-15T00:00:00"/>
    <x v="158"/>
    <x v="6"/>
    <s v="Columbus"/>
    <s v="2021-09"/>
    <x v="10"/>
    <x v="2"/>
    <s v="Q3"/>
    <n v="0.35170454545454544"/>
    <n v="110"/>
  </r>
  <r>
    <x v="103"/>
    <n v="1760"/>
    <n v="619"/>
    <n v="16"/>
    <x v="2"/>
    <x v="7"/>
    <x v="1"/>
    <d v="2023-01-28T00:00:00"/>
    <x v="159"/>
    <x v="5"/>
    <s v="Houston"/>
    <s v="2023-01"/>
    <x v="8"/>
    <x v="0"/>
    <s v="Q1"/>
    <n v="0.35170454545454544"/>
    <n v="110"/>
  </r>
  <r>
    <x v="103"/>
    <n v="6351"/>
    <n v="986"/>
    <n v="15"/>
    <x v="0"/>
    <x v="1"/>
    <x v="0"/>
    <d v="2021-09-15T00:00:00"/>
    <x v="158"/>
    <x v="6"/>
    <s v="Columbus"/>
    <s v="2021-09"/>
    <x v="10"/>
    <x v="2"/>
    <s v="Q3"/>
    <n v="0.15525114155251141"/>
    <n v="423.4"/>
  </r>
  <r>
    <x v="103"/>
    <n v="6351"/>
    <n v="986"/>
    <n v="15"/>
    <x v="0"/>
    <x v="1"/>
    <x v="0"/>
    <d v="2023-01-28T00:00:00"/>
    <x v="159"/>
    <x v="5"/>
    <s v="Houston"/>
    <s v="2023-01"/>
    <x v="8"/>
    <x v="0"/>
    <s v="Q1"/>
    <n v="0.15525114155251141"/>
    <n v="423.4"/>
  </r>
  <r>
    <x v="104"/>
    <n v="869"/>
    <n v="373"/>
    <n v="14"/>
    <x v="1"/>
    <x v="8"/>
    <x v="3"/>
    <d v="2021-07-08T00:00:00"/>
    <x v="160"/>
    <x v="2"/>
    <s v="New York City"/>
    <s v="2021-07"/>
    <x v="2"/>
    <x v="2"/>
    <s v="Q3"/>
    <n v="0.42922899884925203"/>
    <n v="62.071428571428569"/>
  </r>
  <r>
    <x v="104"/>
    <n v="869"/>
    <n v="373"/>
    <n v="14"/>
    <x v="1"/>
    <x v="8"/>
    <x v="3"/>
    <d v="2020-04-08T00:00:00"/>
    <x v="161"/>
    <x v="6"/>
    <s v="Cleveland"/>
    <s v="2020-04"/>
    <x v="11"/>
    <x v="4"/>
    <s v="Q2"/>
    <n v="0.42922899884925203"/>
    <n v="62.071428571428569"/>
  </r>
  <r>
    <x v="104"/>
    <n v="1486"/>
    <n v="114"/>
    <n v="7"/>
    <x v="2"/>
    <x v="11"/>
    <x v="0"/>
    <d v="2021-07-08T00:00:00"/>
    <x v="160"/>
    <x v="2"/>
    <s v="New York City"/>
    <s v="2021-07"/>
    <x v="2"/>
    <x v="2"/>
    <s v="Q3"/>
    <n v="7.6716016150740238E-2"/>
    <n v="212.28571428571428"/>
  </r>
  <r>
    <x v="104"/>
    <n v="1486"/>
    <n v="114"/>
    <n v="7"/>
    <x v="2"/>
    <x v="11"/>
    <x v="0"/>
    <d v="2020-04-08T00:00:00"/>
    <x v="161"/>
    <x v="6"/>
    <s v="Cleveland"/>
    <s v="2020-04"/>
    <x v="11"/>
    <x v="4"/>
    <s v="Q2"/>
    <n v="7.6716016150740238E-2"/>
    <n v="212.28571428571428"/>
  </r>
  <r>
    <x v="105"/>
    <n v="2999"/>
    <n v="145"/>
    <n v="13"/>
    <x v="1"/>
    <x v="9"/>
    <x v="4"/>
    <d v="2022-08-23T00:00:00"/>
    <x v="162"/>
    <x v="1"/>
    <s v="Chicago"/>
    <s v="2022-08"/>
    <x v="9"/>
    <x v="3"/>
    <s v="Q3"/>
    <n v="4.8349449816605536E-2"/>
    <n v="230.69230769230768"/>
  </r>
  <r>
    <x v="105"/>
    <n v="5142"/>
    <n v="1916"/>
    <n v="20"/>
    <x v="1"/>
    <x v="8"/>
    <x v="2"/>
    <d v="2022-08-23T00:00:00"/>
    <x v="162"/>
    <x v="1"/>
    <s v="Chicago"/>
    <s v="2022-08"/>
    <x v="9"/>
    <x v="3"/>
    <s v="Q3"/>
    <n v="0.37261765849863865"/>
    <n v="257.10000000000002"/>
  </r>
  <r>
    <x v="106"/>
    <n v="1239"/>
    <n v="575"/>
    <n v="17"/>
    <x v="0"/>
    <x v="3"/>
    <x v="0"/>
    <d v="2022-12-17T00:00:00"/>
    <x v="163"/>
    <x v="2"/>
    <s v="Rochester"/>
    <s v="2022-12"/>
    <x v="1"/>
    <x v="3"/>
    <s v="Q4"/>
    <n v="0.46408393866020986"/>
    <n v="72.882352941176464"/>
  </r>
  <r>
    <x v="106"/>
    <n v="1239"/>
    <n v="575"/>
    <n v="17"/>
    <x v="0"/>
    <x v="3"/>
    <x v="0"/>
    <d v="2022-06-08T00:00:00"/>
    <x v="164"/>
    <x v="1"/>
    <s v="Springfield"/>
    <s v="2022-06"/>
    <x v="0"/>
    <x v="3"/>
    <s v="Q2"/>
    <n v="0.46408393866020986"/>
    <n v="72.882352941176464"/>
  </r>
  <r>
    <x v="106"/>
    <n v="1262"/>
    <n v="515"/>
    <n v="16"/>
    <x v="0"/>
    <x v="0"/>
    <x v="2"/>
    <d v="2022-12-17T00:00:00"/>
    <x v="163"/>
    <x v="2"/>
    <s v="Rochester"/>
    <s v="2022-12"/>
    <x v="1"/>
    <x v="3"/>
    <s v="Q4"/>
    <n v="0.40808240887480191"/>
    <n v="78.875"/>
  </r>
  <r>
    <x v="106"/>
    <n v="1262"/>
    <n v="515"/>
    <n v="16"/>
    <x v="0"/>
    <x v="0"/>
    <x v="2"/>
    <d v="2022-06-08T00:00:00"/>
    <x v="164"/>
    <x v="1"/>
    <s v="Springfield"/>
    <s v="2022-06"/>
    <x v="0"/>
    <x v="3"/>
    <s v="Q2"/>
    <n v="0.40808240887480191"/>
    <n v="78.875"/>
  </r>
  <r>
    <x v="107"/>
    <n v="1033"/>
    <n v="254"/>
    <n v="5"/>
    <x v="2"/>
    <x v="11"/>
    <x v="4"/>
    <d v="2020-08-28T00:00:00"/>
    <x v="165"/>
    <x v="2"/>
    <s v="Rochester"/>
    <s v="2020-08"/>
    <x v="9"/>
    <x v="4"/>
    <s v="Q3"/>
    <n v="0.24588576960309777"/>
    <n v="206.6"/>
  </r>
  <r>
    <x v="108"/>
    <n v="1518"/>
    <n v="159"/>
    <n v="19"/>
    <x v="0"/>
    <x v="1"/>
    <x v="0"/>
    <d v="2020-09-26T00:00:00"/>
    <x v="166"/>
    <x v="3"/>
    <s v="San Diego"/>
    <s v="2020-09"/>
    <x v="10"/>
    <x v="4"/>
    <s v="Q3"/>
    <n v="0.10474308300395258"/>
    <n v="79.89473684210526"/>
  </r>
  <r>
    <x v="109"/>
    <n v="8581"/>
    <n v="2444"/>
    <n v="2"/>
    <x v="1"/>
    <x v="8"/>
    <x v="1"/>
    <d v="2020-12-13T00:00:00"/>
    <x v="167"/>
    <x v="1"/>
    <s v="Peoria"/>
    <s v="2020-12"/>
    <x v="1"/>
    <x v="4"/>
    <s v="Q4"/>
    <n v="0.2848152895932875"/>
    <n v="4290.5"/>
  </r>
  <r>
    <x v="109"/>
    <n v="8581"/>
    <n v="2444"/>
    <n v="2"/>
    <x v="1"/>
    <x v="8"/>
    <x v="1"/>
    <d v="2020-11-19T00:00:00"/>
    <x v="168"/>
    <x v="0"/>
    <s v="Orlando"/>
    <s v="2020-11"/>
    <x v="5"/>
    <x v="4"/>
    <s v="Q4"/>
    <n v="0.2848152895932875"/>
    <n v="4290.5"/>
  </r>
  <r>
    <x v="110"/>
    <n v="1167"/>
    <n v="463"/>
    <n v="5"/>
    <x v="1"/>
    <x v="2"/>
    <x v="0"/>
    <d v="2023-09-13T00:00:00"/>
    <x v="169"/>
    <x v="5"/>
    <s v="Austin"/>
    <s v="2023-09"/>
    <x v="10"/>
    <x v="0"/>
    <s v="Q3"/>
    <n v="0.39674378748928879"/>
    <n v="233.4"/>
  </r>
  <r>
    <x v="110"/>
    <n v="2841"/>
    <n v="803"/>
    <n v="20"/>
    <x v="0"/>
    <x v="3"/>
    <x v="3"/>
    <d v="2023-09-13T00:00:00"/>
    <x v="169"/>
    <x v="5"/>
    <s v="Austin"/>
    <s v="2023-09"/>
    <x v="10"/>
    <x v="0"/>
    <s v="Q3"/>
    <n v="0.2826469552974305"/>
    <n v="142.05000000000001"/>
  </r>
  <r>
    <x v="110"/>
    <n v="5680"/>
    <n v="2159"/>
    <n v="19"/>
    <x v="2"/>
    <x v="4"/>
    <x v="0"/>
    <d v="2023-09-13T00:00:00"/>
    <x v="169"/>
    <x v="5"/>
    <s v="Austin"/>
    <s v="2023-09"/>
    <x v="10"/>
    <x v="0"/>
    <s v="Q3"/>
    <n v="0.38010563380281692"/>
    <n v="298.94736842105266"/>
  </r>
  <r>
    <x v="111"/>
    <n v="8204"/>
    <n v="2382"/>
    <n v="6"/>
    <x v="1"/>
    <x v="2"/>
    <x v="0"/>
    <d v="2020-03-31T00:00:00"/>
    <x v="170"/>
    <x v="1"/>
    <s v="Chicago"/>
    <s v="2020-03"/>
    <x v="6"/>
    <x v="4"/>
    <s v="Q1"/>
    <n v="0.2903461725987323"/>
    <n v="1367.3333333333333"/>
  </r>
  <r>
    <x v="111"/>
    <n v="8204"/>
    <n v="2382"/>
    <n v="6"/>
    <x v="1"/>
    <x v="2"/>
    <x v="0"/>
    <d v="2020-10-20T00:00:00"/>
    <x v="171"/>
    <x v="2"/>
    <s v="Buffalo"/>
    <s v="2020-10"/>
    <x v="4"/>
    <x v="4"/>
    <s v="Q4"/>
    <n v="0.2903461725987323"/>
    <n v="1367.3333333333333"/>
  </r>
  <r>
    <x v="111"/>
    <n v="2850"/>
    <n v="904"/>
    <n v="6"/>
    <x v="0"/>
    <x v="10"/>
    <x v="2"/>
    <d v="2020-03-31T00:00:00"/>
    <x v="170"/>
    <x v="1"/>
    <s v="Chicago"/>
    <s v="2020-03"/>
    <x v="6"/>
    <x v="4"/>
    <s v="Q1"/>
    <n v="0.31719298245614036"/>
    <n v="475"/>
  </r>
  <r>
    <x v="111"/>
    <n v="2850"/>
    <n v="904"/>
    <n v="6"/>
    <x v="0"/>
    <x v="10"/>
    <x v="2"/>
    <d v="2020-10-20T00:00:00"/>
    <x v="171"/>
    <x v="2"/>
    <s v="Buffalo"/>
    <s v="2020-10"/>
    <x v="4"/>
    <x v="4"/>
    <s v="Q4"/>
    <n v="0.31719298245614036"/>
    <n v="475"/>
  </r>
  <r>
    <x v="112"/>
    <n v="907"/>
    <n v="391"/>
    <n v="9"/>
    <x v="1"/>
    <x v="2"/>
    <x v="3"/>
    <d v="2023-08-04T00:00:00"/>
    <x v="172"/>
    <x v="2"/>
    <s v="New York City"/>
    <s v="2023-08"/>
    <x v="9"/>
    <x v="0"/>
    <s v="Q3"/>
    <n v="0.43109151047409039"/>
    <n v="100.77777777777777"/>
  </r>
  <r>
    <x v="113"/>
    <n v="2174"/>
    <n v="265"/>
    <n v="19"/>
    <x v="1"/>
    <x v="2"/>
    <x v="3"/>
    <d v="2022-04-11T00:00:00"/>
    <x v="173"/>
    <x v="6"/>
    <s v="Cincinnati"/>
    <s v="2022-04"/>
    <x v="11"/>
    <x v="3"/>
    <s v="Q2"/>
    <n v="0.12189512419503219"/>
    <n v="114.42105263157895"/>
  </r>
  <r>
    <x v="113"/>
    <n v="8541"/>
    <n v="2029"/>
    <n v="12"/>
    <x v="0"/>
    <x v="0"/>
    <x v="3"/>
    <d v="2022-04-11T00:00:00"/>
    <x v="173"/>
    <x v="6"/>
    <s v="Cincinnati"/>
    <s v="2022-04"/>
    <x v="11"/>
    <x v="3"/>
    <s v="Q2"/>
    <n v="0.23756000468329236"/>
    <n v="711.75"/>
  </r>
  <r>
    <x v="113"/>
    <n v="1931"/>
    <n v="551"/>
    <n v="3"/>
    <x v="2"/>
    <x v="11"/>
    <x v="2"/>
    <d v="2022-04-11T00:00:00"/>
    <x v="173"/>
    <x v="6"/>
    <s v="Cincinnati"/>
    <s v="2022-04"/>
    <x v="11"/>
    <x v="3"/>
    <s v="Q2"/>
    <n v="0.28534438114966337"/>
    <n v="643.66666666666663"/>
  </r>
  <r>
    <x v="114"/>
    <n v="1281"/>
    <n v="340"/>
    <n v="3"/>
    <x v="0"/>
    <x v="0"/>
    <x v="1"/>
    <d v="2021-12-31T00:00:00"/>
    <x v="174"/>
    <x v="5"/>
    <s v="Austin"/>
    <s v="2021-12"/>
    <x v="1"/>
    <x v="2"/>
    <s v="Q4"/>
    <n v="0.26541764246682281"/>
    <n v="427"/>
  </r>
  <r>
    <x v="114"/>
    <n v="2404"/>
    <n v="253"/>
    <n v="15"/>
    <x v="0"/>
    <x v="3"/>
    <x v="4"/>
    <d v="2021-12-31T00:00:00"/>
    <x v="174"/>
    <x v="5"/>
    <s v="Austin"/>
    <s v="2021-12"/>
    <x v="1"/>
    <x v="2"/>
    <s v="Q4"/>
    <n v="0.10524126455906822"/>
    <n v="160.26666666666668"/>
  </r>
  <r>
    <x v="115"/>
    <n v="2119"/>
    <n v="196"/>
    <n v="1"/>
    <x v="2"/>
    <x v="7"/>
    <x v="4"/>
    <d v="2020-08-16T00:00:00"/>
    <x v="175"/>
    <x v="3"/>
    <s v="Los Angeles"/>
    <s v="2020-08"/>
    <x v="9"/>
    <x v="4"/>
    <s v="Q3"/>
    <n v="9.2496460594620106E-2"/>
    <n v="2119"/>
  </r>
  <r>
    <x v="116"/>
    <n v="3137"/>
    <n v="571"/>
    <n v="9"/>
    <x v="1"/>
    <x v="2"/>
    <x v="1"/>
    <d v="2025-02-02T00:00:00"/>
    <x v="176"/>
    <x v="1"/>
    <s v="Chicago"/>
    <s v="2025-02"/>
    <x v="7"/>
    <x v="5"/>
    <s v="Q1"/>
    <n v="0.18202103920943577"/>
    <n v="348.55555555555554"/>
  </r>
  <r>
    <x v="117"/>
    <n v="2323"/>
    <n v="727"/>
    <n v="7"/>
    <x v="2"/>
    <x v="4"/>
    <x v="4"/>
    <d v="2022-02-24T00:00:00"/>
    <x v="177"/>
    <x v="5"/>
    <s v="Dallas"/>
    <s v="2022-02"/>
    <x v="7"/>
    <x v="3"/>
    <s v="Q1"/>
    <n v="0.31295738269479123"/>
    <n v="331.85714285714283"/>
  </r>
  <r>
    <x v="117"/>
    <n v="1368"/>
    <n v="406"/>
    <n v="9"/>
    <x v="2"/>
    <x v="11"/>
    <x v="0"/>
    <d v="2022-02-24T00:00:00"/>
    <x v="177"/>
    <x v="5"/>
    <s v="Dallas"/>
    <s v="2022-02"/>
    <x v="7"/>
    <x v="3"/>
    <s v="Q1"/>
    <n v="0.29678362573099415"/>
    <n v="152"/>
  </r>
  <r>
    <x v="118"/>
    <n v="9204"/>
    <n v="3289"/>
    <n v="16"/>
    <x v="0"/>
    <x v="3"/>
    <x v="3"/>
    <d v="2024-02-25T00:00:00"/>
    <x v="178"/>
    <x v="0"/>
    <s v="Miami"/>
    <s v="2024-02"/>
    <x v="7"/>
    <x v="1"/>
    <s v="Q1"/>
    <n v="0.35734463276836159"/>
    <n v="575.25"/>
  </r>
  <r>
    <x v="118"/>
    <n v="9204"/>
    <n v="3289"/>
    <n v="16"/>
    <x v="0"/>
    <x v="3"/>
    <x v="3"/>
    <d v="2021-06-15T00:00:00"/>
    <x v="179"/>
    <x v="0"/>
    <s v="Miami"/>
    <s v="2021-06"/>
    <x v="0"/>
    <x v="2"/>
    <s v="Q2"/>
    <n v="0.35734463276836159"/>
    <n v="575.25"/>
  </r>
  <r>
    <x v="118"/>
    <n v="9894"/>
    <n v="3698"/>
    <n v="20"/>
    <x v="1"/>
    <x v="8"/>
    <x v="2"/>
    <d v="2024-02-25T00:00:00"/>
    <x v="178"/>
    <x v="0"/>
    <s v="Miami"/>
    <s v="2024-02"/>
    <x v="7"/>
    <x v="1"/>
    <s v="Q1"/>
    <n v="0.37376187588437437"/>
    <n v="494.7"/>
  </r>
  <r>
    <x v="118"/>
    <n v="9894"/>
    <n v="3698"/>
    <n v="20"/>
    <x v="1"/>
    <x v="8"/>
    <x v="2"/>
    <d v="2021-06-15T00:00:00"/>
    <x v="179"/>
    <x v="0"/>
    <s v="Miami"/>
    <s v="2021-06"/>
    <x v="0"/>
    <x v="2"/>
    <s v="Q2"/>
    <n v="0.37376187588437437"/>
    <n v="494.7"/>
  </r>
  <r>
    <x v="119"/>
    <n v="5322"/>
    <n v="1423"/>
    <n v="18"/>
    <x v="2"/>
    <x v="7"/>
    <x v="4"/>
    <d v="2022-12-08T00:00:00"/>
    <x v="180"/>
    <x v="5"/>
    <s v="Houston"/>
    <s v="2022-12"/>
    <x v="1"/>
    <x v="3"/>
    <s v="Q4"/>
    <n v="0.26738068395340098"/>
    <n v="295.66666666666669"/>
  </r>
  <r>
    <x v="119"/>
    <n v="5322"/>
    <n v="1423"/>
    <n v="18"/>
    <x v="2"/>
    <x v="7"/>
    <x v="4"/>
    <d v="2023-12-09T00:00:00"/>
    <x v="181"/>
    <x v="5"/>
    <s v="Dallas"/>
    <s v="2023-12"/>
    <x v="1"/>
    <x v="0"/>
    <s v="Q4"/>
    <n v="0.26738068395340098"/>
    <n v="295.66666666666669"/>
  </r>
  <r>
    <x v="120"/>
    <n v="2666"/>
    <n v="559"/>
    <n v="14"/>
    <x v="2"/>
    <x v="5"/>
    <x v="4"/>
    <d v="2022-07-16T00:00:00"/>
    <x v="182"/>
    <x v="6"/>
    <s v="Cleveland"/>
    <s v="2022-07"/>
    <x v="2"/>
    <x v="3"/>
    <s v="Q3"/>
    <n v="0.20967741935483872"/>
    <n v="190.42857142857142"/>
  </r>
  <r>
    <x v="121"/>
    <n v="8383"/>
    <n v="937"/>
    <n v="4"/>
    <x v="2"/>
    <x v="7"/>
    <x v="0"/>
    <d v="2024-05-05T00:00:00"/>
    <x v="183"/>
    <x v="0"/>
    <s v="Orlando"/>
    <s v="2024-05"/>
    <x v="3"/>
    <x v="1"/>
    <s v="Q2"/>
    <n v="0.11177382798520816"/>
    <n v="2095.75"/>
  </r>
  <r>
    <x v="122"/>
    <n v="7560"/>
    <n v="821"/>
    <n v="4"/>
    <x v="1"/>
    <x v="8"/>
    <x v="2"/>
    <d v="2021-10-04T00:00:00"/>
    <x v="184"/>
    <x v="1"/>
    <s v="Chicago"/>
    <s v="2021-10"/>
    <x v="4"/>
    <x v="2"/>
    <s v="Q4"/>
    <n v="0.1085978835978836"/>
    <n v="1890"/>
  </r>
  <r>
    <x v="123"/>
    <n v="1314"/>
    <n v="490"/>
    <n v="16"/>
    <x v="2"/>
    <x v="7"/>
    <x v="0"/>
    <d v="2021-11-20T00:00:00"/>
    <x v="185"/>
    <x v="2"/>
    <s v="Buffalo"/>
    <s v="2021-11"/>
    <x v="5"/>
    <x v="2"/>
    <s v="Q4"/>
    <n v="0.37290715372907152"/>
    <n v="82.125"/>
  </r>
  <r>
    <x v="123"/>
    <n v="4390"/>
    <n v="179"/>
    <n v="1"/>
    <x v="2"/>
    <x v="4"/>
    <x v="1"/>
    <d v="2021-11-20T00:00:00"/>
    <x v="185"/>
    <x v="2"/>
    <s v="Buffalo"/>
    <s v="2021-11"/>
    <x v="5"/>
    <x v="2"/>
    <s v="Q4"/>
    <n v="4.0774487471526198E-2"/>
    <n v="4390"/>
  </r>
  <r>
    <x v="123"/>
    <n v="1150"/>
    <n v="58"/>
    <n v="7"/>
    <x v="1"/>
    <x v="9"/>
    <x v="1"/>
    <d v="2021-11-20T00:00:00"/>
    <x v="185"/>
    <x v="2"/>
    <s v="Buffalo"/>
    <s v="2021-11"/>
    <x v="5"/>
    <x v="2"/>
    <s v="Q4"/>
    <n v="5.0434782608695654E-2"/>
    <n v="164.28571428571428"/>
  </r>
  <r>
    <x v="124"/>
    <n v="1574"/>
    <n v="258"/>
    <n v="17"/>
    <x v="1"/>
    <x v="2"/>
    <x v="2"/>
    <d v="2020-09-15T00:00:00"/>
    <x v="186"/>
    <x v="3"/>
    <s v="San Diego"/>
    <s v="2020-09"/>
    <x v="10"/>
    <x v="4"/>
    <s v="Q3"/>
    <n v="0.16391359593392629"/>
    <n v="92.588235294117652"/>
  </r>
  <r>
    <x v="124"/>
    <n v="5635"/>
    <n v="318"/>
    <n v="17"/>
    <x v="1"/>
    <x v="9"/>
    <x v="0"/>
    <d v="2020-09-15T00:00:00"/>
    <x v="186"/>
    <x v="3"/>
    <s v="San Diego"/>
    <s v="2020-09"/>
    <x v="10"/>
    <x v="4"/>
    <s v="Q3"/>
    <n v="5.6433007985803016E-2"/>
    <n v="331.47058823529414"/>
  </r>
  <r>
    <x v="124"/>
    <n v="6515"/>
    <n v="961"/>
    <n v="11"/>
    <x v="2"/>
    <x v="7"/>
    <x v="1"/>
    <d v="2020-09-15T00:00:00"/>
    <x v="186"/>
    <x v="3"/>
    <s v="San Diego"/>
    <s v="2020-09"/>
    <x v="10"/>
    <x v="4"/>
    <s v="Q3"/>
    <n v="0.14750575594781273"/>
    <n v="592.27272727272725"/>
  </r>
  <r>
    <x v="125"/>
    <n v="1231"/>
    <n v="214"/>
    <n v="20"/>
    <x v="0"/>
    <x v="3"/>
    <x v="1"/>
    <d v="2023-01-17T00:00:00"/>
    <x v="187"/>
    <x v="6"/>
    <s v="Columbus"/>
    <s v="2023-01"/>
    <x v="8"/>
    <x v="0"/>
    <s v="Q1"/>
    <n v="0.17384240454914704"/>
    <n v="61.55"/>
  </r>
  <r>
    <x v="125"/>
    <n v="1231"/>
    <n v="214"/>
    <n v="20"/>
    <x v="0"/>
    <x v="3"/>
    <x v="1"/>
    <d v="2020-06-16T00:00:00"/>
    <x v="188"/>
    <x v="2"/>
    <s v="Rochester"/>
    <s v="2020-06"/>
    <x v="0"/>
    <x v="4"/>
    <s v="Q2"/>
    <n v="0.17384240454914704"/>
    <n v="61.55"/>
  </r>
  <r>
    <x v="126"/>
    <n v="6891"/>
    <n v="2529"/>
    <n v="3"/>
    <x v="1"/>
    <x v="9"/>
    <x v="1"/>
    <d v="2024-05-01T00:00:00"/>
    <x v="189"/>
    <x v="6"/>
    <s v="Cleveland"/>
    <s v="2024-05"/>
    <x v="3"/>
    <x v="1"/>
    <s v="Q2"/>
    <n v="0.36700043535045712"/>
    <n v="2297"/>
  </r>
  <r>
    <x v="127"/>
    <n v="7524"/>
    <n v="2308"/>
    <n v="15"/>
    <x v="0"/>
    <x v="3"/>
    <x v="2"/>
    <d v="2023-12-07T00:00:00"/>
    <x v="190"/>
    <x v="5"/>
    <s v="Austin"/>
    <s v="2023-12"/>
    <x v="1"/>
    <x v="0"/>
    <s v="Q4"/>
    <n v="0.30675172780435939"/>
    <n v="501.6"/>
  </r>
  <r>
    <x v="127"/>
    <n v="6864"/>
    <n v="1824"/>
    <n v="14"/>
    <x v="0"/>
    <x v="1"/>
    <x v="3"/>
    <d v="2023-12-07T00:00:00"/>
    <x v="190"/>
    <x v="5"/>
    <s v="Austin"/>
    <s v="2023-12"/>
    <x v="1"/>
    <x v="0"/>
    <s v="Q4"/>
    <n v="0.26573426573426573"/>
    <n v="490.28571428571428"/>
  </r>
  <r>
    <x v="128"/>
    <n v="4215"/>
    <n v="432"/>
    <n v="14"/>
    <x v="2"/>
    <x v="5"/>
    <x v="1"/>
    <d v="2024-02-02T00:00:00"/>
    <x v="191"/>
    <x v="6"/>
    <s v="Columbus"/>
    <s v="2024-02"/>
    <x v="7"/>
    <x v="1"/>
    <s v="Q1"/>
    <n v="0.10249110320284698"/>
    <n v="301.07142857142856"/>
  </r>
  <r>
    <x v="129"/>
    <n v="622"/>
    <n v="218"/>
    <n v="19"/>
    <x v="2"/>
    <x v="11"/>
    <x v="3"/>
    <d v="2024-06-23T00:00:00"/>
    <x v="192"/>
    <x v="3"/>
    <s v="San Diego"/>
    <s v="2024-06"/>
    <x v="0"/>
    <x v="1"/>
    <s v="Q2"/>
    <n v="0.35048231511254019"/>
    <n v="32.736842105263158"/>
  </r>
  <r>
    <x v="129"/>
    <n v="1755"/>
    <n v="495"/>
    <n v="18"/>
    <x v="1"/>
    <x v="2"/>
    <x v="0"/>
    <d v="2024-06-23T00:00:00"/>
    <x v="192"/>
    <x v="3"/>
    <s v="San Diego"/>
    <s v="2024-06"/>
    <x v="0"/>
    <x v="1"/>
    <s v="Q2"/>
    <n v="0.28205128205128205"/>
    <n v="97.5"/>
  </r>
  <r>
    <x v="129"/>
    <n v="8020"/>
    <n v="3898"/>
    <n v="20"/>
    <x v="0"/>
    <x v="0"/>
    <x v="2"/>
    <d v="2024-06-23T00:00:00"/>
    <x v="192"/>
    <x v="3"/>
    <s v="San Diego"/>
    <s v="2024-06"/>
    <x v="0"/>
    <x v="1"/>
    <s v="Q2"/>
    <n v="0.48603491271820448"/>
    <n v="401"/>
  </r>
  <r>
    <x v="130"/>
    <n v="7333"/>
    <n v="1576"/>
    <n v="4"/>
    <x v="0"/>
    <x v="3"/>
    <x v="3"/>
    <d v="2024-06-07T00:00:00"/>
    <x v="193"/>
    <x v="2"/>
    <s v="Buffalo"/>
    <s v="2024-06"/>
    <x v="0"/>
    <x v="1"/>
    <s v="Q2"/>
    <n v="0.21491885994817947"/>
    <n v="1833.25"/>
  </r>
  <r>
    <x v="131"/>
    <n v="7690"/>
    <n v="1134"/>
    <n v="4"/>
    <x v="0"/>
    <x v="0"/>
    <x v="4"/>
    <d v="2023-10-13T00:00:00"/>
    <x v="194"/>
    <x v="2"/>
    <s v="Rochester"/>
    <s v="2023-10"/>
    <x v="4"/>
    <x v="0"/>
    <s v="Q4"/>
    <n v="0.14746423927178154"/>
    <n v="1922.5"/>
  </r>
  <r>
    <x v="131"/>
    <n v="912"/>
    <n v="246"/>
    <n v="2"/>
    <x v="2"/>
    <x v="7"/>
    <x v="2"/>
    <d v="2023-10-13T00:00:00"/>
    <x v="194"/>
    <x v="2"/>
    <s v="Rochester"/>
    <s v="2023-10"/>
    <x v="4"/>
    <x v="0"/>
    <s v="Q4"/>
    <n v="0.26973684210526316"/>
    <n v="456"/>
  </r>
  <r>
    <x v="132"/>
    <n v="2791"/>
    <n v="894"/>
    <n v="14"/>
    <x v="0"/>
    <x v="3"/>
    <x v="4"/>
    <d v="2022-10-08T00:00:00"/>
    <x v="195"/>
    <x v="5"/>
    <s v="Austin"/>
    <s v="2022-10"/>
    <x v="4"/>
    <x v="3"/>
    <s v="Q4"/>
    <n v="0.32031529917592261"/>
    <n v="199.35714285714286"/>
  </r>
  <r>
    <x v="132"/>
    <n v="2791"/>
    <n v="894"/>
    <n v="14"/>
    <x v="0"/>
    <x v="3"/>
    <x v="4"/>
    <d v="2023-10-27T00:00:00"/>
    <x v="196"/>
    <x v="6"/>
    <s v="Cincinnati"/>
    <s v="2023-10"/>
    <x v="4"/>
    <x v="0"/>
    <s v="Q4"/>
    <n v="0.32031529917592261"/>
    <n v="199.35714285714286"/>
  </r>
  <r>
    <x v="132"/>
    <n v="2791"/>
    <n v="894"/>
    <n v="14"/>
    <x v="0"/>
    <x v="3"/>
    <x v="4"/>
    <d v="2021-02-09T00:00:00"/>
    <x v="197"/>
    <x v="5"/>
    <s v="Dallas"/>
    <s v="2021-02"/>
    <x v="7"/>
    <x v="2"/>
    <s v="Q1"/>
    <n v="0.32031529917592261"/>
    <n v="199.35714285714286"/>
  </r>
  <r>
    <x v="132"/>
    <n v="6223"/>
    <n v="1478"/>
    <n v="3"/>
    <x v="2"/>
    <x v="7"/>
    <x v="1"/>
    <d v="2022-10-08T00:00:00"/>
    <x v="195"/>
    <x v="5"/>
    <s v="Austin"/>
    <s v="2022-10"/>
    <x v="4"/>
    <x v="3"/>
    <s v="Q4"/>
    <n v="0.23750602603246024"/>
    <n v="2074.3333333333335"/>
  </r>
  <r>
    <x v="132"/>
    <n v="6223"/>
    <n v="1478"/>
    <n v="3"/>
    <x v="2"/>
    <x v="7"/>
    <x v="1"/>
    <d v="2023-10-27T00:00:00"/>
    <x v="196"/>
    <x v="6"/>
    <s v="Cincinnati"/>
    <s v="2023-10"/>
    <x v="4"/>
    <x v="0"/>
    <s v="Q4"/>
    <n v="0.23750602603246024"/>
    <n v="2074.3333333333335"/>
  </r>
  <r>
    <x v="132"/>
    <n v="6223"/>
    <n v="1478"/>
    <n v="3"/>
    <x v="2"/>
    <x v="7"/>
    <x v="1"/>
    <d v="2021-02-09T00:00:00"/>
    <x v="197"/>
    <x v="5"/>
    <s v="Dallas"/>
    <s v="2021-02"/>
    <x v="7"/>
    <x v="2"/>
    <s v="Q1"/>
    <n v="0.23750602603246024"/>
    <n v="2074.3333333333335"/>
  </r>
  <r>
    <x v="132"/>
    <n v="8943"/>
    <n v="3121"/>
    <n v="17"/>
    <x v="2"/>
    <x v="5"/>
    <x v="1"/>
    <d v="2022-10-08T00:00:00"/>
    <x v="195"/>
    <x v="5"/>
    <s v="Austin"/>
    <s v="2022-10"/>
    <x v="4"/>
    <x v="3"/>
    <s v="Q4"/>
    <n v="0.34898803533489881"/>
    <n v="526.05882352941171"/>
  </r>
  <r>
    <x v="132"/>
    <n v="8943"/>
    <n v="3121"/>
    <n v="17"/>
    <x v="2"/>
    <x v="5"/>
    <x v="1"/>
    <d v="2023-10-27T00:00:00"/>
    <x v="196"/>
    <x v="6"/>
    <s v="Cincinnati"/>
    <s v="2023-10"/>
    <x v="4"/>
    <x v="0"/>
    <s v="Q4"/>
    <n v="0.34898803533489881"/>
    <n v="526.05882352941171"/>
  </r>
  <r>
    <x v="132"/>
    <n v="8943"/>
    <n v="3121"/>
    <n v="17"/>
    <x v="2"/>
    <x v="5"/>
    <x v="1"/>
    <d v="2021-02-09T00:00:00"/>
    <x v="197"/>
    <x v="5"/>
    <s v="Dallas"/>
    <s v="2021-02"/>
    <x v="7"/>
    <x v="2"/>
    <s v="Q1"/>
    <n v="0.34898803533489881"/>
    <n v="526.05882352941171"/>
  </r>
  <r>
    <x v="132"/>
    <n v="3297"/>
    <n v="102"/>
    <n v="12"/>
    <x v="0"/>
    <x v="10"/>
    <x v="3"/>
    <d v="2022-10-08T00:00:00"/>
    <x v="195"/>
    <x v="5"/>
    <s v="Austin"/>
    <s v="2022-10"/>
    <x v="4"/>
    <x v="3"/>
    <s v="Q4"/>
    <n v="3.0937215650591446E-2"/>
    <n v="274.75"/>
  </r>
  <r>
    <x v="132"/>
    <n v="3297"/>
    <n v="102"/>
    <n v="12"/>
    <x v="0"/>
    <x v="10"/>
    <x v="3"/>
    <d v="2023-10-27T00:00:00"/>
    <x v="196"/>
    <x v="6"/>
    <s v="Cincinnati"/>
    <s v="2023-10"/>
    <x v="4"/>
    <x v="0"/>
    <s v="Q4"/>
    <n v="3.0937215650591446E-2"/>
    <n v="274.75"/>
  </r>
  <r>
    <x v="132"/>
    <n v="3297"/>
    <n v="102"/>
    <n v="12"/>
    <x v="0"/>
    <x v="10"/>
    <x v="3"/>
    <d v="2021-02-09T00:00:00"/>
    <x v="197"/>
    <x v="5"/>
    <s v="Dallas"/>
    <s v="2021-02"/>
    <x v="7"/>
    <x v="2"/>
    <s v="Q1"/>
    <n v="3.0937215650591446E-2"/>
    <n v="274.75"/>
  </r>
  <r>
    <x v="133"/>
    <n v="8769"/>
    <n v="1989"/>
    <n v="20"/>
    <x v="1"/>
    <x v="8"/>
    <x v="0"/>
    <d v="2020-11-03T00:00:00"/>
    <x v="198"/>
    <x v="1"/>
    <s v="Chicago"/>
    <s v="2020-11"/>
    <x v="5"/>
    <x v="4"/>
    <s v="Q4"/>
    <n v="0.22682175846732808"/>
    <n v="438.45"/>
  </r>
  <r>
    <x v="134"/>
    <n v="9057"/>
    <n v="1888"/>
    <n v="19"/>
    <x v="0"/>
    <x v="1"/>
    <x v="4"/>
    <d v="2022-05-30T00:00:00"/>
    <x v="199"/>
    <x v="0"/>
    <s v="Orlando"/>
    <s v="2022-05"/>
    <x v="3"/>
    <x v="3"/>
    <s v="Q2"/>
    <n v="0.20845754664900076"/>
    <n v="476.68421052631578"/>
  </r>
  <r>
    <x v="134"/>
    <n v="6864"/>
    <n v="3275"/>
    <n v="11"/>
    <x v="2"/>
    <x v="4"/>
    <x v="3"/>
    <d v="2022-05-30T00:00:00"/>
    <x v="199"/>
    <x v="0"/>
    <s v="Orlando"/>
    <s v="2022-05"/>
    <x v="3"/>
    <x v="3"/>
    <s v="Q2"/>
    <n v="0.47712703962703962"/>
    <n v="624"/>
  </r>
  <r>
    <x v="134"/>
    <n v="9200"/>
    <n v="809"/>
    <n v="13"/>
    <x v="0"/>
    <x v="3"/>
    <x v="4"/>
    <d v="2022-05-30T00:00:00"/>
    <x v="199"/>
    <x v="0"/>
    <s v="Orlando"/>
    <s v="2022-05"/>
    <x v="3"/>
    <x v="3"/>
    <s v="Q2"/>
    <n v="8.7934782608695652E-2"/>
    <n v="707.69230769230774"/>
  </r>
  <r>
    <x v="135"/>
    <n v="6113"/>
    <n v="2508"/>
    <n v="6"/>
    <x v="0"/>
    <x v="3"/>
    <x v="0"/>
    <d v="2024-06-16T00:00:00"/>
    <x v="200"/>
    <x v="0"/>
    <s v="Orlando"/>
    <s v="2024-06"/>
    <x v="0"/>
    <x v="1"/>
    <s v="Q2"/>
    <n v="0.41027318828725667"/>
    <n v="1018.8333333333334"/>
  </r>
  <r>
    <x v="135"/>
    <n v="7733"/>
    <n v="2784"/>
    <n v="15"/>
    <x v="2"/>
    <x v="4"/>
    <x v="2"/>
    <d v="2024-06-16T00:00:00"/>
    <x v="200"/>
    <x v="0"/>
    <s v="Orlando"/>
    <s v="2024-06"/>
    <x v="0"/>
    <x v="1"/>
    <s v="Q2"/>
    <n v="0.36001551791025477"/>
    <n v="515.5333333333333"/>
  </r>
  <r>
    <x v="135"/>
    <n v="8524"/>
    <n v="154"/>
    <n v="14"/>
    <x v="2"/>
    <x v="4"/>
    <x v="4"/>
    <d v="2024-06-16T00:00:00"/>
    <x v="200"/>
    <x v="0"/>
    <s v="Orlando"/>
    <s v="2024-06"/>
    <x v="0"/>
    <x v="1"/>
    <s v="Q2"/>
    <n v="1.8066635382449556E-2"/>
    <n v="608.85714285714289"/>
  </r>
  <r>
    <x v="135"/>
    <n v="6187"/>
    <n v="2344"/>
    <n v="15"/>
    <x v="2"/>
    <x v="11"/>
    <x v="2"/>
    <d v="2024-06-16T00:00:00"/>
    <x v="200"/>
    <x v="0"/>
    <s v="Orlando"/>
    <s v="2024-06"/>
    <x v="0"/>
    <x v="1"/>
    <s v="Q2"/>
    <n v="0.37885889768870212"/>
    <n v="412.46666666666664"/>
  </r>
  <r>
    <x v="136"/>
    <n v="4364"/>
    <n v="148"/>
    <n v="18"/>
    <x v="2"/>
    <x v="4"/>
    <x v="2"/>
    <d v="2022-07-15T00:00:00"/>
    <x v="201"/>
    <x v="6"/>
    <s v="Cincinnati"/>
    <s v="2022-07"/>
    <x v="2"/>
    <x v="3"/>
    <s v="Q3"/>
    <n v="3.3913840513290557E-2"/>
    <n v="242.44444444444446"/>
  </r>
  <r>
    <x v="136"/>
    <n v="736"/>
    <n v="286"/>
    <n v="12"/>
    <x v="1"/>
    <x v="2"/>
    <x v="2"/>
    <d v="2022-07-15T00:00:00"/>
    <x v="201"/>
    <x v="6"/>
    <s v="Cincinnati"/>
    <s v="2022-07"/>
    <x v="2"/>
    <x v="3"/>
    <s v="Q3"/>
    <n v="0.38858695652173914"/>
    <n v="61.333333333333336"/>
  </r>
  <r>
    <x v="137"/>
    <n v="9905"/>
    <n v="633"/>
    <n v="17"/>
    <x v="1"/>
    <x v="2"/>
    <x v="2"/>
    <d v="2021-07-18T00:00:00"/>
    <x v="202"/>
    <x v="5"/>
    <s v="Dallas"/>
    <s v="2021-07"/>
    <x v="2"/>
    <x v="2"/>
    <s v="Q3"/>
    <n v="6.3907117617364964E-2"/>
    <n v="582.64705882352939"/>
  </r>
  <r>
    <x v="137"/>
    <n v="9905"/>
    <n v="633"/>
    <n v="17"/>
    <x v="1"/>
    <x v="2"/>
    <x v="2"/>
    <d v="2021-10-02T00:00:00"/>
    <x v="203"/>
    <x v="0"/>
    <s v="Tampa"/>
    <s v="2021-10"/>
    <x v="4"/>
    <x v="2"/>
    <s v="Q4"/>
    <n v="6.3907117617364964E-2"/>
    <n v="582.64705882352939"/>
  </r>
  <r>
    <x v="138"/>
    <n v="2493"/>
    <n v="1221"/>
    <n v="9"/>
    <x v="1"/>
    <x v="8"/>
    <x v="3"/>
    <d v="2024-04-16T00:00:00"/>
    <x v="204"/>
    <x v="1"/>
    <s v="Springfield"/>
    <s v="2024-04"/>
    <x v="11"/>
    <x v="1"/>
    <s v="Q2"/>
    <n v="0.48977135980746089"/>
    <n v="277"/>
  </r>
  <r>
    <x v="138"/>
    <n v="9849"/>
    <n v="963"/>
    <n v="1"/>
    <x v="1"/>
    <x v="2"/>
    <x v="3"/>
    <d v="2024-04-16T00:00:00"/>
    <x v="204"/>
    <x v="1"/>
    <s v="Springfield"/>
    <s v="2024-04"/>
    <x v="11"/>
    <x v="1"/>
    <s v="Q2"/>
    <n v="9.7776424002436801E-2"/>
    <n v="9849"/>
  </r>
  <r>
    <x v="139"/>
    <n v="3423"/>
    <n v="804"/>
    <n v="4"/>
    <x v="0"/>
    <x v="1"/>
    <x v="3"/>
    <d v="2020-07-09T00:00:00"/>
    <x v="205"/>
    <x v="1"/>
    <s v="Peoria"/>
    <s v="2020-07"/>
    <x v="2"/>
    <x v="4"/>
    <s v="Q3"/>
    <n v="0.23488168273444346"/>
    <n v="855.75"/>
  </r>
  <r>
    <x v="139"/>
    <n v="3423"/>
    <n v="804"/>
    <n v="4"/>
    <x v="0"/>
    <x v="1"/>
    <x v="3"/>
    <d v="2020-07-25T00:00:00"/>
    <x v="206"/>
    <x v="5"/>
    <s v="Dallas"/>
    <s v="2020-07"/>
    <x v="2"/>
    <x v="4"/>
    <s v="Q3"/>
    <n v="0.23488168273444346"/>
    <n v="855.75"/>
  </r>
  <r>
    <x v="139"/>
    <n v="3423"/>
    <n v="804"/>
    <n v="4"/>
    <x v="0"/>
    <x v="1"/>
    <x v="3"/>
    <d v="2024-01-24T00:00:00"/>
    <x v="207"/>
    <x v="5"/>
    <s v="Austin"/>
    <s v="2024-01"/>
    <x v="8"/>
    <x v="1"/>
    <s v="Q1"/>
    <n v="0.23488168273444346"/>
    <n v="855.75"/>
  </r>
  <r>
    <x v="139"/>
    <n v="3423"/>
    <n v="804"/>
    <n v="4"/>
    <x v="0"/>
    <x v="1"/>
    <x v="3"/>
    <d v="2020-05-04T00:00:00"/>
    <x v="208"/>
    <x v="5"/>
    <s v="Dallas"/>
    <s v="2020-05"/>
    <x v="3"/>
    <x v="4"/>
    <s v="Q2"/>
    <n v="0.23488168273444346"/>
    <n v="855.75"/>
  </r>
  <r>
    <x v="139"/>
    <n v="3423"/>
    <n v="804"/>
    <n v="4"/>
    <x v="0"/>
    <x v="1"/>
    <x v="3"/>
    <d v="2021-11-13T00:00:00"/>
    <x v="209"/>
    <x v="6"/>
    <s v="Cincinnati"/>
    <s v="2021-11"/>
    <x v="5"/>
    <x v="2"/>
    <s v="Q4"/>
    <n v="0.23488168273444346"/>
    <n v="855.75"/>
  </r>
  <r>
    <x v="140"/>
    <n v="3900"/>
    <n v="115"/>
    <n v="9"/>
    <x v="2"/>
    <x v="5"/>
    <x v="4"/>
    <d v="2023-10-07T00:00:00"/>
    <x v="210"/>
    <x v="1"/>
    <s v="Springfield"/>
    <s v="2023-10"/>
    <x v="4"/>
    <x v="0"/>
    <s v="Q4"/>
    <n v="2.9487179487179487E-2"/>
    <n v="433.33333333333331"/>
  </r>
  <r>
    <x v="141"/>
    <n v="8568"/>
    <n v="2419"/>
    <n v="11"/>
    <x v="0"/>
    <x v="0"/>
    <x v="0"/>
    <d v="2021-10-23T00:00:00"/>
    <x v="211"/>
    <x v="2"/>
    <s v="Rochester"/>
    <s v="2021-10"/>
    <x v="4"/>
    <x v="2"/>
    <s v="Q4"/>
    <n v="0.28232959850606909"/>
    <n v="778.90909090909088"/>
  </r>
  <r>
    <x v="141"/>
    <n v="3283"/>
    <n v="71"/>
    <n v="6"/>
    <x v="1"/>
    <x v="2"/>
    <x v="2"/>
    <d v="2021-10-23T00:00:00"/>
    <x v="211"/>
    <x v="2"/>
    <s v="Rochester"/>
    <s v="2021-10"/>
    <x v="4"/>
    <x v="2"/>
    <s v="Q4"/>
    <n v="2.1626561072190069E-2"/>
    <n v="547.16666666666663"/>
  </r>
  <r>
    <x v="142"/>
    <n v="7643"/>
    <n v="3720"/>
    <n v="19"/>
    <x v="0"/>
    <x v="0"/>
    <x v="2"/>
    <d v="2022-07-18T00:00:00"/>
    <x v="212"/>
    <x v="5"/>
    <s v="Dallas"/>
    <s v="2022-07"/>
    <x v="2"/>
    <x v="3"/>
    <s v="Q3"/>
    <n v="0.48671987439487113"/>
    <n v="402.26315789473682"/>
  </r>
  <r>
    <x v="143"/>
    <n v="3461"/>
    <n v="1537"/>
    <n v="15"/>
    <x v="2"/>
    <x v="7"/>
    <x v="2"/>
    <d v="2024-08-23T00:00:00"/>
    <x v="213"/>
    <x v="1"/>
    <s v="Chicago"/>
    <s v="2024-08"/>
    <x v="9"/>
    <x v="1"/>
    <s v="Q3"/>
    <n v="0.444091303091592"/>
    <n v="230.73333333333332"/>
  </r>
  <r>
    <x v="143"/>
    <n v="5714"/>
    <n v="1438"/>
    <n v="6"/>
    <x v="0"/>
    <x v="0"/>
    <x v="3"/>
    <d v="2024-08-23T00:00:00"/>
    <x v="213"/>
    <x v="1"/>
    <s v="Chicago"/>
    <s v="2024-08"/>
    <x v="9"/>
    <x v="1"/>
    <s v="Q3"/>
    <n v="0.25166258312915646"/>
    <n v="952.33333333333337"/>
  </r>
  <r>
    <x v="143"/>
    <n v="3853"/>
    <n v="1457"/>
    <n v="10"/>
    <x v="1"/>
    <x v="9"/>
    <x v="4"/>
    <d v="2024-08-23T00:00:00"/>
    <x v="213"/>
    <x v="1"/>
    <s v="Chicago"/>
    <s v="2024-08"/>
    <x v="9"/>
    <x v="1"/>
    <s v="Q3"/>
    <n v="0.37814689852063327"/>
    <n v="385.3"/>
  </r>
  <r>
    <x v="144"/>
    <n v="6016"/>
    <n v="431"/>
    <n v="20"/>
    <x v="1"/>
    <x v="2"/>
    <x v="0"/>
    <d v="2020-10-28T00:00:00"/>
    <x v="214"/>
    <x v="1"/>
    <s v="Chicago"/>
    <s v="2020-10"/>
    <x v="4"/>
    <x v="4"/>
    <s v="Q4"/>
    <n v="7.1642287234042548E-2"/>
    <n v="300.8"/>
  </r>
  <r>
    <x v="145"/>
    <n v="1290"/>
    <n v="204"/>
    <n v="12"/>
    <x v="1"/>
    <x v="6"/>
    <x v="0"/>
    <d v="2024-06-15T00:00:00"/>
    <x v="215"/>
    <x v="2"/>
    <s v="Buffalo"/>
    <s v="2024-06"/>
    <x v="0"/>
    <x v="1"/>
    <s v="Q2"/>
    <n v="0.15813953488372093"/>
    <n v="107.5"/>
  </r>
  <r>
    <x v="145"/>
    <n v="1290"/>
    <n v="204"/>
    <n v="12"/>
    <x v="1"/>
    <x v="6"/>
    <x v="0"/>
    <d v="2024-12-19T00:00:00"/>
    <x v="216"/>
    <x v="3"/>
    <s v="San Francisco"/>
    <s v="2024-12"/>
    <x v="1"/>
    <x v="1"/>
    <s v="Q4"/>
    <n v="0.15813953488372093"/>
    <n v="107.5"/>
  </r>
  <r>
    <x v="146"/>
    <n v="4569"/>
    <n v="1693"/>
    <n v="10"/>
    <x v="0"/>
    <x v="1"/>
    <x v="0"/>
    <d v="2020-09-04T00:00:00"/>
    <x v="217"/>
    <x v="1"/>
    <s v="Springfield"/>
    <s v="2020-09"/>
    <x v="10"/>
    <x v="4"/>
    <s v="Q3"/>
    <n v="0.37054059969358721"/>
    <n v="456.9"/>
  </r>
  <r>
    <x v="147"/>
    <n v="3083"/>
    <n v="1151"/>
    <n v="16"/>
    <x v="2"/>
    <x v="11"/>
    <x v="1"/>
    <d v="2022-04-16T00:00:00"/>
    <x v="218"/>
    <x v="0"/>
    <s v="Orlando"/>
    <s v="2022-04"/>
    <x v="11"/>
    <x v="3"/>
    <s v="Q2"/>
    <n v="0.3733376581252027"/>
    <n v="192.6875"/>
  </r>
  <r>
    <x v="148"/>
    <n v="3522"/>
    <n v="898"/>
    <n v="15"/>
    <x v="1"/>
    <x v="2"/>
    <x v="3"/>
    <d v="2024-08-29T00:00:00"/>
    <x v="219"/>
    <x v="6"/>
    <s v="Cleveland"/>
    <s v="2024-08"/>
    <x v="9"/>
    <x v="1"/>
    <s v="Q3"/>
    <n v="0.25496876774559907"/>
    <n v="234.8"/>
  </r>
  <r>
    <x v="148"/>
    <n v="3522"/>
    <n v="898"/>
    <n v="15"/>
    <x v="1"/>
    <x v="2"/>
    <x v="3"/>
    <d v="2022-01-14T00:00:00"/>
    <x v="220"/>
    <x v="3"/>
    <s v="Los Angeles"/>
    <s v="2022-01"/>
    <x v="8"/>
    <x v="3"/>
    <s v="Q1"/>
    <n v="0.25496876774559907"/>
    <n v="234.8"/>
  </r>
  <r>
    <x v="149"/>
    <n v="7301"/>
    <n v="3602"/>
    <n v="3"/>
    <x v="1"/>
    <x v="9"/>
    <x v="1"/>
    <d v="2024-04-07T00:00:00"/>
    <x v="221"/>
    <x v="5"/>
    <s v="Houston"/>
    <s v="2024-04"/>
    <x v="11"/>
    <x v="1"/>
    <s v="Q2"/>
    <n v="0.49335707437337351"/>
    <n v="2433.6666666666665"/>
  </r>
  <r>
    <x v="150"/>
    <n v="4462"/>
    <n v="121"/>
    <n v="8"/>
    <x v="0"/>
    <x v="3"/>
    <x v="4"/>
    <d v="2022-04-24T00:00:00"/>
    <x v="222"/>
    <x v="1"/>
    <s v="Springfield"/>
    <s v="2022-04"/>
    <x v="11"/>
    <x v="3"/>
    <s v="Q2"/>
    <n v="2.7117884356790675E-2"/>
    <n v="557.75"/>
  </r>
  <r>
    <x v="150"/>
    <n v="6212"/>
    <n v="1881"/>
    <n v="17"/>
    <x v="0"/>
    <x v="10"/>
    <x v="4"/>
    <d v="2022-04-24T00:00:00"/>
    <x v="222"/>
    <x v="1"/>
    <s v="Springfield"/>
    <s v="2022-04"/>
    <x v="11"/>
    <x v="3"/>
    <s v="Q2"/>
    <n v="0.30280103026400518"/>
    <n v="365.41176470588238"/>
  </r>
  <r>
    <x v="151"/>
    <n v="4027"/>
    <n v="1386"/>
    <n v="3"/>
    <x v="2"/>
    <x v="11"/>
    <x v="2"/>
    <d v="2020-08-27T00:00:00"/>
    <x v="223"/>
    <x v="0"/>
    <s v="Tampa"/>
    <s v="2020-08"/>
    <x v="9"/>
    <x v="4"/>
    <s v="Q3"/>
    <n v="0.34417680655574867"/>
    <n v="1342.3333333333333"/>
  </r>
  <r>
    <x v="152"/>
    <n v="1676"/>
    <n v="330"/>
    <n v="14"/>
    <x v="0"/>
    <x v="3"/>
    <x v="2"/>
    <d v="2023-03-01T00:00:00"/>
    <x v="224"/>
    <x v="6"/>
    <s v="Cleveland"/>
    <s v="2023-03"/>
    <x v="6"/>
    <x v="0"/>
    <s v="Q1"/>
    <n v="0.19689737470167065"/>
    <n v="119.71428571428571"/>
  </r>
  <r>
    <x v="152"/>
    <n v="3927"/>
    <n v="1133"/>
    <n v="12"/>
    <x v="2"/>
    <x v="11"/>
    <x v="4"/>
    <d v="2023-03-01T00:00:00"/>
    <x v="224"/>
    <x v="6"/>
    <s v="Cleveland"/>
    <s v="2023-03"/>
    <x v="6"/>
    <x v="0"/>
    <s v="Q1"/>
    <n v="0.28851540616246496"/>
    <n v="327.25"/>
  </r>
  <r>
    <x v="152"/>
    <n v="2776"/>
    <n v="887"/>
    <n v="9"/>
    <x v="0"/>
    <x v="10"/>
    <x v="1"/>
    <d v="2023-03-01T00:00:00"/>
    <x v="224"/>
    <x v="6"/>
    <s v="Cleveland"/>
    <s v="2023-03"/>
    <x v="6"/>
    <x v="0"/>
    <s v="Q1"/>
    <n v="0.31952449567723346"/>
    <n v="308.44444444444446"/>
  </r>
  <r>
    <x v="153"/>
    <n v="7684"/>
    <n v="1157"/>
    <n v="12"/>
    <x v="2"/>
    <x v="7"/>
    <x v="4"/>
    <d v="2020-10-02T00:00:00"/>
    <x v="225"/>
    <x v="1"/>
    <s v="Chicago"/>
    <s v="2020-10"/>
    <x v="4"/>
    <x v="4"/>
    <s v="Q4"/>
    <n v="0.15057261842790212"/>
    <n v="640.33333333333337"/>
  </r>
  <r>
    <x v="153"/>
    <n v="7684"/>
    <n v="1157"/>
    <n v="12"/>
    <x v="2"/>
    <x v="7"/>
    <x v="4"/>
    <d v="2020-06-23T00:00:00"/>
    <x v="226"/>
    <x v="2"/>
    <s v="Buffalo"/>
    <s v="2020-06"/>
    <x v="0"/>
    <x v="4"/>
    <s v="Q2"/>
    <n v="0.15057261842790212"/>
    <n v="640.33333333333337"/>
  </r>
  <r>
    <x v="153"/>
    <n v="7684"/>
    <n v="1157"/>
    <n v="12"/>
    <x v="2"/>
    <x v="7"/>
    <x v="4"/>
    <d v="2023-08-21T00:00:00"/>
    <x v="227"/>
    <x v="6"/>
    <s v="Columbus"/>
    <s v="2023-08"/>
    <x v="9"/>
    <x v="0"/>
    <s v="Q3"/>
    <n v="0.15057261842790212"/>
    <n v="640.33333333333337"/>
  </r>
  <r>
    <x v="154"/>
    <n v="6008"/>
    <n v="2498"/>
    <n v="17"/>
    <x v="0"/>
    <x v="10"/>
    <x v="3"/>
    <d v="2022-07-16T00:00:00"/>
    <x v="228"/>
    <x v="0"/>
    <s v="Miami"/>
    <s v="2022-07"/>
    <x v="2"/>
    <x v="3"/>
    <s v="Q3"/>
    <n v="0.41577896138482023"/>
    <n v="353.41176470588238"/>
  </r>
  <r>
    <x v="155"/>
    <n v="7344"/>
    <n v="2598"/>
    <n v="20"/>
    <x v="2"/>
    <x v="11"/>
    <x v="4"/>
    <d v="2022-08-01T00:00:00"/>
    <x v="229"/>
    <x v="5"/>
    <s v="Dallas"/>
    <s v="2022-08"/>
    <x v="9"/>
    <x v="3"/>
    <s v="Q3"/>
    <n v="0.35375816993464054"/>
    <n v="367.2"/>
  </r>
  <r>
    <x v="156"/>
    <n v="6932"/>
    <n v="3218"/>
    <n v="20"/>
    <x v="1"/>
    <x v="2"/>
    <x v="4"/>
    <d v="2020-07-16T00:00:00"/>
    <x v="230"/>
    <x v="0"/>
    <s v="Orlando"/>
    <s v="2020-07"/>
    <x v="2"/>
    <x v="4"/>
    <s v="Q3"/>
    <n v="0.46422388920946334"/>
    <n v="346.6"/>
  </r>
  <r>
    <x v="157"/>
    <n v="7748"/>
    <n v="1706"/>
    <n v="16"/>
    <x v="0"/>
    <x v="0"/>
    <x v="2"/>
    <d v="2020-05-02T00:00:00"/>
    <x v="231"/>
    <x v="6"/>
    <s v="Cincinnati"/>
    <s v="2020-05"/>
    <x v="3"/>
    <x v="4"/>
    <s v="Q2"/>
    <n v="0.22018585441404234"/>
    <n v="484.25"/>
  </r>
  <r>
    <x v="157"/>
    <n v="6381"/>
    <n v="2763"/>
    <n v="20"/>
    <x v="1"/>
    <x v="6"/>
    <x v="0"/>
    <d v="2020-05-02T00:00:00"/>
    <x v="231"/>
    <x v="6"/>
    <s v="Cincinnati"/>
    <s v="2020-05"/>
    <x v="3"/>
    <x v="4"/>
    <s v="Q2"/>
    <n v="0.43300423131170662"/>
    <n v="319.05"/>
  </r>
  <r>
    <x v="157"/>
    <n v="992"/>
    <n v="64"/>
    <n v="6"/>
    <x v="0"/>
    <x v="10"/>
    <x v="3"/>
    <d v="2020-05-02T00:00:00"/>
    <x v="231"/>
    <x v="6"/>
    <s v="Cincinnati"/>
    <s v="2020-05"/>
    <x v="3"/>
    <x v="4"/>
    <s v="Q2"/>
    <n v="6.4516129032258063E-2"/>
    <n v="165.33333333333334"/>
  </r>
  <r>
    <x v="158"/>
    <n v="8649"/>
    <n v="2631"/>
    <n v="13"/>
    <x v="0"/>
    <x v="3"/>
    <x v="2"/>
    <d v="2024-01-10T00:00:00"/>
    <x v="232"/>
    <x v="3"/>
    <s v="San Francisco"/>
    <s v="2024-01"/>
    <x v="8"/>
    <x v="1"/>
    <s v="Q1"/>
    <n v="0.30419701699618451"/>
    <n v="665.30769230769226"/>
  </r>
  <r>
    <x v="158"/>
    <n v="8649"/>
    <n v="2631"/>
    <n v="13"/>
    <x v="0"/>
    <x v="3"/>
    <x v="2"/>
    <d v="2020-09-30T00:00:00"/>
    <x v="233"/>
    <x v="2"/>
    <s v="Rochester"/>
    <s v="2020-09"/>
    <x v="10"/>
    <x v="4"/>
    <s v="Q3"/>
    <n v="0.30419701699618451"/>
    <n v="665.30769230769226"/>
  </r>
  <r>
    <x v="159"/>
    <n v="4099"/>
    <n v="52"/>
    <n v="18"/>
    <x v="0"/>
    <x v="3"/>
    <x v="0"/>
    <d v="2022-03-28T00:00:00"/>
    <x v="234"/>
    <x v="2"/>
    <s v="New York City"/>
    <s v="2022-03"/>
    <x v="6"/>
    <x v="3"/>
    <s v="Q1"/>
    <n v="1.2686020980727006E-2"/>
    <n v="227.72222222222223"/>
  </r>
  <r>
    <x v="160"/>
    <n v="2539"/>
    <n v="324"/>
    <n v="5"/>
    <x v="0"/>
    <x v="0"/>
    <x v="0"/>
    <d v="2021-01-30T00:00:00"/>
    <x v="235"/>
    <x v="3"/>
    <s v="San Francisco"/>
    <s v="2021-01"/>
    <x v="8"/>
    <x v="2"/>
    <s v="Q1"/>
    <n v="0.12760929499803073"/>
    <n v="507.8"/>
  </r>
  <r>
    <x v="161"/>
    <n v="9845"/>
    <n v="3062"/>
    <n v="9"/>
    <x v="1"/>
    <x v="8"/>
    <x v="4"/>
    <d v="2025-03-14T00:00:00"/>
    <x v="236"/>
    <x v="0"/>
    <s v="Orlando"/>
    <s v="2025-03"/>
    <x v="6"/>
    <x v="5"/>
    <s v="Q1"/>
    <n v="0.31102082275266635"/>
    <n v="1093.8888888888889"/>
  </r>
  <r>
    <x v="162"/>
    <n v="2901"/>
    <n v="1411"/>
    <n v="2"/>
    <x v="1"/>
    <x v="8"/>
    <x v="1"/>
    <d v="2021-10-26T00:00:00"/>
    <x v="237"/>
    <x v="5"/>
    <s v="Austin"/>
    <s v="2021-10"/>
    <x v="4"/>
    <x v="2"/>
    <s v="Q4"/>
    <n v="0.48638400551533956"/>
    <n v="1450.5"/>
  </r>
  <r>
    <x v="162"/>
    <n v="2901"/>
    <n v="1411"/>
    <n v="2"/>
    <x v="1"/>
    <x v="8"/>
    <x v="1"/>
    <d v="2023-01-11T00:00:00"/>
    <x v="238"/>
    <x v="3"/>
    <s v="Los Angeles"/>
    <s v="2023-01"/>
    <x v="8"/>
    <x v="0"/>
    <s v="Q1"/>
    <n v="0.48638400551533956"/>
    <n v="1450.5"/>
  </r>
  <r>
    <x v="162"/>
    <n v="6934"/>
    <n v="1152"/>
    <n v="6"/>
    <x v="1"/>
    <x v="2"/>
    <x v="3"/>
    <d v="2021-10-26T00:00:00"/>
    <x v="237"/>
    <x v="5"/>
    <s v="Austin"/>
    <s v="2021-10"/>
    <x v="4"/>
    <x v="2"/>
    <s v="Q4"/>
    <n v="0.16613787135852323"/>
    <n v="1155.6666666666667"/>
  </r>
  <r>
    <x v="162"/>
    <n v="6934"/>
    <n v="1152"/>
    <n v="6"/>
    <x v="1"/>
    <x v="2"/>
    <x v="3"/>
    <d v="2023-01-11T00:00:00"/>
    <x v="238"/>
    <x v="3"/>
    <s v="Los Angeles"/>
    <s v="2023-01"/>
    <x v="8"/>
    <x v="0"/>
    <s v="Q1"/>
    <n v="0.16613787135852323"/>
    <n v="1155.6666666666667"/>
  </r>
  <r>
    <x v="163"/>
    <n v="9640"/>
    <n v="2606"/>
    <n v="2"/>
    <x v="2"/>
    <x v="11"/>
    <x v="3"/>
    <d v="2021-10-31T00:00:00"/>
    <x v="239"/>
    <x v="1"/>
    <s v="Peoria"/>
    <s v="2021-10"/>
    <x v="4"/>
    <x v="2"/>
    <s v="Q4"/>
    <n v="0.27033195020746886"/>
    <n v="4820"/>
  </r>
  <r>
    <x v="164"/>
    <n v="7930"/>
    <n v="1981"/>
    <n v="13"/>
    <x v="2"/>
    <x v="5"/>
    <x v="3"/>
    <d v="2023-05-04T00:00:00"/>
    <x v="240"/>
    <x v="6"/>
    <s v="Cleveland"/>
    <s v="2023-05"/>
    <x v="3"/>
    <x v="0"/>
    <s v="Q2"/>
    <n v="0.24981084489281211"/>
    <n v="610"/>
  </r>
  <r>
    <x v="164"/>
    <n v="7930"/>
    <n v="1981"/>
    <n v="13"/>
    <x v="2"/>
    <x v="5"/>
    <x v="3"/>
    <d v="2024-08-09T00:00:00"/>
    <x v="241"/>
    <x v="1"/>
    <s v="Springfield"/>
    <s v="2024-08"/>
    <x v="9"/>
    <x v="1"/>
    <s v="Q3"/>
    <n v="0.24981084489281211"/>
    <n v="610"/>
  </r>
  <r>
    <x v="165"/>
    <n v="9894"/>
    <n v="829"/>
    <n v="1"/>
    <x v="1"/>
    <x v="9"/>
    <x v="4"/>
    <d v="2022-08-21T00:00:00"/>
    <x v="242"/>
    <x v="3"/>
    <s v="San Diego"/>
    <s v="2022-08"/>
    <x v="9"/>
    <x v="3"/>
    <s v="Q3"/>
    <n v="8.3788154437032539E-2"/>
    <n v="9894"/>
  </r>
  <r>
    <x v="165"/>
    <n v="4534"/>
    <n v="2235"/>
    <n v="4"/>
    <x v="2"/>
    <x v="4"/>
    <x v="4"/>
    <d v="2022-08-21T00:00:00"/>
    <x v="242"/>
    <x v="3"/>
    <s v="San Diego"/>
    <s v="2022-08"/>
    <x v="9"/>
    <x v="3"/>
    <s v="Q3"/>
    <n v="0.49294221438023822"/>
    <n v="1133.5"/>
  </r>
  <r>
    <x v="166"/>
    <n v="4911"/>
    <n v="186"/>
    <n v="20"/>
    <x v="0"/>
    <x v="10"/>
    <x v="1"/>
    <d v="2022-06-19T00:00:00"/>
    <x v="243"/>
    <x v="2"/>
    <s v="Buffalo"/>
    <s v="2022-06"/>
    <x v="0"/>
    <x v="3"/>
    <s v="Q2"/>
    <n v="3.7874160048869884E-2"/>
    <n v="245.55"/>
  </r>
  <r>
    <x v="166"/>
    <n v="531"/>
    <n v="189"/>
    <n v="20"/>
    <x v="2"/>
    <x v="11"/>
    <x v="1"/>
    <d v="2022-06-19T00:00:00"/>
    <x v="243"/>
    <x v="2"/>
    <s v="Buffalo"/>
    <s v="2022-06"/>
    <x v="0"/>
    <x v="3"/>
    <s v="Q2"/>
    <n v="0.3559322033898305"/>
    <n v="26.55"/>
  </r>
  <r>
    <x v="167"/>
    <n v="9707"/>
    <n v="3483"/>
    <n v="10"/>
    <x v="0"/>
    <x v="0"/>
    <x v="2"/>
    <d v="2025-01-29T00:00:00"/>
    <x v="244"/>
    <x v="1"/>
    <s v="Peoria"/>
    <s v="2025-01"/>
    <x v="8"/>
    <x v="5"/>
    <s v="Q1"/>
    <n v="0.35881322756773465"/>
    <n v="970.7"/>
  </r>
  <r>
    <x v="167"/>
    <n v="8521"/>
    <n v="2584"/>
    <n v="7"/>
    <x v="1"/>
    <x v="8"/>
    <x v="4"/>
    <d v="2025-01-29T00:00:00"/>
    <x v="244"/>
    <x v="1"/>
    <s v="Peoria"/>
    <s v="2025-01"/>
    <x v="8"/>
    <x v="5"/>
    <s v="Q1"/>
    <n v="0.30325079216054451"/>
    <n v="1217.2857142857142"/>
  </r>
  <r>
    <x v="168"/>
    <n v="8438"/>
    <n v="3427"/>
    <n v="12"/>
    <x v="1"/>
    <x v="9"/>
    <x v="3"/>
    <d v="2022-01-14T00:00:00"/>
    <x v="245"/>
    <x v="2"/>
    <s v="Buffalo"/>
    <s v="2022-01"/>
    <x v="8"/>
    <x v="3"/>
    <s v="Q1"/>
    <n v="0.40613889547286086"/>
    <n v="703.16666666666663"/>
  </r>
  <r>
    <x v="168"/>
    <n v="1689"/>
    <n v="109"/>
    <n v="9"/>
    <x v="0"/>
    <x v="0"/>
    <x v="0"/>
    <d v="2022-01-14T00:00:00"/>
    <x v="245"/>
    <x v="2"/>
    <s v="Buffalo"/>
    <s v="2022-01"/>
    <x v="8"/>
    <x v="3"/>
    <s v="Q1"/>
    <n v="6.4535227945529905E-2"/>
    <n v="187.66666666666666"/>
  </r>
  <r>
    <x v="168"/>
    <n v="3936"/>
    <n v="1626"/>
    <n v="14"/>
    <x v="1"/>
    <x v="8"/>
    <x v="4"/>
    <d v="2022-01-14T00:00:00"/>
    <x v="245"/>
    <x v="2"/>
    <s v="Buffalo"/>
    <s v="2022-01"/>
    <x v="8"/>
    <x v="3"/>
    <s v="Q1"/>
    <n v="0.41310975609756095"/>
    <n v="281.14285714285717"/>
  </r>
  <r>
    <x v="169"/>
    <n v="7664"/>
    <n v="1753"/>
    <n v="19"/>
    <x v="0"/>
    <x v="10"/>
    <x v="1"/>
    <d v="2023-06-15T00:00:00"/>
    <x v="246"/>
    <x v="6"/>
    <s v="Cincinnati"/>
    <s v="2023-06"/>
    <x v="0"/>
    <x v="0"/>
    <s v="Q2"/>
    <n v="0.22873173277661796"/>
    <n v="403.36842105263156"/>
  </r>
  <r>
    <x v="170"/>
    <n v="721"/>
    <n v="258"/>
    <n v="13"/>
    <x v="0"/>
    <x v="3"/>
    <x v="1"/>
    <d v="2023-10-18T00:00:00"/>
    <x v="247"/>
    <x v="1"/>
    <s v="Peoria"/>
    <s v="2023-10"/>
    <x v="4"/>
    <x v="0"/>
    <s v="Q4"/>
    <n v="0.3578363384188627"/>
    <n v="55.46153846153846"/>
  </r>
  <r>
    <x v="170"/>
    <n v="721"/>
    <n v="258"/>
    <n v="13"/>
    <x v="0"/>
    <x v="3"/>
    <x v="1"/>
    <d v="2022-06-13T00:00:00"/>
    <x v="248"/>
    <x v="2"/>
    <s v="Buffalo"/>
    <s v="2022-06"/>
    <x v="0"/>
    <x v="3"/>
    <s v="Q2"/>
    <n v="0.3578363384188627"/>
    <n v="55.46153846153846"/>
  </r>
  <r>
    <x v="170"/>
    <n v="8364"/>
    <n v="3055"/>
    <n v="17"/>
    <x v="0"/>
    <x v="3"/>
    <x v="3"/>
    <d v="2023-10-18T00:00:00"/>
    <x v="247"/>
    <x v="1"/>
    <s v="Peoria"/>
    <s v="2023-10"/>
    <x v="4"/>
    <x v="0"/>
    <s v="Q4"/>
    <n v="0.36525585844093733"/>
    <n v="492"/>
  </r>
  <r>
    <x v="170"/>
    <n v="8364"/>
    <n v="3055"/>
    <n v="17"/>
    <x v="0"/>
    <x v="3"/>
    <x v="3"/>
    <d v="2022-06-13T00:00:00"/>
    <x v="248"/>
    <x v="2"/>
    <s v="Buffalo"/>
    <s v="2022-06"/>
    <x v="0"/>
    <x v="3"/>
    <s v="Q2"/>
    <n v="0.36525585844093733"/>
    <n v="492"/>
  </r>
  <r>
    <x v="170"/>
    <n v="5234"/>
    <n v="2021"/>
    <n v="15"/>
    <x v="2"/>
    <x v="11"/>
    <x v="2"/>
    <d v="2023-10-18T00:00:00"/>
    <x v="247"/>
    <x v="1"/>
    <s v="Peoria"/>
    <s v="2023-10"/>
    <x v="4"/>
    <x v="0"/>
    <s v="Q4"/>
    <n v="0.38612915552158961"/>
    <n v="348.93333333333334"/>
  </r>
  <r>
    <x v="170"/>
    <n v="5234"/>
    <n v="2021"/>
    <n v="15"/>
    <x v="2"/>
    <x v="11"/>
    <x v="2"/>
    <d v="2022-06-13T00:00:00"/>
    <x v="248"/>
    <x v="2"/>
    <s v="Buffalo"/>
    <s v="2022-06"/>
    <x v="0"/>
    <x v="3"/>
    <s v="Q2"/>
    <n v="0.38612915552158961"/>
    <n v="348.93333333333334"/>
  </r>
  <r>
    <x v="171"/>
    <n v="3944"/>
    <n v="1559"/>
    <n v="18"/>
    <x v="0"/>
    <x v="10"/>
    <x v="3"/>
    <d v="2024-06-12T00:00:00"/>
    <x v="249"/>
    <x v="3"/>
    <s v="San Francisco"/>
    <s v="2024-06"/>
    <x v="0"/>
    <x v="1"/>
    <s v="Q2"/>
    <n v="0.39528397565922924"/>
    <n v="219.11111111111111"/>
  </r>
  <r>
    <x v="171"/>
    <n v="6711"/>
    <n v="1045"/>
    <n v="12"/>
    <x v="1"/>
    <x v="2"/>
    <x v="3"/>
    <d v="2024-06-12T00:00:00"/>
    <x v="249"/>
    <x v="3"/>
    <s v="San Francisco"/>
    <s v="2024-06"/>
    <x v="0"/>
    <x v="1"/>
    <s v="Q2"/>
    <n v="0.15571449858441366"/>
    <n v="559.25"/>
  </r>
  <r>
    <x v="171"/>
    <n v="5031"/>
    <n v="714"/>
    <n v="4"/>
    <x v="2"/>
    <x v="4"/>
    <x v="3"/>
    <d v="2024-06-12T00:00:00"/>
    <x v="249"/>
    <x v="3"/>
    <s v="San Francisco"/>
    <s v="2024-06"/>
    <x v="0"/>
    <x v="1"/>
    <s v="Q2"/>
    <n v="0.14192009540846751"/>
    <n v="1257.75"/>
  </r>
  <r>
    <x v="171"/>
    <n v="6295"/>
    <n v="2469"/>
    <n v="14"/>
    <x v="1"/>
    <x v="9"/>
    <x v="2"/>
    <d v="2024-06-12T00:00:00"/>
    <x v="249"/>
    <x v="3"/>
    <s v="San Francisco"/>
    <s v="2024-06"/>
    <x v="0"/>
    <x v="1"/>
    <s v="Q2"/>
    <n v="0.39221604447974584"/>
    <n v="449.64285714285717"/>
  </r>
  <r>
    <x v="172"/>
    <n v="9654"/>
    <n v="4111"/>
    <n v="1"/>
    <x v="1"/>
    <x v="8"/>
    <x v="0"/>
    <d v="2022-06-27T00:00:00"/>
    <x v="250"/>
    <x v="3"/>
    <s v="San Francisco"/>
    <s v="2022-06"/>
    <x v="0"/>
    <x v="3"/>
    <s v="Q2"/>
    <n v="0.42583385125336648"/>
    <n v="9654"/>
  </r>
  <r>
    <x v="172"/>
    <n v="3112"/>
    <n v="1065"/>
    <n v="20"/>
    <x v="1"/>
    <x v="9"/>
    <x v="4"/>
    <d v="2022-06-27T00:00:00"/>
    <x v="250"/>
    <x v="3"/>
    <s v="San Francisco"/>
    <s v="2022-06"/>
    <x v="0"/>
    <x v="3"/>
    <s v="Q2"/>
    <n v="0.34222365038560409"/>
    <n v="155.6"/>
  </r>
  <r>
    <x v="173"/>
    <n v="7838"/>
    <n v="1142"/>
    <n v="13"/>
    <x v="0"/>
    <x v="10"/>
    <x v="0"/>
    <d v="2021-02-18T00:00:00"/>
    <x v="251"/>
    <x v="3"/>
    <s v="San Francisco"/>
    <s v="2021-02"/>
    <x v="7"/>
    <x v="2"/>
    <s v="Q1"/>
    <n v="0.14570043378412861"/>
    <n v="602.92307692307691"/>
  </r>
  <r>
    <x v="173"/>
    <n v="9300"/>
    <n v="3146"/>
    <n v="6"/>
    <x v="0"/>
    <x v="10"/>
    <x v="3"/>
    <d v="2021-02-18T00:00:00"/>
    <x v="251"/>
    <x v="3"/>
    <s v="San Francisco"/>
    <s v="2021-02"/>
    <x v="7"/>
    <x v="2"/>
    <s v="Q1"/>
    <n v="0.3382795698924731"/>
    <n v="1550"/>
  </r>
  <r>
    <x v="173"/>
    <n v="1733"/>
    <n v="133"/>
    <n v="17"/>
    <x v="1"/>
    <x v="8"/>
    <x v="1"/>
    <d v="2021-02-18T00:00:00"/>
    <x v="251"/>
    <x v="3"/>
    <s v="San Francisco"/>
    <s v="2021-02"/>
    <x v="7"/>
    <x v="2"/>
    <s v="Q1"/>
    <n v="7.6745527986151182E-2"/>
    <n v="101.94117647058823"/>
  </r>
  <r>
    <x v="174"/>
    <n v="874"/>
    <n v="235"/>
    <n v="15"/>
    <x v="1"/>
    <x v="9"/>
    <x v="1"/>
    <d v="2023-05-29T00:00:00"/>
    <x v="252"/>
    <x v="2"/>
    <s v="Rochester"/>
    <s v="2023-05"/>
    <x v="3"/>
    <x v="0"/>
    <s v="Q2"/>
    <n v="0.26887871853546913"/>
    <n v="58.266666666666666"/>
  </r>
  <r>
    <x v="174"/>
    <n v="874"/>
    <n v="235"/>
    <n v="15"/>
    <x v="1"/>
    <x v="9"/>
    <x v="1"/>
    <d v="2021-06-04T00:00:00"/>
    <x v="253"/>
    <x v="0"/>
    <s v="Miami"/>
    <s v="2021-06"/>
    <x v="0"/>
    <x v="2"/>
    <s v="Q2"/>
    <n v="0.26887871853546913"/>
    <n v="58.266666666666666"/>
  </r>
  <r>
    <x v="175"/>
    <n v="1248"/>
    <n v="584"/>
    <n v="13"/>
    <x v="1"/>
    <x v="2"/>
    <x v="2"/>
    <d v="2024-01-22T00:00:00"/>
    <x v="254"/>
    <x v="6"/>
    <s v="Columbus"/>
    <s v="2024-01"/>
    <x v="8"/>
    <x v="1"/>
    <s v="Q1"/>
    <n v="0.46794871794871795"/>
    <n v="96"/>
  </r>
  <r>
    <x v="175"/>
    <n v="1248"/>
    <n v="584"/>
    <n v="13"/>
    <x v="1"/>
    <x v="2"/>
    <x v="2"/>
    <d v="2022-12-27T00:00:00"/>
    <x v="255"/>
    <x v="3"/>
    <s v="San Francisco"/>
    <s v="2022-12"/>
    <x v="1"/>
    <x v="3"/>
    <s v="Q4"/>
    <n v="0.46794871794871795"/>
    <n v="96"/>
  </r>
  <r>
    <x v="175"/>
    <n v="3669"/>
    <n v="154"/>
    <n v="14"/>
    <x v="1"/>
    <x v="6"/>
    <x v="2"/>
    <d v="2024-01-22T00:00:00"/>
    <x v="254"/>
    <x v="6"/>
    <s v="Columbus"/>
    <s v="2024-01"/>
    <x v="8"/>
    <x v="1"/>
    <s v="Q1"/>
    <n v="4.1973289724720635E-2"/>
    <n v="262.07142857142856"/>
  </r>
  <r>
    <x v="175"/>
    <n v="3669"/>
    <n v="154"/>
    <n v="14"/>
    <x v="1"/>
    <x v="6"/>
    <x v="2"/>
    <d v="2022-12-27T00:00:00"/>
    <x v="255"/>
    <x v="3"/>
    <s v="San Francisco"/>
    <s v="2022-12"/>
    <x v="1"/>
    <x v="3"/>
    <s v="Q4"/>
    <n v="4.1973289724720635E-2"/>
    <n v="262.07142857142856"/>
  </r>
  <r>
    <x v="175"/>
    <n v="514"/>
    <n v="109"/>
    <n v="15"/>
    <x v="1"/>
    <x v="8"/>
    <x v="1"/>
    <d v="2024-01-22T00:00:00"/>
    <x v="254"/>
    <x v="6"/>
    <s v="Columbus"/>
    <s v="2024-01"/>
    <x v="8"/>
    <x v="1"/>
    <s v="Q1"/>
    <n v="0.21206225680933852"/>
    <n v="34.266666666666666"/>
  </r>
  <r>
    <x v="175"/>
    <n v="514"/>
    <n v="109"/>
    <n v="15"/>
    <x v="1"/>
    <x v="8"/>
    <x v="1"/>
    <d v="2022-12-27T00:00:00"/>
    <x v="255"/>
    <x v="3"/>
    <s v="San Francisco"/>
    <s v="2022-12"/>
    <x v="1"/>
    <x v="3"/>
    <s v="Q4"/>
    <n v="0.21206225680933852"/>
    <n v="34.266666666666666"/>
  </r>
  <r>
    <x v="176"/>
    <n v="3273"/>
    <n v="85"/>
    <n v="16"/>
    <x v="0"/>
    <x v="10"/>
    <x v="0"/>
    <d v="2024-03-30T00:00:00"/>
    <x v="256"/>
    <x v="6"/>
    <s v="Cincinnati"/>
    <s v="2024-03"/>
    <x v="6"/>
    <x v="1"/>
    <s v="Q1"/>
    <n v="2.5970058050717997E-2"/>
    <n v="204.5625"/>
  </r>
  <r>
    <x v="177"/>
    <n v="5035"/>
    <n v="2008"/>
    <n v="2"/>
    <x v="2"/>
    <x v="5"/>
    <x v="4"/>
    <d v="2020-04-04T00:00:00"/>
    <x v="257"/>
    <x v="0"/>
    <s v="Miami"/>
    <s v="2020-04"/>
    <x v="11"/>
    <x v="4"/>
    <s v="Q2"/>
    <n v="0.39880834160873885"/>
    <n v="2517.5"/>
  </r>
  <r>
    <x v="177"/>
    <n v="7702"/>
    <n v="60"/>
    <n v="19"/>
    <x v="0"/>
    <x v="1"/>
    <x v="0"/>
    <d v="2020-04-04T00:00:00"/>
    <x v="257"/>
    <x v="0"/>
    <s v="Miami"/>
    <s v="2020-04"/>
    <x v="11"/>
    <x v="4"/>
    <s v="Q2"/>
    <n v="7.7901843676967024E-3"/>
    <n v="405.36842105263156"/>
  </r>
  <r>
    <x v="177"/>
    <n v="9884"/>
    <n v="4446"/>
    <n v="7"/>
    <x v="0"/>
    <x v="1"/>
    <x v="2"/>
    <d v="2020-04-04T00:00:00"/>
    <x v="257"/>
    <x v="0"/>
    <s v="Miami"/>
    <s v="2020-04"/>
    <x v="11"/>
    <x v="4"/>
    <s v="Q2"/>
    <n v="0.44981788749494134"/>
    <n v="1412"/>
  </r>
  <r>
    <x v="178"/>
    <n v="5564"/>
    <n v="175"/>
    <n v="11"/>
    <x v="0"/>
    <x v="3"/>
    <x v="4"/>
    <d v="2023-01-22T00:00:00"/>
    <x v="258"/>
    <x v="1"/>
    <s v="Chicago"/>
    <s v="2023-01"/>
    <x v="8"/>
    <x v="0"/>
    <s v="Q1"/>
    <n v="3.145219266714594E-2"/>
    <n v="505.81818181818181"/>
  </r>
  <r>
    <x v="178"/>
    <n v="5564"/>
    <n v="175"/>
    <n v="11"/>
    <x v="0"/>
    <x v="3"/>
    <x v="4"/>
    <d v="2022-04-12T00:00:00"/>
    <x v="259"/>
    <x v="5"/>
    <s v="Houston"/>
    <s v="2022-04"/>
    <x v="11"/>
    <x v="3"/>
    <s v="Q2"/>
    <n v="3.145219266714594E-2"/>
    <n v="505.81818181818181"/>
  </r>
  <r>
    <x v="178"/>
    <n v="5564"/>
    <n v="175"/>
    <n v="11"/>
    <x v="0"/>
    <x v="3"/>
    <x v="4"/>
    <d v="2023-12-13T00:00:00"/>
    <x v="260"/>
    <x v="0"/>
    <s v="Miami"/>
    <s v="2023-12"/>
    <x v="1"/>
    <x v="0"/>
    <s v="Q4"/>
    <n v="3.145219266714594E-2"/>
    <n v="505.81818181818181"/>
  </r>
  <r>
    <x v="178"/>
    <n v="3953"/>
    <n v="1776"/>
    <n v="15"/>
    <x v="0"/>
    <x v="0"/>
    <x v="0"/>
    <d v="2023-01-22T00:00:00"/>
    <x v="258"/>
    <x v="1"/>
    <s v="Chicago"/>
    <s v="2023-01"/>
    <x v="8"/>
    <x v="0"/>
    <s v="Q1"/>
    <n v="0.44927902858588414"/>
    <n v="263.53333333333336"/>
  </r>
  <r>
    <x v="178"/>
    <n v="3953"/>
    <n v="1776"/>
    <n v="15"/>
    <x v="0"/>
    <x v="0"/>
    <x v="0"/>
    <d v="2022-04-12T00:00:00"/>
    <x v="259"/>
    <x v="5"/>
    <s v="Houston"/>
    <s v="2022-04"/>
    <x v="11"/>
    <x v="3"/>
    <s v="Q2"/>
    <n v="0.44927902858588414"/>
    <n v="263.53333333333336"/>
  </r>
  <r>
    <x v="178"/>
    <n v="3953"/>
    <n v="1776"/>
    <n v="15"/>
    <x v="0"/>
    <x v="0"/>
    <x v="0"/>
    <d v="2023-12-13T00:00:00"/>
    <x v="260"/>
    <x v="0"/>
    <s v="Miami"/>
    <s v="2023-12"/>
    <x v="1"/>
    <x v="0"/>
    <s v="Q4"/>
    <n v="0.44927902858588414"/>
    <n v="263.53333333333336"/>
  </r>
  <r>
    <x v="179"/>
    <n v="6488"/>
    <n v="1591"/>
    <n v="18"/>
    <x v="0"/>
    <x v="1"/>
    <x v="2"/>
    <d v="2023-05-24T00:00:00"/>
    <x v="261"/>
    <x v="5"/>
    <s v="Dallas"/>
    <s v="2023-05"/>
    <x v="3"/>
    <x v="0"/>
    <s v="Q2"/>
    <n v="0.24522194821208385"/>
    <n v="360.44444444444446"/>
  </r>
  <r>
    <x v="179"/>
    <n v="6488"/>
    <n v="1591"/>
    <n v="18"/>
    <x v="0"/>
    <x v="1"/>
    <x v="2"/>
    <d v="2020-11-29T00:00:00"/>
    <x v="262"/>
    <x v="5"/>
    <s v="Houston"/>
    <s v="2020-11"/>
    <x v="5"/>
    <x v="4"/>
    <s v="Q4"/>
    <n v="0.24522194821208385"/>
    <n v="360.44444444444446"/>
  </r>
  <r>
    <x v="180"/>
    <n v="7856"/>
    <n v="3699"/>
    <n v="17"/>
    <x v="0"/>
    <x v="0"/>
    <x v="0"/>
    <d v="2021-03-24T00:00:00"/>
    <x v="263"/>
    <x v="0"/>
    <s v="Orlando"/>
    <s v="2021-03"/>
    <x v="6"/>
    <x v="2"/>
    <s v="Q1"/>
    <n v="0.47085030549898166"/>
    <n v="462.11764705882354"/>
  </r>
  <r>
    <x v="180"/>
    <n v="1165"/>
    <n v="51"/>
    <n v="3"/>
    <x v="1"/>
    <x v="2"/>
    <x v="2"/>
    <d v="2021-03-24T00:00:00"/>
    <x v="263"/>
    <x v="0"/>
    <s v="Orlando"/>
    <s v="2021-03"/>
    <x v="6"/>
    <x v="2"/>
    <s v="Q1"/>
    <n v="4.3776824034334763E-2"/>
    <n v="388.33333333333331"/>
  </r>
  <r>
    <x v="181"/>
    <n v="9386"/>
    <n v="2555"/>
    <n v="20"/>
    <x v="1"/>
    <x v="6"/>
    <x v="3"/>
    <d v="2020-08-19T00:00:00"/>
    <x v="264"/>
    <x v="3"/>
    <s v="San Diego"/>
    <s v="2020-08"/>
    <x v="9"/>
    <x v="4"/>
    <s v="Q3"/>
    <n v="0.27221393564883872"/>
    <n v="469.3"/>
  </r>
  <r>
    <x v="181"/>
    <n v="9386"/>
    <n v="2555"/>
    <n v="20"/>
    <x v="1"/>
    <x v="6"/>
    <x v="3"/>
    <d v="2022-10-20T00:00:00"/>
    <x v="265"/>
    <x v="6"/>
    <s v="Cleveland"/>
    <s v="2022-10"/>
    <x v="4"/>
    <x v="3"/>
    <s v="Q4"/>
    <n v="0.27221393564883872"/>
    <n v="469.3"/>
  </r>
  <r>
    <x v="182"/>
    <n v="3956"/>
    <n v="142"/>
    <n v="12"/>
    <x v="1"/>
    <x v="2"/>
    <x v="1"/>
    <d v="2023-09-20T00:00:00"/>
    <x v="266"/>
    <x v="0"/>
    <s v="Tampa"/>
    <s v="2023-09"/>
    <x v="10"/>
    <x v="0"/>
    <s v="Q3"/>
    <n v="3.5894843276036398E-2"/>
    <n v="329.66666666666669"/>
  </r>
  <r>
    <x v="182"/>
    <n v="3956"/>
    <n v="142"/>
    <n v="12"/>
    <x v="1"/>
    <x v="2"/>
    <x v="1"/>
    <d v="2024-12-26T00:00:00"/>
    <x v="267"/>
    <x v="5"/>
    <s v="Dallas"/>
    <s v="2024-12"/>
    <x v="1"/>
    <x v="1"/>
    <s v="Q4"/>
    <n v="3.5894843276036398E-2"/>
    <n v="329.66666666666669"/>
  </r>
  <r>
    <x v="182"/>
    <n v="6449"/>
    <n v="2628"/>
    <n v="11"/>
    <x v="2"/>
    <x v="11"/>
    <x v="2"/>
    <d v="2023-09-20T00:00:00"/>
    <x v="266"/>
    <x v="0"/>
    <s v="Tampa"/>
    <s v="2023-09"/>
    <x v="10"/>
    <x v="0"/>
    <s v="Q3"/>
    <n v="0.40750503954101414"/>
    <n v="586.27272727272725"/>
  </r>
  <r>
    <x v="182"/>
    <n v="6449"/>
    <n v="2628"/>
    <n v="11"/>
    <x v="2"/>
    <x v="11"/>
    <x v="2"/>
    <d v="2024-12-26T00:00:00"/>
    <x v="267"/>
    <x v="5"/>
    <s v="Dallas"/>
    <s v="2024-12"/>
    <x v="1"/>
    <x v="1"/>
    <s v="Q4"/>
    <n v="0.40750503954101414"/>
    <n v="586.27272727272725"/>
  </r>
  <r>
    <x v="183"/>
    <n v="6255"/>
    <n v="437"/>
    <n v="18"/>
    <x v="1"/>
    <x v="6"/>
    <x v="4"/>
    <d v="2021-12-03T00:00:00"/>
    <x v="268"/>
    <x v="2"/>
    <s v="Rochester"/>
    <s v="2021-12"/>
    <x v="1"/>
    <x v="2"/>
    <s v="Q4"/>
    <n v="6.9864108713029574E-2"/>
    <n v="347.5"/>
  </r>
  <r>
    <x v="183"/>
    <n v="2109"/>
    <n v="681"/>
    <n v="20"/>
    <x v="0"/>
    <x v="0"/>
    <x v="0"/>
    <d v="2021-12-03T00:00:00"/>
    <x v="268"/>
    <x v="2"/>
    <s v="Rochester"/>
    <s v="2021-12"/>
    <x v="1"/>
    <x v="2"/>
    <s v="Q4"/>
    <n v="0.3229018492176387"/>
    <n v="105.45"/>
  </r>
  <r>
    <x v="184"/>
    <n v="6707"/>
    <n v="1041"/>
    <n v="20"/>
    <x v="0"/>
    <x v="10"/>
    <x v="3"/>
    <d v="2021-09-14T00:00:00"/>
    <x v="269"/>
    <x v="5"/>
    <s v="Austin"/>
    <s v="2021-09"/>
    <x v="10"/>
    <x v="2"/>
    <s v="Q3"/>
    <n v="0.15521097360966155"/>
    <n v="335.35"/>
  </r>
  <r>
    <x v="185"/>
    <n v="7633"/>
    <n v="184"/>
    <n v="13"/>
    <x v="1"/>
    <x v="2"/>
    <x v="4"/>
    <d v="2021-09-30T00:00:00"/>
    <x v="270"/>
    <x v="1"/>
    <s v="Springfield"/>
    <s v="2021-09"/>
    <x v="10"/>
    <x v="2"/>
    <s v="Q3"/>
    <n v="2.4105856150923623E-2"/>
    <n v="587.15384615384619"/>
  </r>
  <r>
    <x v="186"/>
    <n v="975"/>
    <n v="224"/>
    <n v="18"/>
    <x v="1"/>
    <x v="2"/>
    <x v="4"/>
    <d v="2021-12-22T00:00:00"/>
    <x v="271"/>
    <x v="3"/>
    <s v="San Diego"/>
    <s v="2021-12"/>
    <x v="1"/>
    <x v="2"/>
    <s v="Q4"/>
    <n v="0.22974358974358974"/>
    <n v="54.166666666666664"/>
  </r>
  <r>
    <x v="186"/>
    <n v="4492"/>
    <n v="1450"/>
    <n v="7"/>
    <x v="2"/>
    <x v="4"/>
    <x v="2"/>
    <d v="2021-12-22T00:00:00"/>
    <x v="271"/>
    <x v="3"/>
    <s v="San Diego"/>
    <s v="2021-12"/>
    <x v="1"/>
    <x v="2"/>
    <s v="Q4"/>
    <n v="0.32279608192341941"/>
    <n v="641.71428571428567"/>
  </r>
  <r>
    <x v="186"/>
    <n v="7957"/>
    <n v="2834"/>
    <n v="12"/>
    <x v="2"/>
    <x v="5"/>
    <x v="0"/>
    <d v="2021-12-22T00:00:00"/>
    <x v="271"/>
    <x v="3"/>
    <s v="San Diego"/>
    <s v="2021-12"/>
    <x v="1"/>
    <x v="2"/>
    <s v="Q4"/>
    <n v="0.35616438356164382"/>
    <n v="663.08333333333337"/>
  </r>
  <r>
    <x v="187"/>
    <n v="4906"/>
    <n v="975"/>
    <n v="7"/>
    <x v="2"/>
    <x v="4"/>
    <x v="1"/>
    <d v="2022-05-18T00:00:00"/>
    <x v="272"/>
    <x v="5"/>
    <s v="Houston"/>
    <s v="2022-05"/>
    <x v="3"/>
    <x v="3"/>
    <s v="Q2"/>
    <n v="0.19873624133713819"/>
    <n v="700.85714285714289"/>
  </r>
  <r>
    <x v="188"/>
    <n v="1379"/>
    <n v="250"/>
    <n v="3"/>
    <x v="1"/>
    <x v="2"/>
    <x v="3"/>
    <d v="2020-10-08T00:00:00"/>
    <x v="273"/>
    <x v="2"/>
    <s v="Buffalo"/>
    <s v="2020-10"/>
    <x v="4"/>
    <x v="4"/>
    <s v="Q4"/>
    <n v="0.18129079042784627"/>
    <n v="459.66666666666669"/>
  </r>
  <r>
    <x v="188"/>
    <n v="4244"/>
    <n v="340"/>
    <n v="10"/>
    <x v="0"/>
    <x v="3"/>
    <x v="1"/>
    <d v="2020-10-08T00:00:00"/>
    <x v="273"/>
    <x v="2"/>
    <s v="Buffalo"/>
    <s v="2020-10"/>
    <x v="4"/>
    <x v="4"/>
    <s v="Q4"/>
    <n v="8.0113100848256361E-2"/>
    <n v="424.4"/>
  </r>
  <r>
    <x v="189"/>
    <n v="5911"/>
    <n v="2333"/>
    <n v="14"/>
    <x v="2"/>
    <x v="11"/>
    <x v="2"/>
    <d v="2022-08-20T00:00:00"/>
    <x v="274"/>
    <x v="3"/>
    <s v="San Diego"/>
    <s v="2022-08"/>
    <x v="9"/>
    <x v="3"/>
    <s v="Q3"/>
    <n v="0.39468787007274575"/>
    <n v="422.21428571428572"/>
  </r>
  <r>
    <x v="189"/>
    <n v="5911"/>
    <n v="2333"/>
    <n v="14"/>
    <x v="2"/>
    <x v="11"/>
    <x v="2"/>
    <d v="2024-11-25T00:00:00"/>
    <x v="275"/>
    <x v="3"/>
    <s v="San Francisco"/>
    <s v="2024-11"/>
    <x v="5"/>
    <x v="1"/>
    <s v="Q4"/>
    <n v="0.39468787007274575"/>
    <n v="422.21428571428572"/>
  </r>
  <r>
    <x v="189"/>
    <n v="1818"/>
    <n v="738"/>
    <n v="11"/>
    <x v="1"/>
    <x v="6"/>
    <x v="2"/>
    <d v="2022-08-20T00:00:00"/>
    <x v="274"/>
    <x v="3"/>
    <s v="San Diego"/>
    <s v="2022-08"/>
    <x v="9"/>
    <x v="3"/>
    <s v="Q3"/>
    <n v="0.40594059405940597"/>
    <n v="165.27272727272728"/>
  </r>
  <r>
    <x v="189"/>
    <n v="1818"/>
    <n v="738"/>
    <n v="11"/>
    <x v="1"/>
    <x v="6"/>
    <x v="2"/>
    <d v="2024-11-25T00:00:00"/>
    <x v="275"/>
    <x v="3"/>
    <s v="San Francisco"/>
    <s v="2024-11"/>
    <x v="5"/>
    <x v="1"/>
    <s v="Q4"/>
    <n v="0.40594059405940597"/>
    <n v="165.27272727272728"/>
  </r>
  <r>
    <x v="190"/>
    <n v="2140"/>
    <n v="970"/>
    <n v="4"/>
    <x v="1"/>
    <x v="8"/>
    <x v="3"/>
    <d v="2020-09-30T00:00:00"/>
    <x v="276"/>
    <x v="3"/>
    <s v="San Diego"/>
    <s v="2020-09"/>
    <x v="10"/>
    <x v="4"/>
    <s v="Q3"/>
    <n v="0.45327102803738317"/>
    <n v="535"/>
  </r>
  <r>
    <x v="190"/>
    <n v="2140"/>
    <n v="970"/>
    <n v="4"/>
    <x v="1"/>
    <x v="8"/>
    <x v="3"/>
    <d v="2025-02-20T00:00:00"/>
    <x v="277"/>
    <x v="0"/>
    <s v="Orlando"/>
    <s v="2025-02"/>
    <x v="7"/>
    <x v="5"/>
    <s v="Q1"/>
    <n v="0.45327102803738317"/>
    <n v="535"/>
  </r>
  <r>
    <x v="190"/>
    <n v="2140"/>
    <n v="970"/>
    <n v="4"/>
    <x v="1"/>
    <x v="8"/>
    <x v="3"/>
    <d v="2022-03-20T00:00:00"/>
    <x v="278"/>
    <x v="3"/>
    <s v="San Francisco"/>
    <s v="2022-03"/>
    <x v="6"/>
    <x v="3"/>
    <s v="Q1"/>
    <n v="0.45327102803738317"/>
    <n v="535"/>
  </r>
  <r>
    <x v="190"/>
    <n v="2670"/>
    <n v="1026"/>
    <n v="1"/>
    <x v="0"/>
    <x v="3"/>
    <x v="1"/>
    <d v="2020-09-30T00:00:00"/>
    <x v="276"/>
    <x v="3"/>
    <s v="San Diego"/>
    <s v="2020-09"/>
    <x v="10"/>
    <x v="4"/>
    <s v="Q3"/>
    <n v="0.38426966292134829"/>
    <n v="2670"/>
  </r>
  <r>
    <x v="190"/>
    <n v="2670"/>
    <n v="1026"/>
    <n v="1"/>
    <x v="0"/>
    <x v="3"/>
    <x v="1"/>
    <d v="2025-02-20T00:00:00"/>
    <x v="277"/>
    <x v="0"/>
    <s v="Orlando"/>
    <s v="2025-02"/>
    <x v="7"/>
    <x v="5"/>
    <s v="Q1"/>
    <n v="0.38426966292134829"/>
    <n v="2670"/>
  </r>
  <r>
    <x v="190"/>
    <n v="2670"/>
    <n v="1026"/>
    <n v="1"/>
    <x v="0"/>
    <x v="3"/>
    <x v="1"/>
    <d v="2022-03-20T00:00:00"/>
    <x v="278"/>
    <x v="3"/>
    <s v="San Francisco"/>
    <s v="2022-03"/>
    <x v="6"/>
    <x v="3"/>
    <s v="Q1"/>
    <n v="0.38426966292134829"/>
    <n v="2670"/>
  </r>
  <r>
    <x v="191"/>
    <n v="1108"/>
    <n v="167"/>
    <n v="18"/>
    <x v="0"/>
    <x v="3"/>
    <x v="1"/>
    <d v="2025-03-07T00:00:00"/>
    <x v="279"/>
    <x v="1"/>
    <s v="Springfield"/>
    <s v="2025-03"/>
    <x v="6"/>
    <x v="5"/>
    <s v="Q1"/>
    <n v="0.15072202166064982"/>
    <n v="61.555555555555557"/>
  </r>
  <r>
    <x v="191"/>
    <n v="9776"/>
    <n v="3750"/>
    <n v="9"/>
    <x v="1"/>
    <x v="9"/>
    <x v="0"/>
    <d v="2025-03-07T00:00:00"/>
    <x v="279"/>
    <x v="1"/>
    <s v="Springfield"/>
    <s v="2025-03"/>
    <x v="6"/>
    <x v="5"/>
    <s v="Q1"/>
    <n v="0.38359247135842883"/>
    <n v="1086.2222222222222"/>
  </r>
  <r>
    <x v="191"/>
    <n v="535"/>
    <n v="72"/>
    <n v="6"/>
    <x v="2"/>
    <x v="11"/>
    <x v="4"/>
    <d v="2025-03-07T00:00:00"/>
    <x v="279"/>
    <x v="1"/>
    <s v="Springfield"/>
    <s v="2025-03"/>
    <x v="6"/>
    <x v="5"/>
    <s v="Q1"/>
    <n v="0.13457943925233645"/>
    <n v="89.166666666666671"/>
  </r>
  <r>
    <x v="192"/>
    <n v="7564"/>
    <n v="3463"/>
    <n v="5"/>
    <x v="1"/>
    <x v="8"/>
    <x v="3"/>
    <d v="2024-06-16T00:00:00"/>
    <x v="280"/>
    <x v="0"/>
    <s v="Tampa"/>
    <s v="2024-06"/>
    <x v="0"/>
    <x v="1"/>
    <s v="Q2"/>
    <n v="0.45782654680063456"/>
    <n v="1512.8"/>
  </r>
  <r>
    <x v="192"/>
    <n v="7564"/>
    <n v="3463"/>
    <n v="5"/>
    <x v="1"/>
    <x v="8"/>
    <x v="3"/>
    <d v="2020-11-21T00:00:00"/>
    <x v="281"/>
    <x v="1"/>
    <s v="Peoria"/>
    <s v="2020-11"/>
    <x v="5"/>
    <x v="4"/>
    <s v="Q4"/>
    <n v="0.45782654680063456"/>
    <n v="1512.8"/>
  </r>
  <r>
    <x v="192"/>
    <n v="7564"/>
    <n v="3463"/>
    <n v="5"/>
    <x v="1"/>
    <x v="8"/>
    <x v="3"/>
    <d v="2024-10-01T00:00:00"/>
    <x v="282"/>
    <x v="0"/>
    <s v="Miami"/>
    <s v="2024-10"/>
    <x v="4"/>
    <x v="1"/>
    <s v="Q4"/>
    <n v="0.45782654680063456"/>
    <n v="1512.8"/>
  </r>
  <r>
    <x v="192"/>
    <n v="7564"/>
    <n v="3463"/>
    <n v="5"/>
    <x v="1"/>
    <x v="8"/>
    <x v="3"/>
    <d v="2024-07-01T00:00:00"/>
    <x v="283"/>
    <x v="5"/>
    <s v="Houston"/>
    <s v="2024-07"/>
    <x v="2"/>
    <x v="1"/>
    <s v="Q3"/>
    <n v="0.45782654680063456"/>
    <n v="1512.8"/>
  </r>
  <r>
    <x v="192"/>
    <n v="3409"/>
    <n v="1605"/>
    <n v="20"/>
    <x v="0"/>
    <x v="0"/>
    <x v="0"/>
    <d v="2024-06-16T00:00:00"/>
    <x v="280"/>
    <x v="0"/>
    <s v="Tampa"/>
    <s v="2024-06"/>
    <x v="0"/>
    <x v="1"/>
    <s v="Q2"/>
    <n v="0.47081255500146668"/>
    <n v="170.45"/>
  </r>
  <r>
    <x v="192"/>
    <n v="3409"/>
    <n v="1605"/>
    <n v="20"/>
    <x v="0"/>
    <x v="0"/>
    <x v="0"/>
    <d v="2020-11-21T00:00:00"/>
    <x v="281"/>
    <x v="1"/>
    <s v="Peoria"/>
    <s v="2020-11"/>
    <x v="5"/>
    <x v="4"/>
    <s v="Q4"/>
    <n v="0.47081255500146668"/>
    <n v="170.45"/>
  </r>
  <r>
    <x v="192"/>
    <n v="3409"/>
    <n v="1605"/>
    <n v="20"/>
    <x v="0"/>
    <x v="0"/>
    <x v="0"/>
    <d v="2024-10-01T00:00:00"/>
    <x v="282"/>
    <x v="0"/>
    <s v="Miami"/>
    <s v="2024-10"/>
    <x v="4"/>
    <x v="1"/>
    <s v="Q4"/>
    <n v="0.47081255500146668"/>
    <n v="170.45"/>
  </r>
  <r>
    <x v="192"/>
    <n v="3409"/>
    <n v="1605"/>
    <n v="20"/>
    <x v="0"/>
    <x v="0"/>
    <x v="0"/>
    <d v="2024-07-01T00:00:00"/>
    <x v="283"/>
    <x v="5"/>
    <s v="Houston"/>
    <s v="2024-07"/>
    <x v="2"/>
    <x v="1"/>
    <s v="Q3"/>
    <n v="0.47081255500146668"/>
    <n v="170.45"/>
  </r>
  <r>
    <x v="193"/>
    <n v="9751"/>
    <n v="2459"/>
    <n v="13"/>
    <x v="1"/>
    <x v="2"/>
    <x v="4"/>
    <d v="2020-11-23T00:00:00"/>
    <x v="284"/>
    <x v="2"/>
    <s v="Buffalo"/>
    <s v="2020-11"/>
    <x v="5"/>
    <x v="4"/>
    <s v="Q4"/>
    <n v="0.25217926366526511"/>
    <n v="750.07692307692309"/>
  </r>
  <r>
    <x v="194"/>
    <n v="6385"/>
    <n v="2656"/>
    <n v="11"/>
    <x v="0"/>
    <x v="1"/>
    <x v="3"/>
    <d v="2023-03-18T00:00:00"/>
    <x v="285"/>
    <x v="0"/>
    <s v="Orlando"/>
    <s v="2023-03"/>
    <x v="6"/>
    <x v="0"/>
    <s v="Q1"/>
    <n v="0.4159749412685983"/>
    <n v="580.4545454545455"/>
  </r>
  <r>
    <x v="194"/>
    <n v="6385"/>
    <n v="2656"/>
    <n v="11"/>
    <x v="0"/>
    <x v="1"/>
    <x v="3"/>
    <d v="2022-10-19T00:00:00"/>
    <x v="286"/>
    <x v="0"/>
    <s v="Tampa"/>
    <s v="2022-10"/>
    <x v="4"/>
    <x v="3"/>
    <s v="Q4"/>
    <n v="0.4159749412685983"/>
    <n v="580.4545454545455"/>
  </r>
  <r>
    <x v="195"/>
    <n v="6355"/>
    <n v="1335"/>
    <n v="15"/>
    <x v="0"/>
    <x v="0"/>
    <x v="1"/>
    <d v="2023-08-31T00:00:00"/>
    <x v="287"/>
    <x v="5"/>
    <s v="Austin"/>
    <s v="2023-08"/>
    <x v="9"/>
    <x v="0"/>
    <s v="Q3"/>
    <n v="0.21007081038552322"/>
    <n v="423.66666666666669"/>
  </r>
  <r>
    <x v="195"/>
    <n v="6355"/>
    <n v="1335"/>
    <n v="15"/>
    <x v="0"/>
    <x v="0"/>
    <x v="1"/>
    <d v="2021-06-06T00:00:00"/>
    <x v="288"/>
    <x v="5"/>
    <s v="Austin"/>
    <s v="2021-06"/>
    <x v="0"/>
    <x v="2"/>
    <s v="Q2"/>
    <n v="0.21007081038552322"/>
    <n v="423.66666666666669"/>
  </r>
  <r>
    <x v="196"/>
    <n v="7377"/>
    <n v="320"/>
    <n v="15"/>
    <x v="0"/>
    <x v="1"/>
    <x v="1"/>
    <d v="2022-12-21T00:00:00"/>
    <x v="289"/>
    <x v="5"/>
    <s v="Austin"/>
    <s v="2022-12"/>
    <x v="1"/>
    <x v="3"/>
    <s v="Q4"/>
    <n v="4.3378066964890875E-2"/>
    <n v="491.8"/>
  </r>
  <r>
    <x v="196"/>
    <n v="2054"/>
    <n v="371"/>
    <n v="12"/>
    <x v="1"/>
    <x v="6"/>
    <x v="2"/>
    <d v="2022-12-21T00:00:00"/>
    <x v="289"/>
    <x v="5"/>
    <s v="Austin"/>
    <s v="2022-12"/>
    <x v="1"/>
    <x v="3"/>
    <s v="Q4"/>
    <n v="0.18062317429406036"/>
    <n v="171.16666666666666"/>
  </r>
  <r>
    <x v="197"/>
    <n v="7497"/>
    <n v="319"/>
    <n v="18"/>
    <x v="2"/>
    <x v="5"/>
    <x v="4"/>
    <d v="2024-02-12T00:00:00"/>
    <x v="290"/>
    <x v="1"/>
    <s v="Peoria"/>
    <s v="2024-02"/>
    <x v="7"/>
    <x v="1"/>
    <s v="Q1"/>
    <n v="4.2550353474723225E-2"/>
    <n v="416.5"/>
  </r>
  <r>
    <x v="198"/>
    <n v="2565"/>
    <n v="983"/>
    <n v="20"/>
    <x v="0"/>
    <x v="0"/>
    <x v="1"/>
    <d v="2022-12-05T00:00:00"/>
    <x v="291"/>
    <x v="0"/>
    <s v="Miami"/>
    <s v="2022-12"/>
    <x v="1"/>
    <x v="3"/>
    <s v="Q4"/>
    <n v="0.38323586744639376"/>
    <n v="128.25"/>
  </r>
  <r>
    <x v="198"/>
    <n v="5024"/>
    <n v="1544"/>
    <n v="19"/>
    <x v="1"/>
    <x v="2"/>
    <x v="4"/>
    <d v="2022-12-05T00:00:00"/>
    <x v="291"/>
    <x v="0"/>
    <s v="Miami"/>
    <s v="2022-12"/>
    <x v="1"/>
    <x v="3"/>
    <s v="Q4"/>
    <n v="0.3073248407643312"/>
    <n v="264.42105263157896"/>
  </r>
  <r>
    <x v="199"/>
    <n v="8243"/>
    <n v="1346"/>
    <n v="15"/>
    <x v="1"/>
    <x v="9"/>
    <x v="1"/>
    <d v="2021-04-04T00:00:00"/>
    <x v="292"/>
    <x v="5"/>
    <s v="Houston"/>
    <s v="2021-04"/>
    <x v="11"/>
    <x v="2"/>
    <s v="Q2"/>
    <n v="0.16329006429697926"/>
    <n v="549.5333333333333"/>
  </r>
  <r>
    <x v="200"/>
    <n v="7792"/>
    <n v="1403"/>
    <n v="13"/>
    <x v="1"/>
    <x v="8"/>
    <x v="0"/>
    <d v="2021-02-12T00:00:00"/>
    <x v="293"/>
    <x v="1"/>
    <s v="Peoria"/>
    <s v="2021-02"/>
    <x v="7"/>
    <x v="2"/>
    <s v="Q1"/>
    <n v="0.18005646817248461"/>
    <n v="599.38461538461536"/>
  </r>
  <r>
    <x v="200"/>
    <n v="7792"/>
    <n v="1403"/>
    <n v="13"/>
    <x v="1"/>
    <x v="8"/>
    <x v="0"/>
    <d v="2022-12-27T00:00:00"/>
    <x v="294"/>
    <x v="2"/>
    <s v="Rochester"/>
    <s v="2022-12"/>
    <x v="1"/>
    <x v="3"/>
    <s v="Q4"/>
    <n v="0.18005646817248461"/>
    <n v="599.38461538461536"/>
  </r>
  <r>
    <x v="200"/>
    <n v="7792"/>
    <n v="1403"/>
    <n v="13"/>
    <x v="1"/>
    <x v="8"/>
    <x v="0"/>
    <d v="2024-01-19T00:00:00"/>
    <x v="295"/>
    <x v="3"/>
    <s v="San Diego"/>
    <s v="2024-01"/>
    <x v="8"/>
    <x v="1"/>
    <s v="Q1"/>
    <n v="0.18005646817248461"/>
    <n v="599.38461538461536"/>
  </r>
  <r>
    <x v="200"/>
    <n v="2346"/>
    <n v="388"/>
    <n v="14"/>
    <x v="2"/>
    <x v="5"/>
    <x v="1"/>
    <d v="2021-02-12T00:00:00"/>
    <x v="293"/>
    <x v="1"/>
    <s v="Peoria"/>
    <s v="2021-02"/>
    <x v="7"/>
    <x v="2"/>
    <s v="Q1"/>
    <n v="0.16538789428815004"/>
    <n v="167.57142857142858"/>
  </r>
  <r>
    <x v="200"/>
    <n v="2346"/>
    <n v="388"/>
    <n v="14"/>
    <x v="2"/>
    <x v="5"/>
    <x v="1"/>
    <d v="2022-12-27T00:00:00"/>
    <x v="294"/>
    <x v="2"/>
    <s v="Rochester"/>
    <s v="2022-12"/>
    <x v="1"/>
    <x v="3"/>
    <s v="Q4"/>
    <n v="0.16538789428815004"/>
    <n v="167.57142857142858"/>
  </r>
  <r>
    <x v="200"/>
    <n v="2346"/>
    <n v="388"/>
    <n v="14"/>
    <x v="2"/>
    <x v="5"/>
    <x v="1"/>
    <d v="2024-01-19T00:00:00"/>
    <x v="295"/>
    <x v="3"/>
    <s v="San Diego"/>
    <s v="2024-01"/>
    <x v="8"/>
    <x v="1"/>
    <s v="Q1"/>
    <n v="0.16538789428815004"/>
    <n v="167.57142857142858"/>
  </r>
  <r>
    <x v="201"/>
    <n v="7346"/>
    <n v="1043"/>
    <n v="10"/>
    <x v="2"/>
    <x v="7"/>
    <x v="3"/>
    <d v="2022-12-25T00:00:00"/>
    <x v="296"/>
    <x v="6"/>
    <s v="Columbus"/>
    <s v="2022-12"/>
    <x v="1"/>
    <x v="3"/>
    <s v="Q4"/>
    <n v="0.1419820310372992"/>
    <n v="734.6"/>
  </r>
  <r>
    <x v="201"/>
    <n v="9770"/>
    <n v="4132"/>
    <n v="7"/>
    <x v="0"/>
    <x v="0"/>
    <x v="0"/>
    <d v="2022-12-25T00:00:00"/>
    <x v="296"/>
    <x v="6"/>
    <s v="Columbus"/>
    <s v="2022-12"/>
    <x v="1"/>
    <x v="3"/>
    <s v="Q4"/>
    <n v="0.42292732855680654"/>
    <n v="1395.7142857142858"/>
  </r>
  <r>
    <x v="201"/>
    <n v="7179"/>
    <n v="683"/>
    <n v="13"/>
    <x v="0"/>
    <x v="3"/>
    <x v="3"/>
    <d v="2022-12-25T00:00:00"/>
    <x v="296"/>
    <x v="6"/>
    <s v="Columbus"/>
    <s v="2022-12"/>
    <x v="1"/>
    <x v="3"/>
    <s v="Q4"/>
    <n v="9.5138598690625437E-2"/>
    <n v="552.23076923076928"/>
  </r>
  <r>
    <x v="202"/>
    <n v="5449"/>
    <n v="2389"/>
    <n v="2"/>
    <x v="0"/>
    <x v="10"/>
    <x v="0"/>
    <d v="2022-10-06T00:00:00"/>
    <x v="297"/>
    <x v="0"/>
    <s v="Miami"/>
    <s v="2022-10"/>
    <x v="4"/>
    <x v="3"/>
    <s v="Q4"/>
    <n v="0.43842906955404659"/>
    <n v="2724.5"/>
  </r>
  <r>
    <x v="203"/>
    <n v="2895"/>
    <n v="104"/>
    <n v="6"/>
    <x v="2"/>
    <x v="5"/>
    <x v="4"/>
    <d v="2020-04-27T00:00:00"/>
    <x v="298"/>
    <x v="2"/>
    <s v="Buffalo"/>
    <s v="2020-04"/>
    <x v="11"/>
    <x v="4"/>
    <s v="Q2"/>
    <n v="3.5924006908462869E-2"/>
    <n v="482.5"/>
  </r>
  <r>
    <x v="203"/>
    <n v="2895"/>
    <n v="104"/>
    <n v="6"/>
    <x v="2"/>
    <x v="5"/>
    <x v="4"/>
    <d v="2024-05-13T00:00:00"/>
    <x v="299"/>
    <x v="5"/>
    <s v="Houston"/>
    <s v="2024-05"/>
    <x v="3"/>
    <x v="1"/>
    <s v="Q2"/>
    <n v="3.5924006908462869E-2"/>
    <n v="482.5"/>
  </r>
  <r>
    <x v="203"/>
    <n v="697"/>
    <n v="116"/>
    <n v="1"/>
    <x v="2"/>
    <x v="5"/>
    <x v="0"/>
    <d v="2020-04-27T00:00:00"/>
    <x v="298"/>
    <x v="2"/>
    <s v="Buffalo"/>
    <s v="2020-04"/>
    <x v="11"/>
    <x v="4"/>
    <s v="Q2"/>
    <n v="0.16642754662840745"/>
    <n v="697"/>
  </r>
  <r>
    <x v="203"/>
    <n v="697"/>
    <n v="116"/>
    <n v="1"/>
    <x v="2"/>
    <x v="5"/>
    <x v="0"/>
    <d v="2024-05-13T00:00:00"/>
    <x v="299"/>
    <x v="5"/>
    <s v="Houston"/>
    <s v="2024-05"/>
    <x v="3"/>
    <x v="1"/>
    <s v="Q2"/>
    <n v="0.16642754662840745"/>
    <n v="697"/>
  </r>
  <r>
    <x v="204"/>
    <n v="6145"/>
    <n v="1414"/>
    <n v="4"/>
    <x v="2"/>
    <x v="5"/>
    <x v="4"/>
    <d v="2020-10-23T00:00:00"/>
    <x v="300"/>
    <x v="3"/>
    <s v="Los Angeles"/>
    <s v="2020-10"/>
    <x v="4"/>
    <x v="4"/>
    <s v="Q4"/>
    <n v="0.23010577705451588"/>
    <n v="1536.25"/>
  </r>
  <r>
    <x v="204"/>
    <n v="2504"/>
    <n v="440"/>
    <n v="18"/>
    <x v="0"/>
    <x v="1"/>
    <x v="0"/>
    <d v="2020-10-23T00:00:00"/>
    <x v="300"/>
    <x v="3"/>
    <s v="Los Angeles"/>
    <s v="2020-10"/>
    <x v="4"/>
    <x v="4"/>
    <s v="Q4"/>
    <n v="0.1757188498402556"/>
    <n v="139.11111111111111"/>
  </r>
  <r>
    <x v="204"/>
    <n v="3124"/>
    <n v="138"/>
    <n v="16"/>
    <x v="0"/>
    <x v="10"/>
    <x v="1"/>
    <d v="2020-10-23T00:00:00"/>
    <x v="300"/>
    <x v="3"/>
    <s v="Los Angeles"/>
    <s v="2020-10"/>
    <x v="4"/>
    <x v="4"/>
    <s v="Q4"/>
    <n v="4.4174135723431499E-2"/>
    <n v="195.25"/>
  </r>
  <r>
    <x v="205"/>
    <n v="6934"/>
    <n v="1226"/>
    <n v="1"/>
    <x v="0"/>
    <x v="0"/>
    <x v="1"/>
    <d v="2021-06-11T00:00:00"/>
    <x v="301"/>
    <x v="6"/>
    <s v="Cincinnati"/>
    <s v="2021-06"/>
    <x v="0"/>
    <x v="2"/>
    <s v="Q2"/>
    <n v="0.1768099221228728"/>
    <n v="6934"/>
  </r>
  <r>
    <x v="205"/>
    <n v="6934"/>
    <n v="1226"/>
    <n v="1"/>
    <x v="0"/>
    <x v="0"/>
    <x v="1"/>
    <d v="2021-09-08T00:00:00"/>
    <x v="284"/>
    <x v="2"/>
    <s v="Rochester"/>
    <s v="2021-09"/>
    <x v="10"/>
    <x v="2"/>
    <s v="Q3"/>
    <n v="0.1768099221228728"/>
    <n v="6934"/>
  </r>
  <r>
    <x v="206"/>
    <n v="4202"/>
    <n v="1171"/>
    <n v="3"/>
    <x v="1"/>
    <x v="6"/>
    <x v="4"/>
    <d v="2022-11-23T00:00:00"/>
    <x v="302"/>
    <x v="1"/>
    <s v="Peoria"/>
    <s v="2022-11"/>
    <x v="5"/>
    <x v="3"/>
    <s v="Q4"/>
    <n v="0.27867682056163734"/>
    <n v="1400.6666666666667"/>
  </r>
  <r>
    <x v="206"/>
    <n v="4202"/>
    <n v="1171"/>
    <n v="3"/>
    <x v="1"/>
    <x v="6"/>
    <x v="4"/>
    <d v="2022-10-31T00:00:00"/>
    <x v="303"/>
    <x v="2"/>
    <s v="Rochester"/>
    <s v="2022-10"/>
    <x v="4"/>
    <x v="3"/>
    <s v="Q4"/>
    <n v="0.27867682056163734"/>
    <n v="1400.6666666666667"/>
  </r>
  <r>
    <x v="206"/>
    <n v="4202"/>
    <n v="1171"/>
    <n v="3"/>
    <x v="1"/>
    <x v="6"/>
    <x v="4"/>
    <d v="2023-11-06T00:00:00"/>
    <x v="304"/>
    <x v="0"/>
    <s v="Tampa"/>
    <s v="2023-11"/>
    <x v="5"/>
    <x v="0"/>
    <s v="Q4"/>
    <n v="0.27867682056163734"/>
    <n v="1400.6666666666667"/>
  </r>
  <r>
    <x v="206"/>
    <n v="4202"/>
    <n v="1171"/>
    <n v="3"/>
    <x v="1"/>
    <x v="6"/>
    <x v="4"/>
    <d v="2023-11-12T00:00:00"/>
    <x v="305"/>
    <x v="5"/>
    <s v="Houston"/>
    <s v="2023-11"/>
    <x v="5"/>
    <x v="0"/>
    <s v="Q4"/>
    <n v="0.27867682056163734"/>
    <n v="1400.6666666666667"/>
  </r>
  <r>
    <x v="207"/>
    <n v="2239"/>
    <n v="828"/>
    <n v="1"/>
    <x v="0"/>
    <x v="1"/>
    <x v="0"/>
    <d v="2023-06-26T00:00:00"/>
    <x v="306"/>
    <x v="3"/>
    <s v="Los Angeles"/>
    <s v="2023-06"/>
    <x v="0"/>
    <x v="0"/>
    <s v="Q2"/>
    <n v="0.36980794997766858"/>
    <n v="2239"/>
  </r>
  <r>
    <x v="207"/>
    <n v="2239"/>
    <n v="828"/>
    <n v="1"/>
    <x v="0"/>
    <x v="1"/>
    <x v="0"/>
    <d v="2023-09-30T00:00:00"/>
    <x v="307"/>
    <x v="1"/>
    <s v="Chicago"/>
    <s v="2023-09"/>
    <x v="10"/>
    <x v="0"/>
    <s v="Q3"/>
    <n v="0.36980794997766858"/>
    <n v="2239"/>
  </r>
  <r>
    <x v="207"/>
    <n v="2450"/>
    <n v="1002"/>
    <n v="4"/>
    <x v="0"/>
    <x v="10"/>
    <x v="1"/>
    <d v="2023-06-26T00:00:00"/>
    <x v="306"/>
    <x v="3"/>
    <s v="Los Angeles"/>
    <s v="2023-06"/>
    <x v="0"/>
    <x v="0"/>
    <s v="Q2"/>
    <n v="0.40897959183673471"/>
    <n v="612.5"/>
  </r>
  <r>
    <x v="207"/>
    <n v="2450"/>
    <n v="1002"/>
    <n v="4"/>
    <x v="0"/>
    <x v="10"/>
    <x v="1"/>
    <d v="2023-09-30T00:00:00"/>
    <x v="307"/>
    <x v="1"/>
    <s v="Chicago"/>
    <s v="2023-09"/>
    <x v="10"/>
    <x v="0"/>
    <s v="Q3"/>
    <n v="0.40897959183673471"/>
    <n v="612.5"/>
  </r>
  <r>
    <x v="208"/>
    <n v="9827"/>
    <n v="4208"/>
    <n v="13"/>
    <x v="2"/>
    <x v="5"/>
    <x v="1"/>
    <d v="2020-09-12T00:00:00"/>
    <x v="308"/>
    <x v="2"/>
    <s v="New York City"/>
    <s v="2020-09"/>
    <x v="10"/>
    <x v="4"/>
    <s v="Q3"/>
    <n v="0.42820799837183271"/>
    <n v="755.92307692307691"/>
  </r>
  <r>
    <x v="208"/>
    <n v="8077"/>
    <n v="240"/>
    <n v="15"/>
    <x v="2"/>
    <x v="7"/>
    <x v="3"/>
    <d v="2020-09-12T00:00:00"/>
    <x v="308"/>
    <x v="2"/>
    <s v="New York City"/>
    <s v="2020-09"/>
    <x v="10"/>
    <x v="4"/>
    <s v="Q3"/>
    <n v="2.9714002723783581E-2"/>
    <n v="538.4666666666667"/>
  </r>
  <r>
    <x v="209"/>
    <n v="5152"/>
    <n v="2045"/>
    <n v="14"/>
    <x v="0"/>
    <x v="10"/>
    <x v="0"/>
    <d v="2020-11-27T00:00:00"/>
    <x v="309"/>
    <x v="1"/>
    <s v="Springfield"/>
    <s v="2020-11"/>
    <x v="5"/>
    <x v="4"/>
    <s v="Q4"/>
    <n v="0.39693322981366458"/>
    <n v="368"/>
  </r>
  <r>
    <x v="209"/>
    <n v="5152"/>
    <n v="2045"/>
    <n v="14"/>
    <x v="0"/>
    <x v="10"/>
    <x v="0"/>
    <d v="2022-08-25T00:00:00"/>
    <x v="310"/>
    <x v="3"/>
    <s v="Los Angeles"/>
    <s v="2022-08"/>
    <x v="9"/>
    <x v="3"/>
    <s v="Q3"/>
    <n v="0.39693322981366458"/>
    <n v="368"/>
  </r>
  <r>
    <x v="209"/>
    <n v="5152"/>
    <n v="2045"/>
    <n v="14"/>
    <x v="0"/>
    <x v="10"/>
    <x v="0"/>
    <d v="2023-08-23T00:00:00"/>
    <x v="311"/>
    <x v="1"/>
    <s v="Chicago"/>
    <s v="2023-08"/>
    <x v="9"/>
    <x v="0"/>
    <s v="Q3"/>
    <n v="0.39693322981366458"/>
    <n v="368"/>
  </r>
  <r>
    <x v="209"/>
    <n v="5152"/>
    <n v="2045"/>
    <n v="14"/>
    <x v="0"/>
    <x v="10"/>
    <x v="0"/>
    <d v="2023-10-11T00:00:00"/>
    <x v="312"/>
    <x v="2"/>
    <s v="Rochester"/>
    <s v="2023-10"/>
    <x v="4"/>
    <x v="0"/>
    <s v="Q4"/>
    <n v="0.39693322981366458"/>
    <n v="368"/>
  </r>
  <r>
    <x v="210"/>
    <n v="2542"/>
    <n v="190"/>
    <n v="1"/>
    <x v="1"/>
    <x v="6"/>
    <x v="3"/>
    <d v="2022-04-21T00:00:00"/>
    <x v="313"/>
    <x v="5"/>
    <s v="Houston"/>
    <s v="2022-04"/>
    <x v="11"/>
    <x v="3"/>
    <s v="Q2"/>
    <n v="7.4744295830055069E-2"/>
    <n v="2542"/>
  </r>
  <r>
    <x v="211"/>
    <n v="8102"/>
    <n v="1800"/>
    <n v="5"/>
    <x v="1"/>
    <x v="6"/>
    <x v="0"/>
    <d v="2023-09-14T00:00:00"/>
    <x v="314"/>
    <x v="3"/>
    <s v="San Francisco"/>
    <s v="2023-09"/>
    <x v="10"/>
    <x v="0"/>
    <s v="Q3"/>
    <n v="0.22216736608244878"/>
    <n v="1620.4"/>
  </r>
  <r>
    <x v="211"/>
    <n v="8102"/>
    <n v="1800"/>
    <n v="5"/>
    <x v="1"/>
    <x v="6"/>
    <x v="0"/>
    <d v="2020-04-29T00:00:00"/>
    <x v="315"/>
    <x v="2"/>
    <s v="Buffalo"/>
    <s v="2020-04"/>
    <x v="11"/>
    <x v="4"/>
    <s v="Q2"/>
    <n v="0.22216736608244878"/>
    <n v="1620.4"/>
  </r>
  <r>
    <x v="211"/>
    <n v="8102"/>
    <n v="1800"/>
    <n v="5"/>
    <x v="1"/>
    <x v="6"/>
    <x v="0"/>
    <d v="2020-12-15T00:00:00"/>
    <x v="316"/>
    <x v="6"/>
    <s v="Cleveland"/>
    <s v="2020-12"/>
    <x v="1"/>
    <x v="4"/>
    <s v="Q4"/>
    <n v="0.22216736608244878"/>
    <n v="1620.4"/>
  </r>
  <r>
    <x v="211"/>
    <n v="3234"/>
    <n v="1274"/>
    <n v="10"/>
    <x v="2"/>
    <x v="4"/>
    <x v="2"/>
    <d v="2023-09-14T00:00:00"/>
    <x v="314"/>
    <x v="3"/>
    <s v="San Francisco"/>
    <s v="2023-09"/>
    <x v="10"/>
    <x v="0"/>
    <s v="Q3"/>
    <n v="0.39393939393939392"/>
    <n v="323.39999999999998"/>
  </r>
  <r>
    <x v="211"/>
    <n v="3234"/>
    <n v="1274"/>
    <n v="10"/>
    <x v="2"/>
    <x v="4"/>
    <x v="2"/>
    <d v="2020-04-29T00:00:00"/>
    <x v="315"/>
    <x v="2"/>
    <s v="Buffalo"/>
    <s v="2020-04"/>
    <x v="11"/>
    <x v="4"/>
    <s v="Q2"/>
    <n v="0.39393939393939392"/>
    <n v="323.39999999999998"/>
  </r>
  <r>
    <x v="211"/>
    <n v="3234"/>
    <n v="1274"/>
    <n v="10"/>
    <x v="2"/>
    <x v="4"/>
    <x v="2"/>
    <d v="2020-12-15T00:00:00"/>
    <x v="316"/>
    <x v="6"/>
    <s v="Cleveland"/>
    <s v="2020-12"/>
    <x v="1"/>
    <x v="4"/>
    <s v="Q4"/>
    <n v="0.39393939393939392"/>
    <n v="323.39999999999998"/>
  </r>
  <r>
    <x v="212"/>
    <n v="6200"/>
    <n v="2321"/>
    <n v="18"/>
    <x v="2"/>
    <x v="4"/>
    <x v="3"/>
    <d v="2024-07-11T00:00:00"/>
    <x v="317"/>
    <x v="3"/>
    <s v="Los Angeles"/>
    <s v="2024-07"/>
    <x v="2"/>
    <x v="1"/>
    <s v="Q3"/>
    <n v="0.3743548387096774"/>
    <n v="344.44444444444446"/>
  </r>
  <r>
    <x v="212"/>
    <n v="6200"/>
    <n v="2321"/>
    <n v="18"/>
    <x v="2"/>
    <x v="4"/>
    <x v="3"/>
    <d v="2024-09-21T00:00:00"/>
    <x v="318"/>
    <x v="0"/>
    <s v="Miami"/>
    <s v="2024-09"/>
    <x v="10"/>
    <x v="1"/>
    <s v="Q3"/>
    <n v="0.3743548387096774"/>
    <n v="344.44444444444446"/>
  </r>
  <r>
    <x v="213"/>
    <n v="4470"/>
    <n v="413"/>
    <n v="13"/>
    <x v="0"/>
    <x v="3"/>
    <x v="0"/>
    <d v="2025-02-02T00:00:00"/>
    <x v="319"/>
    <x v="3"/>
    <s v="Los Angeles"/>
    <s v="2025-02"/>
    <x v="7"/>
    <x v="5"/>
    <s v="Q1"/>
    <n v="9.2393736017897091E-2"/>
    <n v="343.84615384615387"/>
  </r>
  <r>
    <x v="214"/>
    <n v="916"/>
    <n v="362"/>
    <n v="7"/>
    <x v="1"/>
    <x v="2"/>
    <x v="0"/>
    <d v="2022-10-21T00:00:00"/>
    <x v="320"/>
    <x v="1"/>
    <s v="Springfield"/>
    <s v="2022-10"/>
    <x v="4"/>
    <x v="3"/>
    <s v="Q4"/>
    <n v="0.39519650655021832"/>
    <n v="130.85714285714286"/>
  </r>
  <r>
    <x v="214"/>
    <n v="916"/>
    <n v="362"/>
    <n v="7"/>
    <x v="1"/>
    <x v="2"/>
    <x v="0"/>
    <d v="2020-10-21T00:00:00"/>
    <x v="321"/>
    <x v="3"/>
    <s v="San Francisco"/>
    <s v="2020-10"/>
    <x v="4"/>
    <x v="4"/>
    <s v="Q4"/>
    <n v="0.39519650655021832"/>
    <n v="130.85714285714286"/>
  </r>
  <r>
    <x v="214"/>
    <n v="1165"/>
    <n v="302"/>
    <n v="20"/>
    <x v="2"/>
    <x v="7"/>
    <x v="0"/>
    <d v="2022-10-21T00:00:00"/>
    <x v="320"/>
    <x v="1"/>
    <s v="Springfield"/>
    <s v="2022-10"/>
    <x v="4"/>
    <x v="3"/>
    <s v="Q4"/>
    <n v="0.2592274678111588"/>
    <n v="58.25"/>
  </r>
  <r>
    <x v="214"/>
    <n v="1165"/>
    <n v="302"/>
    <n v="20"/>
    <x v="2"/>
    <x v="7"/>
    <x v="0"/>
    <d v="2020-10-21T00:00:00"/>
    <x v="321"/>
    <x v="3"/>
    <s v="San Francisco"/>
    <s v="2020-10"/>
    <x v="4"/>
    <x v="4"/>
    <s v="Q4"/>
    <n v="0.2592274678111588"/>
    <n v="58.25"/>
  </r>
  <r>
    <x v="214"/>
    <n v="7846"/>
    <n v="677"/>
    <n v="12"/>
    <x v="2"/>
    <x v="5"/>
    <x v="0"/>
    <d v="2022-10-21T00:00:00"/>
    <x v="320"/>
    <x v="1"/>
    <s v="Springfield"/>
    <s v="2022-10"/>
    <x v="4"/>
    <x v="3"/>
    <s v="Q4"/>
    <n v="8.6286005607953103E-2"/>
    <n v="653.83333333333337"/>
  </r>
  <r>
    <x v="214"/>
    <n v="7846"/>
    <n v="677"/>
    <n v="12"/>
    <x v="2"/>
    <x v="5"/>
    <x v="0"/>
    <d v="2020-10-21T00:00:00"/>
    <x v="321"/>
    <x v="3"/>
    <s v="San Francisco"/>
    <s v="2020-10"/>
    <x v="4"/>
    <x v="4"/>
    <s v="Q4"/>
    <n v="8.6286005607953103E-2"/>
    <n v="653.83333333333337"/>
  </r>
  <r>
    <x v="215"/>
    <n v="3022"/>
    <n v="384"/>
    <n v="1"/>
    <x v="1"/>
    <x v="2"/>
    <x v="3"/>
    <d v="2022-01-11T00:00:00"/>
    <x v="322"/>
    <x v="5"/>
    <s v="Austin"/>
    <s v="2022-01"/>
    <x v="8"/>
    <x v="3"/>
    <s v="Q1"/>
    <n v="0.12706816677696889"/>
    <n v="3022"/>
  </r>
  <r>
    <x v="215"/>
    <n v="3022"/>
    <n v="384"/>
    <n v="1"/>
    <x v="1"/>
    <x v="2"/>
    <x v="3"/>
    <d v="2021-02-17T00:00:00"/>
    <x v="323"/>
    <x v="1"/>
    <s v="Chicago"/>
    <s v="2021-02"/>
    <x v="7"/>
    <x v="2"/>
    <s v="Q1"/>
    <n v="0.12706816677696889"/>
    <n v="3022"/>
  </r>
  <r>
    <x v="215"/>
    <n v="5266"/>
    <n v="1111"/>
    <n v="13"/>
    <x v="0"/>
    <x v="0"/>
    <x v="1"/>
    <d v="2022-01-11T00:00:00"/>
    <x v="322"/>
    <x v="5"/>
    <s v="Austin"/>
    <s v="2022-01"/>
    <x v="8"/>
    <x v="3"/>
    <s v="Q1"/>
    <n v="0.21097607292062287"/>
    <n v="405.07692307692309"/>
  </r>
  <r>
    <x v="215"/>
    <n v="5266"/>
    <n v="1111"/>
    <n v="13"/>
    <x v="0"/>
    <x v="0"/>
    <x v="1"/>
    <d v="2021-02-17T00:00:00"/>
    <x v="323"/>
    <x v="1"/>
    <s v="Chicago"/>
    <s v="2021-02"/>
    <x v="7"/>
    <x v="2"/>
    <s v="Q1"/>
    <n v="0.21097607292062287"/>
    <n v="405.07692307692309"/>
  </r>
  <r>
    <x v="216"/>
    <n v="4853"/>
    <n v="1764"/>
    <n v="9"/>
    <x v="1"/>
    <x v="2"/>
    <x v="1"/>
    <d v="2021-11-06T00:00:00"/>
    <x v="324"/>
    <x v="0"/>
    <s v="Orlando"/>
    <s v="2021-11"/>
    <x v="5"/>
    <x v="2"/>
    <s v="Q4"/>
    <n v="0.36348650319390069"/>
    <n v="539.22222222222217"/>
  </r>
  <r>
    <x v="216"/>
    <n v="4853"/>
    <n v="1764"/>
    <n v="9"/>
    <x v="1"/>
    <x v="2"/>
    <x v="1"/>
    <d v="2022-08-30T00:00:00"/>
    <x v="325"/>
    <x v="5"/>
    <s v="Houston"/>
    <s v="2022-08"/>
    <x v="9"/>
    <x v="3"/>
    <s v="Q3"/>
    <n v="0.36348650319390069"/>
    <n v="539.22222222222217"/>
  </r>
  <r>
    <x v="217"/>
    <n v="9832"/>
    <n v="1270"/>
    <n v="1"/>
    <x v="1"/>
    <x v="2"/>
    <x v="4"/>
    <d v="2022-10-07T00:00:00"/>
    <x v="326"/>
    <x v="3"/>
    <s v="San Francisco"/>
    <s v="2022-10"/>
    <x v="4"/>
    <x v="3"/>
    <s v="Q4"/>
    <n v="0.1291700569568755"/>
    <n v="9832"/>
  </r>
  <r>
    <x v="217"/>
    <n v="796"/>
    <n v="153"/>
    <n v="15"/>
    <x v="1"/>
    <x v="2"/>
    <x v="3"/>
    <d v="2022-10-07T00:00:00"/>
    <x v="326"/>
    <x v="3"/>
    <s v="San Francisco"/>
    <s v="2022-10"/>
    <x v="4"/>
    <x v="3"/>
    <s v="Q4"/>
    <n v="0.19221105527638191"/>
    <n v="53.06666666666667"/>
  </r>
  <r>
    <x v="218"/>
    <n v="883"/>
    <n v="127"/>
    <n v="7"/>
    <x v="2"/>
    <x v="5"/>
    <x v="4"/>
    <d v="2023-06-04T00:00:00"/>
    <x v="327"/>
    <x v="3"/>
    <s v="San Francisco"/>
    <s v="2023-06"/>
    <x v="0"/>
    <x v="0"/>
    <s v="Q2"/>
    <n v="0.14382785956964891"/>
    <n v="126.14285714285714"/>
  </r>
  <r>
    <x v="218"/>
    <n v="4539"/>
    <n v="1155"/>
    <n v="8"/>
    <x v="2"/>
    <x v="11"/>
    <x v="1"/>
    <d v="2023-06-04T00:00:00"/>
    <x v="327"/>
    <x v="3"/>
    <s v="San Francisco"/>
    <s v="2023-06"/>
    <x v="0"/>
    <x v="0"/>
    <s v="Q2"/>
    <n v="0.25446133509583607"/>
    <n v="567.375"/>
  </r>
  <r>
    <x v="218"/>
    <n v="9659"/>
    <n v="2226"/>
    <n v="16"/>
    <x v="1"/>
    <x v="9"/>
    <x v="1"/>
    <d v="2023-06-04T00:00:00"/>
    <x v="327"/>
    <x v="3"/>
    <s v="San Francisco"/>
    <s v="2023-06"/>
    <x v="0"/>
    <x v="0"/>
    <s v="Q2"/>
    <n v="0.23045863961072574"/>
    <n v="603.6875"/>
  </r>
  <r>
    <x v="219"/>
    <n v="9562"/>
    <n v="325"/>
    <n v="2"/>
    <x v="0"/>
    <x v="1"/>
    <x v="1"/>
    <d v="2022-05-13T00:00:00"/>
    <x v="328"/>
    <x v="3"/>
    <s v="San Diego"/>
    <s v="2022-05"/>
    <x v="3"/>
    <x v="3"/>
    <s v="Q2"/>
    <n v="3.3988705291779962E-2"/>
    <n v="4781"/>
  </r>
  <r>
    <x v="220"/>
    <n v="4688"/>
    <n v="1841"/>
    <n v="3"/>
    <x v="0"/>
    <x v="3"/>
    <x v="3"/>
    <d v="2023-01-23T00:00:00"/>
    <x v="329"/>
    <x v="3"/>
    <s v="San Francisco"/>
    <s v="2023-01"/>
    <x v="8"/>
    <x v="0"/>
    <s v="Q1"/>
    <n v="0.39270477815699661"/>
    <n v="1562.6666666666667"/>
  </r>
  <r>
    <x v="220"/>
    <n v="4688"/>
    <n v="1841"/>
    <n v="3"/>
    <x v="0"/>
    <x v="3"/>
    <x v="3"/>
    <d v="2021-07-25T00:00:00"/>
    <x v="330"/>
    <x v="3"/>
    <s v="San Diego"/>
    <s v="2021-07"/>
    <x v="2"/>
    <x v="2"/>
    <s v="Q3"/>
    <n v="0.39270477815699661"/>
    <n v="1562.6666666666667"/>
  </r>
  <r>
    <x v="221"/>
    <n v="7900"/>
    <n v="482"/>
    <n v="4"/>
    <x v="0"/>
    <x v="10"/>
    <x v="4"/>
    <d v="2025-03-08T00:00:00"/>
    <x v="331"/>
    <x v="6"/>
    <s v="Columbus"/>
    <s v="2025-03"/>
    <x v="6"/>
    <x v="5"/>
    <s v="Q1"/>
    <n v="6.1012658227848099E-2"/>
    <n v="1975"/>
  </r>
  <r>
    <x v="222"/>
    <n v="6967"/>
    <n v="3257"/>
    <n v="17"/>
    <x v="2"/>
    <x v="11"/>
    <x v="4"/>
    <d v="2022-12-25T00:00:00"/>
    <x v="332"/>
    <x v="6"/>
    <s v="Cincinnati"/>
    <s v="2022-12"/>
    <x v="1"/>
    <x v="3"/>
    <s v="Q4"/>
    <n v="0.46748959379933974"/>
    <n v="409.8235294117647"/>
  </r>
  <r>
    <x v="222"/>
    <n v="1091"/>
    <n v="277"/>
    <n v="6"/>
    <x v="1"/>
    <x v="8"/>
    <x v="4"/>
    <d v="2022-12-25T00:00:00"/>
    <x v="332"/>
    <x v="6"/>
    <s v="Cincinnati"/>
    <s v="2022-12"/>
    <x v="1"/>
    <x v="3"/>
    <s v="Q4"/>
    <n v="0.25389550870760769"/>
    <n v="181.83333333333334"/>
  </r>
  <r>
    <x v="222"/>
    <n v="6027"/>
    <n v="1530"/>
    <n v="2"/>
    <x v="1"/>
    <x v="9"/>
    <x v="3"/>
    <d v="2022-12-25T00:00:00"/>
    <x v="332"/>
    <x v="6"/>
    <s v="Cincinnati"/>
    <s v="2022-12"/>
    <x v="1"/>
    <x v="3"/>
    <s v="Q4"/>
    <n v="0.25385764061722249"/>
    <n v="3013.5"/>
  </r>
  <r>
    <x v="223"/>
    <n v="4852"/>
    <n v="218"/>
    <n v="2"/>
    <x v="2"/>
    <x v="4"/>
    <x v="2"/>
    <d v="2024-04-24T00:00:00"/>
    <x v="333"/>
    <x v="5"/>
    <s v="Dallas"/>
    <s v="2024-04"/>
    <x v="11"/>
    <x v="1"/>
    <s v="Q2"/>
    <n v="4.4929925803792251E-2"/>
    <n v="2426"/>
  </r>
  <r>
    <x v="223"/>
    <n v="4852"/>
    <n v="218"/>
    <n v="2"/>
    <x v="2"/>
    <x v="4"/>
    <x v="2"/>
    <d v="2021-12-24T00:00:00"/>
    <x v="334"/>
    <x v="0"/>
    <s v="Tampa"/>
    <s v="2021-12"/>
    <x v="1"/>
    <x v="2"/>
    <s v="Q4"/>
    <n v="4.4929925803792251E-2"/>
    <n v="2426"/>
  </r>
  <r>
    <x v="223"/>
    <n v="4852"/>
    <n v="218"/>
    <n v="2"/>
    <x v="2"/>
    <x v="4"/>
    <x v="2"/>
    <d v="2023-09-07T00:00:00"/>
    <x v="335"/>
    <x v="1"/>
    <s v="Springfield"/>
    <s v="2023-09"/>
    <x v="10"/>
    <x v="0"/>
    <s v="Q3"/>
    <n v="4.4929925803792251E-2"/>
    <n v="2426"/>
  </r>
  <r>
    <x v="224"/>
    <n v="4314"/>
    <n v="1453"/>
    <n v="6"/>
    <x v="2"/>
    <x v="7"/>
    <x v="4"/>
    <d v="2021-08-10T00:00:00"/>
    <x v="336"/>
    <x v="0"/>
    <s v="Tampa"/>
    <s v="2021-08"/>
    <x v="9"/>
    <x v="2"/>
    <s v="Q3"/>
    <n v="0.33681038479369496"/>
    <n v="719"/>
  </r>
  <r>
    <x v="225"/>
    <n v="3288"/>
    <n v="1477"/>
    <n v="3"/>
    <x v="1"/>
    <x v="2"/>
    <x v="2"/>
    <d v="2024-05-26T00:00:00"/>
    <x v="337"/>
    <x v="5"/>
    <s v="Austin"/>
    <s v="2024-05"/>
    <x v="3"/>
    <x v="1"/>
    <s v="Q2"/>
    <n v="0.44920924574209248"/>
    <n v="1096"/>
  </r>
  <r>
    <x v="225"/>
    <n v="3288"/>
    <n v="1477"/>
    <n v="3"/>
    <x v="1"/>
    <x v="2"/>
    <x v="2"/>
    <d v="2022-02-19T00:00:00"/>
    <x v="338"/>
    <x v="1"/>
    <s v="Springfield"/>
    <s v="2022-02"/>
    <x v="7"/>
    <x v="3"/>
    <s v="Q1"/>
    <n v="0.44920924574209248"/>
    <n v="1096"/>
  </r>
  <r>
    <x v="226"/>
    <n v="3977"/>
    <n v="813"/>
    <n v="5"/>
    <x v="1"/>
    <x v="9"/>
    <x v="3"/>
    <d v="2024-12-09T00:00:00"/>
    <x v="339"/>
    <x v="2"/>
    <s v="New York City"/>
    <s v="2024-12"/>
    <x v="1"/>
    <x v="1"/>
    <s v="Q4"/>
    <n v="0.20442544631631884"/>
    <n v="795.4"/>
  </r>
  <r>
    <x v="227"/>
    <n v="6252"/>
    <n v="1377"/>
    <n v="2"/>
    <x v="0"/>
    <x v="1"/>
    <x v="2"/>
    <d v="2023-06-01T00:00:00"/>
    <x v="340"/>
    <x v="1"/>
    <s v="Chicago"/>
    <s v="2023-06"/>
    <x v="0"/>
    <x v="0"/>
    <s v="Q2"/>
    <n v="0.22024952015355087"/>
    <n v="3126"/>
  </r>
  <r>
    <x v="228"/>
    <n v="9084"/>
    <n v="3253"/>
    <n v="12"/>
    <x v="1"/>
    <x v="2"/>
    <x v="1"/>
    <d v="2023-11-05T00:00:00"/>
    <x v="341"/>
    <x v="2"/>
    <s v="Buffalo"/>
    <s v="2023-11"/>
    <x v="5"/>
    <x v="0"/>
    <s v="Q4"/>
    <n v="0.35810215763980624"/>
    <n v="757"/>
  </r>
  <r>
    <x v="229"/>
    <n v="8994"/>
    <n v="1481"/>
    <n v="15"/>
    <x v="0"/>
    <x v="10"/>
    <x v="3"/>
    <d v="2020-06-21T00:00:00"/>
    <x v="342"/>
    <x v="3"/>
    <s v="San Diego"/>
    <s v="2020-06"/>
    <x v="0"/>
    <x v="4"/>
    <s v="Q2"/>
    <n v="0.16466533244385145"/>
    <n v="599.6"/>
  </r>
  <r>
    <x v="230"/>
    <n v="1089"/>
    <n v="176"/>
    <n v="16"/>
    <x v="1"/>
    <x v="6"/>
    <x v="2"/>
    <d v="2020-10-26T00:00:00"/>
    <x v="343"/>
    <x v="5"/>
    <s v="Dallas"/>
    <s v="2020-10"/>
    <x v="4"/>
    <x v="4"/>
    <s v="Q4"/>
    <n v="0.16161616161616163"/>
    <n v="68.0625"/>
  </r>
  <r>
    <x v="231"/>
    <n v="6690"/>
    <n v="1001"/>
    <n v="19"/>
    <x v="1"/>
    <x v="9"/>
    <x v="0"/>
    <d v="2022-06-06T00:00:00"/>
    <x v="344"/>
    <x v="1"/>
    <s v="Springfield"/>
    <s v="2022-06"/>
    <x v="0"/>
    <x v="3"/>
    <s v="Q2"/>
    <n v="0.14962630792227205"/>
    <n v="352.10526315789474"/>
  </r>
  <r>
    <x v="231"/>
    <n v="6690"/>
    <n v="1001"/>
    <n v="19"/>
    <x v="1"/>
    <x v="9"/>
    <x v="0"/>
    <d v="2021-11-13T00:00:00"/>
    <x v="345"/>
    <x v="1"/>
    <s v="Chicago"/>
    <s v="2021-11"/>
    <x v="5"/>
    <x v="2"/>
    <s v="Q4"/>
    <n v="0.14962630792227205"/>
    <n v="352.10526315789474"/>
  </r>
  <r>
    <x v="231"/>
    <n v="4985"/>
    <n v="1920"/>
    <n v="10"/>
    <x v="2"/>
    <x v="11"/>
    <x v="3"/>
    <d v="2022-06-06T00:00:00"/>
    <x v="344"/>
    <x v="1"/>
    <s v="Springfield"/>
    <s v="2022-06"/>
    <x v="0"/>
    <x v="3"/>
    <s v="Q2"/>
    <n v="0.38515546639919757"/>
    <n v="498.5"/>
  </r>
  <r>
    <x v="231"/>
    <n v="4985"/>
    <n v="1920"/>
    <n v="10"/>
    <x v="2"/>
    <x v="11"/>
    <x v="3"/>
    <d v="2021-11-13T00:00:00"/>
    <x v="345"/>
    <x v="1"/>
    <s v="Chicago"/>
    <s v="2021-11"/>
    <x v="5"/>
    <x v="2"/>
    <s v="Q4"/>
    <n v="0.38515546639919757"/>
    <n v="498.5"/>
  </r>
  <r>
    <x v="232"/>
    <n v="8590"/>
    <n v="3565"/>
    <n v="15"/>
    <x v="0"/>
    <x v="0"/>
    <x v="2"/>
    <d v="2021-11-11T00:00:00"/>
    <x v="346"/>
    <x v="0"/>
    <s v="Miami"/>
    <s v="2021-11"/>
    <x v="5"/>
    <x v="2"/>
    <s v="Q4"/>
    <n v="0.41501746216530849"/>
    <n v="572.66666666666663"/>
  </r>
  <r>
    <x v="232"/>
    <n v="6973"/>
    <n v="3038"/>
    <n v="10"/>
    <x v="2"/>
    <x v="4"/>
    <x v="4"/>
    <d v="2021-11-11T00:00:00"/>
    <x v="346"/>
    <x v="0"/>
    <s v="Miami"/>
    <s v="2021-11"/>
    <x v="5"/>
    <x v="2"/>
    <s v="Q4"/>
    <n v="0.43568048185859742"/>
    <n v="697.3"/>
  </r>
  <r>
    <x v="233"/>
    <n v="4591"/>
    <n v="1941"/>
    <n v="19"/>
    <x v="0"/>
    <x v="1"/>
    <x v="2"/>
    <d v="2021-07-31T00:00:00"/>
    <x v="214"/>
    <x v="5"/>
    <s v="Dallas"/>
    <s v="2021-07"/>
    <x v="2"/>
    <x v="2"/>
    <s v="Q3"/>
    <n v="0.42278370725332171"/>
    <n v="241.63157894736841"/>
  </r>
  <r>
    <x v="233"/>
    <n v="9612"/>
    <n v="2572"/>
    <n v="17"/>
    <x v="1"/>
    <x v="2"/>
    <x v="3"/>
    <d v="2021-07-31T00:00:00"/>
    <x v="214"/>
    <x v="5"/>
    <s v="Dallas"/>
    <s v="2021-07"/>
    <x v="2"/>
    <x v="2"/>
    <s v="Q3"/>
    <n v="0.26758218893050356"/>
    <n v="565.41176470588232"/>
  </r>
  <r>
    <x v="234"/>
    <n v="5343"/>
    <n v="655"/>
    <n v="1"/>
    <x v="2"/>
    <x v="5"/>
    <x v="2"/>
    <d v="2024-04-13T00:00:00"/>
    <x v="347"/>
    <x v="3"/>
    <s v="San Diego"/>
    <s v="2024-04"/>
    <x v="11"/>
    <x v="1"/>
    <s v="Q2"/>
    <n v="0.1225903050720569"/>
    <n v="5343"/>
  </r>
  <r>
    <x v="235"/>
    <n v="6956"/>
    <n v="318"/>
    <n v="20"/>
    <x v="1"/>
    <x v="6"/>
    <x v="1"/>
    <d v="2022-04-19T00:00:00"/>
    <x v="348"/>
    <x v="1"/>
    <s v="Springfield"/>
    <s v="2022-04"/>
    <x v="11"/>
    <x v="3"/>
    <s v="Q2"/>
    <n v="4.5715928694652096E-2"/>
    <n v="347.8"/>
  </r>
  <r>
    <x v="236"/>
    <n v="5306"/>
    <n v="2405"/>
    <n v="17"/>
    <x v="2"/>
    <x v="4"/>
    <x v="2"/>
    <d v="2024-03-23T00:00:00"/>
    <x v="349"/>
    <x v="2"/>
    <s v="Buffalo"/>
    <s v="2024-03"/>
    <x v="6"/>
    <x v="1"/>
    <s v="Q1"/>
    <n v="0.45326045985676594"/>
    <n v="312.11764705882354"/>
  </r>
  <r>
    <x v="237"/>
    <n v="8982"/>
    <n v="448"/>
    <n v="17"/>
    <x v="2"/>
    <x v="7"/>
    <x v="0"/>
    <d v="2021-05-07T00:00:00"/>
    <x v="350"/>
    <x v="2"/>
    <s v="New York City"/>
    <s v="2021-05"/>
    <x v="3"/>
    <x v="2"/>
    <s v="Q2"/>
    <n v="4.987753284346471E-2"/>
    <n v="528.35294117647061"/>
  </r>
  <r>
    <x v="237"/>
    <n v="4826"/>
    <n v="562"/>
    <n v="5"/>
    <x v="1"/>
    <x v="8"/>
    <x v="1"/>
    <d v="2021-05-07T00:00:00"/>
    <x v="350"/>
    <x v="2"/>
    <s v="New York City"/>
    <s v="2021-05"/>
    <x v="3"/>
    <x v="2"/>
    <s v="Q2"/>
    <n v="0.11645254869457107"/>
    <n v="965.2"/>
  </r>
  <r>
    <x v="238"/>
    <n v="972"/>
    <n v="106"/>
    <n v="15"/>
    <x v="1"/>
    <x v="2"/>
    <x v="2"/>
    <d v="2022-05-06T00:00:00"/>
    <x v="351"/>
    <x v="6"/>
    <s v="Cincinnati"/>
    <s v="2022-05"/>
    <x v="3"/>
    <x v="3"/>
    <s v="Q2"/>
    <n v="0.10905349794238683"/>
    <n v="64.8"/>
  </r>
  <r>
    <x v="239"/>
    <n v="3665"/>
    <n v="802"/>
    <n v="4"/>
    <x v="1"/>
    <x v="6"/>
    <x v="3"/>
    <d v="2021-08-09T00:00:00"/>
    <x v="352"/>
    <x v="0"/>
    <s v="Miami"/>
    <s v="2021-08"/>
    <x v="9"/>
    <x v="2"/>
    <s v="Q3"/>
    <n v="0.21882673942701228"/>
    <n v="916.25"/>
  </r>
  <r>
    <x v="239"/>
    <n v="3665"/>
    <n v="802"/>
    <n v="4"/>
    <x v="1"/>
    <x v="6"/>
    <x v="3"/>
    <d v="2025-02-09T00:00:00"/>
    <x v="353"/>
    <x v="0"/>
    <s v="Tampa"/>
    <s v="2025-02"/>
    <x v="7"/>
    <x v="5"/>
    <s v="Q1"/>
    <n v="0.21882673942701228"/>
    <n v="916.25"/>
  </r>
  <r>
    <x v="240"/>
    <n v="9808"/>
    <n v="2117"/>
    <n v="2"/>
    <x v="1"/>
    <x v="2"/>
    <x v="0"/>
    <d v="2024-04-23T00:00:00"/>
    <x v="354"/>
    <x v="3"/>
    <s v="Los Angeles"/>
    <s v="2024-04"/>
    <x v="11"/>
    <x v="1"/>
    <s v="Q2"/>
    <n v="0.21584420880913541"/>
    <n v="4904"/>
  </r>
  <r>
    <x v="241"/>
    <n v="1133"/>
    <n v="73"/>
    <n v="17"/>
    <x v="2"/>
    <x v="5"/>
    <x v="0"/>
    <d v="2023-02-23T00:00:00"/>
    <x v="355"/>
    <x v="6"/>
    <s v="Cleveland"/>
    <s v="2023-02"/>
    <x v="7"/>
    <x v="0"/>
    <s v="Q1"/>
    <n v="6.4430714916151807E-2"/>
    <n v="66.647058823529406"/>
  </r>
  <r>
    <x v="241"/>
    <n v="1133"/>
    <n v="73"/>
    <n v="17"/>
    <x v="2"/>
    <x v="5"/>
    <x v="0"/>
    <d v="2024-06-06T00:00:00"/>
    <x v="356"/>
    <x v="3"/>
    <s v="San Diego"/>
    <s v="2024-06"/>
    <x v="0"/>
    <x v="1"/>
    <s v="Q2"/>
    <n v="6.4430714916151807E-2"/>
    <n v="66.647058823529406"/>
  </r>
  <r>
    <x v="241"/>
    <n v="6248"/>
    <n v="1168"/>
    <n v="19"/>
    <x v="2"/>
    <x v="11"/>
    <x v="4"/>
    <d v="2023-02-23T00:00:00"/>
    <x v="355"/>
    <x v="6"/>
    <s v="Cleveland"/>
    <s v="2023-02"/>
    <x v="7"/>
    <x v="0"/>
    <s v="Q1"/>
    <n v="0.18693982074263765"/>
    <n v="328.84210526315792"/>
  </r>
  <r>
    <x v="241"/>
    <n v="6248"/>
    <n v="1168"/>
    <n v="19"/>
    <x v="2"/>
    <x v="11"/>
    <x v="4"/>
    <d v="2024-06-06T00:00:00"/>
    <x v="356"/>
    <x v="3"/>
    <s v="San Diego"/>
    <s v="2024-06"/>
    <x v="0"/>
    <x v="1"/>
    <s v="Q2"/>
    <n v="0.18693982074263765"/>
    <n v="328.84210526315792"/>
  </r>
  <r>
    <x v="242"/>
    <n v="5666"/>
    <n v="2733"/>
    <n v="17"/>
    <x v="0"/>
    <x v="0"/>
    <x v="3"/>
    <d v="2025-01-27T00:00:00"/>
    <x v="357"/>
    <x v="0"/>
    <s v="Tampa"/>
    <s v="2025-01"/>
    <x v="8"/>
    <x v="5"/>
    <s v="Q1"/>
    <n v="0.4823508648076244"/>
    <n v="333.29411764705884"/>
  </r>
  <r>
    <x v="243"/>
    <n v="4171"/>
    <n v="1450"/>
    <n v="18"/>
    <x v="1"/>
    <x v="6"/>
    <x v="4"/>
    <d v="2023-04-07T00:00:00"/>
    <x v="358"/>
    <x v="5"/>
    <s v="Dallas"/>
    <s v="2023-04"/>
    <x v="11"/>
    <x v="0"/>
    <s v="Q2"/>
    <n v="0.34763845600575399"/>
    <n v="231.72222222222223"/>
  </r>
  <r>
    <x v="244"/>
    <n v="6236"/>
    <n v="2839"/>
    <n v="7"/>
    <x v="0"/>
    <x v="1"/>
    <x v="3"/>
    <d v="2022-01-20T00:00:00"/>
    <x v="359"/>
    <x v="1"/>
    <s v="Springfield"/>
    <s v="2022-01"/>
    <x v="8"/>
    <x v="3"/>
    <s v="Q1"/>
    <n v="0.4552597819114817"/>
    <n v="890.85714285714289"/>
  </r>
  <r>
    <x v="244"/>
    <n v="6236"/>
    <n v="2839"/>
    <n v="7"/>
    <x v="0"/>
    <x v="1"/>
    <x v="3"/>
    <d v="2022-05-10T00:00:00"/>
    <x v="360"/>
    <x v="0"/>
    <s v="Orlando"/>
    <s v="2022-05"/>
    <x v="3"/>
    <x v="3"/>
    <s v="Q2"/>
    <n v="0.4552597819114817"/>
    <n v="890.85714285714289"/>
  </r>
  <r>
    <x v="245"/>
    <n v="5410"/>
    <n v="2456"/>
    <n v="8"/>
    <x v="2"/>
    <x v="5"/>
    <x v="3"/>
    <d v="2024-05-29T00:00:00"/>
    <x v="361"/>
    <x v="3"/>
    <s v="Los Angeles"/>
    <s v="2024-05"/>
    <x v="3"/>
    <x v="1"/>
    <s v="Q2"/>
    <n v="0.45397412199630316"/>
    <n v="676.25"/>
  </r>
  <r>
    <x v="245"/>
    <n v="5410"/>
    <n v="2456"/>
    <n v="8"/>
    <x v="2"/>
    <x v="5"/>
    <x v="3"/>
    <d v="2022-01-04T00:00:00"/>
    <x v="362"/>
    <x v="0"/>
    <s v="Tampa"/>
    <s v="2022-01"/>
    <x v="8"/>
    <x v="3"/>
    <s v="Q1"/>
    <n v="0.45397412199630316"/>
    <n v="676.25"/>
  </r>
  <r>
    <x v="246"/>
    <n v="3024"/>
    <n v="1353"/>
    <n v="1"/>
    <x v="2"/>
    <x v="7"/>
    <x v="3"/>
    <d v="2024-05-02T00:00:00"/>
    <x v="363"/>
    <x v="3"/>
    <s v="Los Angeles"/>
    <s v="2024-05"/>
    <x v="3"/>
    <x v="1"/>
    <s v="Q2"/>
    <n v="0.44742063492063494"/>
    <n v="3024"/>
  </r>
  <r>
    <x v="246"/>
    <n v="3024"/>
    <n v="1353"/>
    <n v="1"/>
    <x v="2"/>
    <x v="7"/>
    <x v="3"/>
    <d v="2021-12-28T00:00:00"/>
    <x v="364"/>
    <x v="6"/>
    <s v="Columbus"/>
    <s v="2021-12"/>
    <x v="1"/>
    <x v="2"/>
    <s v="Q4"/>
    <n v="0.44742063492063494"/>
    <n v="3024"/>
  </r>
  <r>
    <x v="247"/>
    <n v="7434"/>
    <n v="2851"/>
    <n v="5"/>
    <x v="1"/>
    <x v="6"/>
    <x v="0"/>
    <d v="2022-12-12T00:00:00"/>
    <x v="365"/>
    <x v="1"/>
    <s v="Springfield"/>
    <s v="2022-12"/>
    <x v="1"/>
    <x v="3"/>
    <s v="Q4"/>
    <n v="0.38350820554210385"/>
    <n v="1486.8"/>
  </r>
  <r>
    <x v="248"/>
    <n v="7213"/>
    <n v="508"/>
    <n v="19"/>
    <x v="0"/>
    <x v="0"/>
    <x v="1"/>
    <d v="2023-08-17T00:00:00"/>
    <x v="366"/>
    <x v="5"/>
    <s v="Dallas"/>
    <s v="2023-08"/>
    <x v="9"/>
    <x v="0"/>
    <s v="Q3"/>
    <n v="7.042839317898239E-2"/>
    <n v="379.63157894736844"/>
  </r>
  <r>
    <x v="248"/>
    <n v="7213"/>
    <n v="508"/>
    <n v="19"/>
    <x v="0"/>
    <x v="0"/>
    <x v="1"/>
    <d v="2021-11-29T00:00:00"/>
    <x v="367"/>
    <x v="6"/>
    <s v="Cincinnati"/>
    <s v="2021-11"/>
    <x v="5"/>
    <x v="2"/>
    <s v="Q4"/>
    <n v="7.042839317898239E-2"/>
    <n v="379.63157894736844"/>
  </r>
  <r>
    <x v="248"/>
    <n v="3176"/>
    <n v="586"/>
    <n v="9"/>
    <x v="2"/>
    <x v="4"/>
    <x v="2"/>
    <d v="2023-08-17T00:00:00"/>
    <x v="366"/>
    <x v="5"/>
    <s v="Dallas"/>
    <s v="2023-08"/>
    <x v="9"/>
    <x v="0"/>
    <s v="Q3"/>
    <n v="0.1845088161209068"/>
    <n v="352.88888888888891"/>
  </r>
  <r>
    <x v="248"/>
    <n v="3176"/>
    <n v="586"/>
    <n v="9"/>
    <x v="2"/>
    <x v="4"/>
    <x v="2"/>
    <d v="2021-11-29T00:00:00"/>
    <x v="367"/>
    <x v="6"/>
    <s v="Cincinnati"/>
    <s v="2021-11"/>
    <x v="5"/>
    <x v="2"/>
    <s v="Q4"/>
    <n v="0.1845088161209068"/>
    <n v="352.88888888888891"/>
  </r>
  <r>
    <x v="249"/>
    <n v="9144"/>
    <n v="2220"/>
    <n v="18"/>
    <x v="1"/>
    <x v="9"/>
    <x v="3"/>
    <d v="2021-06-13T00:00:00"/>
    <x v="368"/>
    <x v="0"/>
    <s v="Miami"/>
    <s v="2021-06"/>
    <x v="0"/>
    <x v="2"/>
    <s v="Q2"/>
    <n v="0.24278215223097113"/>
    <n v="508"/>
  </r>
  <r>
    <x v="250"/>
    <n v="4146"/>
    <n v="865"/>
    <n v="19"/>
    <x v="2"/>
    <x v="4"/>
    <x v="2"/>
    <d v="2022-07-04T00:00:00"/>
    <x v="369"/>
    <x v="5"/>
    <s v="Houston"/>
    <s v="2022-07"/>
    <x v="2"/>
    <x v="3"/>
    <s v="Q3"/>
    <n v="0.20863482875060299"/>
    <n v="218.21052631578948"/>
  </r>
  <r>
    <x v="250"/>
    <n v="3793"/>
    <n v="875"/>
    <n v="7"/>
    <x v="2"/>
    <x v="4"/>
    <x v="2"/>
    <d v="2022-07-04T00:00:00"/>
    <x v="369"/>
    <x v="5"/>
    <s v="Houston"/>
    <s v="2022-07"/>
    <x v="2"/>
    <x v="3"/>
    <s v="Q3"/>
    <n v="0.23068810967571843"/>
    <n v="541.85714285714289"/>
  </r>
  <r>
    <x v="251"/>
    <n v="7169"/>
    <n v="2385"/>
    <n v="11"/>
    <x v="2"/>
    <x v="7"/>
    <x v="4"/>
    <d v="2021-06-27T00:00:00"/>
    <x v="370"/>
    <x v="3"/>
    <s v="Los Angeles"/>
    <s v="2021-06"/>
    <x v="0"/>
    <x v="2"/>
    <s v="Q2"/>
    <n v="0.33268238248012277"/>
    <n v="651.72727272727275"/>
  </r>
  <r>
    <x v="251"/>
    <n v="4046"/>
    <n v="417"/>
    <n v="18"/>
    <x v="2"/>
    <x v="5"/>
    <x v="3"/>
    <d v="2021-06-27T00:00:00"/>
    <x v="370"/>
    <x v="3"/>
    <s v="Los Angeles"/>
    <s v="2021-06"/>
    <x v="0"/>
    <x v="2"/>
    <s v="Q2"/>
    <n v="0.10306475531389027"/>
    <n v="224.77777777777777"/>
  </r>
  <r>
    <x v="252"/>
    <n v="4164"/>
    <n v="905"/>
    <n v="11"/>
    <x v="0"/>
    <x v="10"/>
    <x v="4"/>
    <d v="2023-12-04T00:00:00"/>
    <x v="371"/>
    <x v="3"/>
    <s v="San Diego"/>
    <s v="2023-12"/>
    <x v="1"/>
    <x v="0"/>
    <s v="Q4"/>
    <n v="0.21733909702209414"/>
    <n v="378.54545454545456"/>
  </r>
  <r>
    <x v="252"/>
    <n v="5389"/>
    <n v="2196"/>
    <n v="5"/>
    <x v="2"/>
    <x v="4"/>
    <x v="0"/>
    <d v="2023-12-04T00:00:00"/>
    <x v="371"/>
    <x v="3"/>
    <s v="San Diego"/>
    <s v="2023-12"/>
    <x v="1"/>
    <x v="0"/>
    <s v="Q4"/>
    <n v="0.40749675264427537"/>
    <n v="1077.8"/>
  </r>
  <r>
    <x v="253"/>
    <n v="5448"/>
    <n v="2204"/>
    <n v="5"/>
    <x v="2"/>
    <x v="7"/>
    <x v="4"/>
    <d v="2022-08-09T00:00:00"/>
    <x v="372"/>
    <x v="2"/>
    <s v="New York City"/>
    <s v="2022-08"/>
    <x v="9"/>
    <x v="3"/>
    <s v="Q3"/>
    <n v="0.40455212922173273"/>
    <n v="1089.5999999999999"/>
  </r>
  <r>
    <x v="254"/>
    <n v="4115"/>
    <n v="1285"/>
    <n v="1"/>
    <x v="2"/>
    <x v="7"/>
    <x v="0"/>
    <d v="2020-04-08T00:00:00"/>
    <x v="373"/>
    <x v="0"/>
    <s v="Orlando"/>
    <s v="2020-04"/>
    <x v="11"/>
    <x v="4"/>
    <s v="Q2"/>
    <n v="0.31227217496962334"/>
    <n v="4115"/>
  </r>
  <r>
    <x v="254"/>
    <n v="4761"/>
    <n v="2231"/>
    <n v="12"/>
    <x v="2"/>
    <x v="4"/>
    <x v="0"/>
    <d v="2020-04-08T00:00:00"/>
    <x v="373"/>
    <x v="0"/>
    <s v="Orlando"/>
    <s v="2020-04"/>
    <x v="11"/>
    <x v="4"/>
    <s v="Q2"/>
    <n v="0.46859903381642515"/>
    <n v="396.75"/>
  </r>
  <r>
    <x v="255"/>
    <n v="5899"/>
    <n v="2264"/>
    <n v="6"/>
    <x v="1"/>
    <x v="9"/>
    <x v="2"/>
    <d v="2023-10-20T00:00:00"/>
    <x v="374"/>
    <x v="2"/>
    <s v="Buffalo"/>
    <s v="2023-10"/>
    <x v="4"/>
    <x v="0"/>
    <s v="Q4"/>
    <n v="0.38379386336667232"/>
    <n v="983.16666666666663"/>
  </r>
  <r>
    <x v="256"/>
    <n v="6109"/>
    <n v="3040"/>
    <n v="9"/>
    <x v="2"/>
    <x v="5"/>
    <x v="2"/>
    <d v="2022-02-10T00:00:00"/>
    <x v="375"/>
    <x v="2"/>
    <s v="Buffalo"/>
    <s v="2022-02"/>
    <x v="7"/>
    <x v="3"/>
    <s v="Q1"/>
    <n v="0.49762645277459489"/>
    <n v="678.77777777777783"/>
  </r>
  <r>
    <x v="256"/>
    <n v="6109"/>
    <n v="3040"/>
    <n v="9"/>
    <x v="2"/>
    <x v="5"/>
    <x v="2"/>
    <d v="2023-10-05T00:00:00"/>
    <x v="376"/>
    <x v="2"/>
    <s v="Rochester"/>
    <s v="2023-10"/>
    <x v="4"/>
    <x v="0"/>
    <s v="Q4"/>
    <n v="0.49762645277459489"/>
    <n v="678.77777777777783"/>
  </r>
  <r>
    <x v="256"/>
    <n v="4628"/>
    <n v="1491"/>
    <n v="17"/>
    <x v="0"/>
    <x v="0"/>
    <x v="0"/>
    <d v="2022-02-10T00:00:00"/>
    <x v="375"/>
    <x v="2"/>
    <s v="Buffalo"/>
    <s v="2022-02"/>
    <x v="7"/>
    <x v="3"/>
    <s v="Q1"/>
    <n v="0.32216940363007779"/>
    <n v="272.23529411764707"/>
  </r>
  <r>
    <x v="256"/>
    <n v="4628"/>
    <n v="1491"/>
    <n v="17"/>
    <x v="0"/>
    <x v="0"/>
    <x v="0"/>
    <d v="2023-10-05T00:00:00"/>
    <x v="376"/>
    <x v="2"/>
    <s v="Rochester"/>
    <s v="2023-10"/>
    <x v="4"/>
    <x v="0"/>
    <s v="Q4"/>
    <n v="0.32216940363007779"/>
    <n v="272.23529411764707"/>
  </r>
  <r>
    <x v="257"/>
    <n v="4369"/>
    <n v="584"/>
    <n v="13"/>
    <x v="1"/>
    <x v="2"/>
    <x v="3"/>
    <d v="2022-09-22T00:00:00"/>
    <x v="377"/>
    <x v="1"/>
    <s v="Peoria"/>
    <s v="2022-09"/>
    <x v="10"/>
    <x v="3"/>
    <s v="Q3"/>
    <n v="0.13366903181506065"/>
    <n v="336.07692307692309"/>
  </r>
  <r>
    <x v="257"/>
    <n v="4369"/>
    <n v="584"/>
    <n v="13"/>
    <x v="1"/>
    <x v="2"/>
    <x v="3"/>
    <d v="2021-04-03T00:00:00"/>
    <x v="378"/>
    <x v="5"/>
    <s v="Austin"/>
    <s v="2021-04"/>
    <x v="11"/>
    <x v="2"/>
    <s v="Q2"/>
    <n v="0.13366903181506065"/>
    <n v="336.07692307692309"/>
  </r>
  <r>
    <x v="258"/>
    <n v="5632"/>
    <n v="2358"/>
    <n v="20"/>
    <x v="2"/>
    <x v="7"/>
    <x v="3"/>
    <d v="2021-05-03T00:00:00"/>
    <x v="379"/>
    <x v="3"/>
    <s v="Los Angeles"/>
    <s v="2021-05"/>
    <x v="3"/>
    <x v="2"/>
    <s v="Q2"/>
    <n v="0.41867897727272729"/>
    <n v="281.60000000000002"/>
  </r>
  <r>
    <x v="258"/>
    <n v="5632"/>
    <n v="2358"/>
    <n v="20"/>
    <x v="2"/>
    <x v="7"/>
    <x v="3"/>
    <d v="2024-02-11T00:00:00"/>
    <x v="380"/>
    <x v="0"/>
    <s v="Miami"/>
    <s v="2024-02"/>
    <x v="7"/>
    <x v="1"/>
    <s v="Q1"/>
    <n v="0.41867897727272729"/>
    <n v="281.60000000000002"/>
  </r>
  <r>
    <x v="258"/>
    <n v="5632"/>
    <n v="2358"/>
    <n v="20"/>
    <x v="2"/>
    <x v="7"/>
    <x v="3"/>
    <d v="2025-02-04T00:00:00"/>
    <x v="381"/>
    <x v="6"/>
    <s v="Cleveland"/>
    <s v="2025-02"/>
    <x v="7"/>
    <x v="5"/>
    <s v="Q1"/>
    <n v="0.41867897727272729"/>
    <n v="281.60000000000002"/>
  </r>
  <r>
    <x v="259"/>
    <n v="7519"/>
    <n v="402"/>
    <n v="14"/>
    <x v="1"/>
    <x v="8"/>
    <x v="0"/>
    <d v="2022-10-12T00:00:00"/>
    <x v="382"/>
    <x v="3"/>
    <s v="San Diego"/>
    <s v="2022-10"/>
    <x v="4"/>
    <x v="3"/>
    <s v="Q4"/>
    <n v="5.3464556456975662E-2"/>
    <n v="537.07142857142856"/>
  </r>
  <r>
    <x v="259"/>
    <n v="1564"/>
    <n v="674"/>
    <n v="13"/>
    <x v="0"/>
    <x v="0"/>
    <x v="1"/>
    <d v="2022-10-12T00:00:00"/>
    <x v="382"/>
    <x v="3"/>
    <s v="San Diego"/>
    <s v="2022-10"/>
    <x v="4"/>
    <x v="3"/>
    <s v="Q4"/>
    <n v="0.43094629156010228"/>
    <n v="120.30769230769231"/>
  </r>
  <r>
    <x v="260"/>
    <n v="2804"/>
    <n v="936"/>
    <n v="10"/>
    <x v="0"/>
    <x v="0"/>
    <x v="3"/>
    <d v="2022-02-06T00:00:00"/>
    <x v="383"/>
    <x v="5"/>
    <s v="Austin"/>
    <s v="2022-02"/>
    <x v="7"/>
    <x v="3"/>
    <s v="Q1"/>
    <n v="0.33380884450784593"/>
    <n v="280.39999999999998"/>
  </r>
  <r>
    <x v="260"/>
    <n v="2804"/>
    <n v="936"/>
    <n v="10"/>
    <x v="0"/>
    <x v="0"/>
    <x v="3"/>
    <d v="2020-11-09T00:00:00"/>
    <x v="384"/>
    <x v="0"/>
    <s v="Tampa"/>
    <s v="2020-11"/>
    <x v="5"/>
    <x v="4"/>
    <s v="Q4"/>
    <n v="0.33380884450784593"/>
    <n v="280.39999999999998"/>
  </r>
  <r>
    <x v="260"/>
    <n v="2804"/>
    <n v="936"/>
    <n v="10"/>
    <x v="0"/>
    <x v="0"/>
    <x v="3"/>
    <d v="2023-05-03T00:00:00"/>
    <x v="385"/>
    <x v="0"/>
    <s v="Tampa"/>
    <s v="2023-05"/>
    <x v="3"/>
    <x v="0"/>
    <s v="Q2"/>
    <n v="0.33380884450784593"/>
    <n v="280.39999999999998"/>
  </r>
  <r>
    <x v="261"/>
    <n v="2321"/>
    <n v="505"/>
    <n v="6"/>
    <x v="2"/>
    <x v="5"/>
    <x v="2"/>
    <d v="2022-10-04T00:00:00"/>
    <x v="386"/>
    <x v="1"/>
    <s v="Springfield"/>
    <s v="2022-10"/>
    <x v="4"/>
    <x v="3"/>
    <s v="Q4"/>
    <n v="0.21757862990090479"/>
    <n v="386.83333333333331"/>
  </r>
  <r>
    <x v="262"/>
    <n v="5730"/>
    <n v="482"/>
    <n v="6"/>
    <x v="0"/>
    <x v="3"/>
    <x v="4"/>
    <d v="2024-08-21T00:00:00"/>
    <x v="387"/>
    <x v="0"/>
    <s v="Tampa"/>
    <s v="2024-08"/>
    <x v="9"/>
    <x v="1"/>
    <s v="Q3"/>
    <n v="8.4118673647469458E-2"/>
    <n v="955"/>
  </r>
  <r>
    <x v="263"/>
    <n v="7441"/>
    <n v="867"/>
    <n v="12"/>
    <x v="2"/>
    <x v="7"/>
    <x v="4"/>
    <d v="2021-11-20T00:00:00"/>
    <x v="388"/>
    <x v="1"/>
    <s v="Chicago"/>
    <s v="2021-11"/>
    <x v="5"/>
    <x v="2"/>
    <s v="Q4"/>
    <n v="0.1165165972315549"/>
    <n v="620.08333333333337"/>
  </r>
  <r>
    <x v="263"/>
    <n v="7441"/>
    <n v="867"/>
    <n v="12"/>
    <x v="2"/>
    <x v="7"/>
    <x v="4"/>
    <d v="2020-05-13T00:00:00"/>
    <x v="389"/>
    <x v="5"/>
    <s v="Austin"/>
    <s v="2020-05"/>
    <x v="3"/>
    <x v="4"/>
    <s v="Q2"/>
    <n v="0.1165165972315549"/>
    <n v="620.08333333333337"/>
  </r>
  <r>
    <x v="264"/>
    <n v="1732"/>
    <n v="766"/>
    <n v="7"/>
    <x v="1"/>
    <x v="9"/>
    <x v="0"/>
    <d v="2023-02-28T00:00:00"/>
    <x v="390"/>
    <x v="2"/>
    <s v="New York City"/>
    <s v="2023-02"/>
    <x v="7"/>
    <x v="0"/>
    <s v="Q1"/>
    <n v="0.44226327944572746"/>
    <n v="247.42857142857142"/>
  </r>
  <r>
    <x v="264"/>
    <n v="8788"/>
    <n v="3944"/>
    <n v="19"/>
    <x v="1"/>
    <x v="8"/>
    <x v="2"/>
    <d v="2023-02-28T00:00:00"/>
    <x v="390"/>
    <x v="2"/>
    <s v="New York City"/>
    <s v="2023-02"/>
    <x v="7"/>
    <x v="0"/>
    <s v="Q1"/>
    <n v="0.44879380974055533"/>
    <n v="462.5263157894737"/>
  </r>
  <r>
    <x v="265"/>
    <n v="838"/>
    <n v="271"/>
    <n v="11"/>
    <x v="1"/>
    <x v="6"/>
    <x v="2"/>
    <d v="2021-01-21T00:00:00"/>
    <x v="391"/>
    <x v="6"/>
    <s v="Columbus"/>
    <s v="2021-01"/>
    <x v="8"/>
    <x v="2"/>
    <s v="Q1"/>
    <n v="0.3233890214797136"/>
    <n v="76.181818181818187"/>
  </r>
  <r>
    <x v="265"/>
    <n v="838"/>
    <n v="271"/>
    <n v="11"/>
    <x v="1"/>
    <x v="6"/>
    <x v="2"/>
    <d v="2022-02-28T00:00:00"/>
    <x v="392"/>
    <x v="1"/>
    <s v="Peoria"/>
    <s v="2022-02"/>
    <x v="7"/>
    <x v="3"/>
    <s v="Q1"/>
    <n v="0.3233890214797136"/>
    <n v="76.181818181818187"/>
  </r>
  <r>
    <x v="265"/>
    <n v="3577"/>
    <n v="699"/>
    <n v="2"/>
    <x v="2"/>
    <x v="4"/>
    <x v="0"/>
    <d v="2021-01-21T00:00:00"/>
    <x v="391"/>
    <x v="6"/>
    <s v="Columbus"/>
    <s v="2021-01"/>
    <x v="8"/>
    <x v="2"/>
    <s v="Q1"/>
    <n v="0.1954151523623148"/>
    <n v="1788.5"/>
  </r>
  <r>
    <x v="265"/>
    <n v="3577"/>
    <n v="699"/>
    <n v="2"/>
    <x v="2"/>
    <x v="4"/>
    <x v="0"/>
    <d v="2022-02-28T00:00:00"/>
    <x v="392"/>
    <x v="1"/>
    <s v="Peoria"/>
    <s v="2022-02"/>
    <x v="7"/>
    <x v="3"/>
    <s v="Q1"/>
    <n v="0.1954151523623148"/>
    <n v="1788.5"/>
  </r>
  <r>
    <x v="266"/>
    <n v="7122"/>
    <n v="1836"/>
    <n v="6"/>
    <x v="0"/>
    <x v="10"/>
    <x v="1"/>
    <d v="2024-04-25T00:00:00"/>
    <x v="393"/>
    <x v="5"/>
    <s v="Dallas"/>
    <s v="2024-04"/>
    <x v="11"/>
    <x v="1"/>
    <s v="Q2"/>
    <n v="0.25779275484414488"/>
    <n v="1187"/>
  </r>
  <r>
    <x v="266"/>
    <n v="7122"/>
    <n v="1836"/>
    <n v="6"/>
    <x v="0"/>
    <x v="10"/>
    <x v="1"/>
    <d v="2023-03-10T00:00:00"/>
    <x v="394"/>
    <x v="5"/>
    <s v="Houston"/>
    <s v="2023-03"/>
    <x v="6"/>
    <x v="0"/>
    <s v="Q1"/>
    <n v="0.25779275484414488"/>
    <n v="1187"/>
  </r>
  <r>
    <x v="266"/>
    <n v="7122"/>
    <n v="1836"/>
    <n v="6"/>
    <x v="0"/>
    <x v="10"/>
    <x v="1"/>
    <d v="2023-07-10T00:00:00"/>
    <x v="395"/>
    <x v="2"/>
    <s v="New York City"/>
    <s v="2023-07"/>
    <x v="2"/>
    <x v="0"/>
    <s v="Q3"/>
    <n v="0.25779275484414488"/>
    <n v="1187"/>
  </r>
  <r>
    <x v="266"/>
    <n v="7327"/>
    <n v="2596"/>
    <n v="15"/>
    <x v="1"/>
    <x v="6"/>
    <x v="3"/>
    <d v="2024-04-25T00:00:00"/>
    <x v="393"/>
    <x v="5"/>
    <s v="Dallas"/>
    <s v="2024-04"/>
    <x v="11"/>
    <x v="1"/>
    <s v="Q2"/>
    <n v="0.35430599153814657"/>
    <n v="488.46666666666664"/>
  </r>
  <r>
    <x v="266"/>
    <n v="7327"/>
    <n v="2596"/>
    <n v="15"/>
    <x v="1"/>
    <x v="6"/>
    <x v="3"/>
    <d v="2023-03-10T00:00:00"/>
    <x v="394"/>
    <x v="5"/>
    <s v="Houston"/>
    <s v="2023-03"/>
    <x v="6"/>
    <x v="0"/>
    <s v="Q1"/>
    <n v="0.35430599153814657"/>
    <n v="488.46666666666664"/>
  </r>
  <r>
    <x v="266"/>
    <n v="7327"/>
    <n v="2596"/>
    <n v="15"/>
    <x v="1"/>
    <x v="6"/>
    <x v="3"/>
    <d v="2023-07-10T00:00:00"/>
    <x v="395"/>
    <x v="2"/>
    <s v="New York City"/>
    <s v="2023-07"/>
    <x v="2"/>
    <x v="0"/>
    <s v="Q3"/>
    <n v="0.35430599153814657"/>
    <n v="488.46666666666664"/>
  </r>
  <r>
    <x v="267"/>
    <n v="2239"/>
    <n v="1094"/>
    <n v="18"/>
    <x v="0"/>
    <x v="1"/>
    <x v="4"/>
    <d v="2024-07-28T00:00:00"/>
    <x v="396"/>
    <x v="0"/>
    <s v="Tampa"/>
    <s v="2024-07"/>
    <x v="2"/>
    <x v="1"/>
    <s v="Q3"/>
    <n v="0.48861098704778921"/>
    <n v="124.38888888888889"/>
  </r>
  <r>
    <x v="267"/>
    <n v="4932"/>
    <n v="1153"/>
    <n v="1"/>
    <x v="1"/>
    <x v="6"/>
    <x v="4"/>
    <d v="2024-07-28T00:00:00"/>
    <x v="396"/>
    <x v="0"/>
    <s v="Tampa"/>
    <s v="2024-07"/>
    <x v="2"/>
    <x v="1"/>
    <s v="Q3"/>
    <n v="0.233779399837794"/>
    <n v="4932"/>
  </r>
  <r>
    <x v="268"/>
    <n v="4609"/>
    <n v="1084"/>
    <n v="8"/>
    <x v="0"/>
    <x v="1"/>
    <x v="0"/>
    <d v="2023-07-30T00:00:00"/>
    <x v="397"/>
    <x v="0"/>
    <s v="Orlando"/>
    <s v="2023-07"/>
    <x v="2"/>
    <x v="0"/>
    <s v="Q3"/>
    <n v="0.23519201562160991"/>
    <n v="576.125"/>
  </r>
  <r>
    <x v="268"/>
    <n v="2328"/>
    <n v="788"/>
    <n v="4"/>
    <x v="1"/>
    <x v="8"/>
    <x v="0"/>
    <d v="2023-07-30T00:00:00"/>
    <x v="397"/>
    <x v="0"/>
    <s v="Orlando"/>
    <s v="2023-07"/>
    <x v="2"/>
    <x v="0"/>
    <s v="Q3"/>
    <n v="0.33848797250859108"/>
    <n v="582"/>
  </r>
  <r>
    <x v="268"/>
    <n v="4734"/>
    <n v="958"/>
    <n v="7"/>
    <x v="0"/>
    <x v="1"/>
    <x v="1"/>
    <d v="2023-07-30T00:00:00"/>
    <x v="397"/>
    <x v="0"/>
    <s v="Orlando"/>
    <s v="2023-07"/>
    <x v="2"/>
    <x v="0"/>
    <s v="Q3"/>
    <n v="0.20236586396282213"/>
    <n v="676.28571428571433"/>
  </r>
  <r>
    <x v="269"/>
    <n v="1388"/>
    <n v="345"/>
    <n v="5"/>
    <x v="2"/>
    <x v="7"/>
    <x v="0"/>
    <d v="2024-10-05T00:00:00"/>
    <x v="398"/>
    <x v="2"/>
    <s v="New York City"/>
    <s v="2024-10"/>
    <x v="4"/>
    <x v="1"/>
    <s v="Q4"/>
    <n v="0.24855907780979827"/>
    <n v="277.60000000000002"/>
  </r>
  <r>
    <x v="269"/>
    <n v="8555"/>
    <n v="1638"/>
    <n v="8"/>
    <x v="0"/>
    <x v="3"/>
    <x v="3"/>
    <d v="2024-10-05T00:00:00"/>
    <x v="398"/>
    <x v="2"/>
    <s v="New York City"/>
    <s v="2024-10"/>
    <x v="4"/>
    <x v="1"/>
    <s v="Q4"/>
    <n v="0.19146697837521917"/>
    <n v="1069.375"/>
  </r>
  <r>
    <x v="270"/>
    <n v="9024"/>
    <n v="730"/>
    <n v="4"/>
    <x v="2"/>
    <x v="4"/>
    <x v="3"/>
    <d v="2024-02-20T00:00:00"/>
    <x v="399"/>
    <x v="5"/>
    <s v="Dallas"/>
    <s v="2024-02"/>
    <x v="7"/>
    <x v="1"/>
    <s v="Q1"/>
    <n v="8.0895390070921988E-2"/>
    <n v="2256"/>
  </r>
  <r>
    <x v="270"/>
    <n v="2468"/>
    <n v="418"/>
    <n v="4"/>
    <x v="0"/>
    <x v="3"/>
    <x v="3"/>
    <d v="2024-02-20T00:00:00"/>
    <x v="399"/>
    <x v="5"/>
    <s v="Dallas"/>
    <s v="2024-02"/>
    <x v="7"/>
    <x v="1"/>
    <s v="Q1"/>
    <n v="0.1693679092382496"/>
    <n v="617"/>
  </r>
  <r>
    <x v="271"/>
    <n v="9438"/>
    <n v="1801"/>
    <n v="4"/>
    <x v="0"/>
    <x v="0"/>
    <x v="4"/>
    <d v="2023-04-19T00:00:00"/>
    <x v="400"/>
    <x v="0"/>
    <s v="Orlando"/>
    <s v="2023-04"/>
    <x v="11"/>
    <x v="0"/>
    <s v="Q2"/>
    <n v="0.19082432718796355"/>
    <n v="2359.5"/>
  </r>
  <r>
    <x v="271"/>
    <n v="9438"/>
    <n v="1801"/>
    <n v="4"/>
    <x v="0"/>
    <x v="0"/>
    <x v="4"/>
    <d v="2023-10-29T00:00:00"/>
    <x v="401"/>
    <x v="5"/>
    <s v="Austin"/>
    <s v="2023-10"/>
    <x v="4"/>
    <x v="0"/>
    <s v="Q4"/>
    <n v="0.19082432718796355"/>
    <n v="2359.5"/>
  </r>
  <r>
    <x v="272"/>
    <n v="2685"/>
    <n v="379"/>
    <n v="18"/>
    <x v="0"/>
    <x v="10"/>
    <x v="0"/>
    <d v="2022-03-08T00:00:00"/>
    <x v="402"/>
    <x v="6"/>
    <s v="Cleveland"/>
    <s v="2022-03"/>
    <x v="6"/>
    <x v="3"/>
    <s v="Q1"/>
    <n v="0.14115456238361265"/>
    <n v="149.16666666666666"/>
  </r>
  <r>
    <x v="272"/>
    <n v="2685"/>
    <n v="379"/>
    <n v="18"/>
    <x v="0"/>
    <x v="10"/>
    <x v="0"/>
    <d v="2022-12-08T00:00:00"/>
    <x v="403"/>
    <x v="0"/>
    <s v="Tampa"/>
    <s v="2022-12"/>
    <x v="1"/>
    <x v="3"/>
    <s v="Q4"/>
    <n v="0.14115456238361265"/>
    <n v="149.16666666666666"/>
  </r>
  <r>
    <x v="272"/>
    <n v="9916"/>
    <n v="4602"/>
    <n v="14"/>
    <x v="2"/>
    <x v="5"/>
    <x v="0"/>
    <d v="2022-03-08T00:00:00"/>
    <x v="402"/>
    <x v="6"/>
    <s v="Cleveland"/>
    <s v="2022-03"/>
    <x v="6"/>
    <x v="3"/>
    <s v="Q1"/>
    <n v="0.46409842678499397"/>
    <n v="708.28571428571433"/>
  </r>
  <r>
    <x v="272"/>
    <n v="9916"/>
    <n v="4602"/>
    <n v="14"/>
    <x v="2"/>
    <x v="5"/>
    <x v="0"/>
    <d v="2022-12-08T00:00:00"/>
    <x v="403"/>
    <x v="0"/>
    <s v="Tampa"/>
    <s v="2022-12"/>
    <x v="1"/>
    <x v="3"/>
    <s v="Q4"/>
    <n v="0.46409842678499397"/>
    <n v="708.28571428571433"/>
  </r>
  <r>
    <x v="272"/>
    <n v="6184"/>
    <n v="50"/>
    <n v="14"/>
    <x v="0"/>
    <x v="0"/>
    <x v="3"/>
    <d v="2022-03-08T00:00:00"/>
    <x v="402"/>
    <x v="6"/>
    <s v="Cleveland"/>
    <s v="2022-03"/>
    <x v="6"/>
    <x v="3"/>
    <s v="Q1"/>
    <n v="8.0853816300129368E-3"/>
    <n v="441.71428571428572"/>
  </r>
  <r>
    <x v="272"/>
    <n v="6184"/>
    <n v="50"/>
    <n v="14"/>
    <x v="0"/>
    <x v="0"/>
    <x v="3"/>
    <d v="2022-12-08T00:00:00"/>
    <x v="403"/>
    <x v="0"/>
    <s v="Tampa"/>
    <s v="2022-12"/>
    <x v="1"/>
    <x v="3"/>
    <s v="Q4"/>
    <n v="8.0853816300129368E-3"/>
    <n v="441.71428571428572"/>
  </r>
  <r>
    <x v="272"/>
    <n v="4548"/>
    <n v="2135"/>
    <n v="8"/>
    <x v="1"/>
    <x v="6"/>
    <x v="1"/>
    <d v="2022-03-08T00:00:00"/>
    <x v="402"/>
    <x v="6"/>
    <s v="Cleveland"/>
    <s v="2022-03"/>
    <x v="6"/>
    <x v="3"/>
    <s v="Q1"/>
    <n v="0.46943711521547932"/>
    <n v="568.5"/>
  </r>
  <r>
    <x v="272"/>
    <n v="4548"/>
    <n v="2135"/>
    <n v="8"/>
    <x v="1"/>
    <x v="6"/>
    <x v="1"/>
    <d v="2022-12-08T00:00:00"/>
    <x v="403"/>
    <x v="0"/>
    <s v="Tampa"/>
    <s v="2022-12"/>
    <x v="1"/>
    <x v="3"/>
    <s v="Q4"/>
    <n v="0.46943711521547932"/>
    <n v="568.5"/>
  </r>
  <r>
    <x v="273"/>
    <n v="7195"/>
    <n v="1665"/>
    <n v="7"/>
    <x v="1"/>
    <x v="6"/>
    <x v="4"/>
    <d v="2024-07-27T00:00:00"/>
    <x v="404"/>
    <x v="2"/>
    <s v="Rochester"/>
    <s v="2024-07"/>
    <x v="2"/>
    <x v="1"/>
    <s v="Q3"/>
    <n v="0.231410701876303"/>
    <n v="1027.8571428571429"/>
  </r>
  <r>
    <x v="273"/>
    <n v="7195"/>
    <n v="1665"/>
    <n v="7"/>
    <x v="1"/>
    <x v="6"/>
    <x v="4"/>
    <d v="2022-07-05T00:00:00"/>
    <x v="405"/>
    <x v="2"/>
    <s v="Buffalo"/>
    <s v="2022-07"/>
    <x v="2"/>
    <x v="3"/>
    <s v="Q3"/>
    <n v="0.231410701876303"/>
    <n v="1027.8571428571429"/>
  </r>
  <r>
    <x v="274"/>
    <n v="3098"/>
    <n v="957"/>
    <n v="18"/>
    <x v="2"/>
    <x v="11"/>
    <x v="4"/>
    <d v="2024-07-04T00:00:00"/>
    <x v="406"/>
    <x v="5"/>
    <s v="Austin"/>
    <s v="2024-07"/>
    <x v="2"/>
    <x v="1"/>
    <s v="Q3"/>
    <n v="0.30890897353131053"/>
    <n v="172.11111111111111"/>
  </r>
  <r>
    <x v="275"/>
    <n v="5412"/>
    <n v="1192"/>
    <n v="18"/>
    <x v="2"/>
    <x v="4"/>
    <x v="3"/>
    <d v="2024-02-28T00:00:00"/>
    <x v="407"/>
    <x v="3"/>
    <s v="San Diego"/>
    <s v="2024-02"/>
    <x v="7"/>
    <x v="1"/>
    <s v="Q1"/>
    <n v="0.22025129342202512"/>
    <n v="300.66666666666669"/>
  </r>
  <r>
    <x v="275"/>
    <n v="5412"/>
    <n v="1192"/>
    <n v="18"/>
    <x v="2"/>
    <x v="4"/>
    <x v="3"/>
    <d v="2025-01-03T00:00:00"/>
    <x v="408"/>
    <x v="3"/>
    <s v="Los Angeles"/>
    <s v="2025-01"/>
    <x v="8"/>
    <x v="5"/>
    <s v="Q1"/>
    <n v="0.22025129342202512"/>
    <n v="300.66666666666669"/>
  </r>
  <r>
    <x v="276"/>
    <n v="1397"/>
    <n v="686"/>
    <n v="11"/>
    <x v="2"/>
    <x v="5"/>
    <x v="3"/>
    <d v="2021-12-07T00:00:00"/>
    <x v="409"/>
    <x v="2"/>
    <s v="New York City"/>
    <s v="2021-12"/>
    <x v="1"/>
    <x v="2"/>
    <s v="Q4"/>
    <n v="0.49105225483178239"/>
    <n v="127"/>
  </r>
  <r>
    <x v="277"/>
    <n v="9279"/>
    <n v="552"/>
    <n v="14"/>
    <x v="2"/>
    <x v="5"/>
    <x v="2"/>
    <d v="2021-12-14T00:00:00"/>
    <x v="410"/>
    <x v="2"/>
    <s v="Buffalo"/>
    <s v="2021-12"/>
    <x v="1"/>
    <x v="2"/>
    <s v="Q4"/>
    <n v="5.948916909149693E-2"/>
    <n v="662.78571428571433"/>
  </r>
  <r>
    <x v="277"/>
    <n v="9279"/>
    <n v="552"/>
    <n v="14"/>
    <x v="2"/>
    <x v="5"/>
    <x v="2"/>
    <d v="2020-11-30T00:00:00"/>
    <x v="411"/>
    <x v="3"/>
    <s v="San Francisco"/>
    <s v="2020-11"/>
    <x v="5"/>
    <x v="4"/>
    <s v="Q4"/>
    <n v="5.948916909149693E-2"/>
    <n v="662.78571428571433"/>
  </r>
  <r>
    <x v="277"/>
    <n v="2596"/>
    <n v="1003"/>
    <n v="19"/>
    <x v="1"/>
    <x v="8"/>
    <x v="3"/>
    <d v="2021-12-14T00:00:00"/>
    <x v="410"/>
    <x v="2"/>
    <s v="Buffalo"/>
    <s v="2021-12"/>
    <x v="1"/>
    <x v="2"/>
    <s v="Q4"/>
    <n v="0.38636363636363635"/>
    <n v="136.63157894736841"/>
  </r>
  <r>
    <x v="277"/>
    <n v="2596"/>
    <n v="1003"/>
    <n v="19"/>
    <x v="1"/>
    <x v="8"/>
    <x v="3"/>
    <d v="2020-11-30T00:00:00"/>
    <x v="411"/>
    <x v="3"/>
    <s v="San Francisco"/>
    <s v="2020-11"/>
    <x v="5"/>
    <x v="4"/>
    <s v="Q4"/>
    <n v="0.38636363636363635"/>
    <n v="136.63157894736841"/>
  </r>
  <r>
    <x v="278"/>
    <n v="6732"/>
    <n v="911"/>
    <n v="19"/>
    <x v="2"/>
    <x v="11"/>
    <x v="2"/>
    <d v="2021-12-29T00:00:00"/>
    <x v="412"/>
    <x v="2"/>
    <s v="Buffalo"/>
    <s v="2021-12"/>
    <x v="1"/>
    <x v="2"/>
    <s v="Q4"/>
    <n v="0.13532382650029709"/>
    <n v="354.31578947368422"/>
  </r>
  <r>
    <x v="278"/>
    <n v="4495"/>
    <n v="1408"/>
    <n v="14"/>
    <x v="1"/>
    <x v="2"/>
    <x v="2"/>
    <d v="2021-12-29T00:00:00"/>
    <x v="412"/>
    <x v="2"/>
    <s v="Buffalo"/>
    <s v="2021-12"/>
    <x v="1"/>
    <x v="2"/>
    <s v="Q4"/>
    <n v="0.3132369299221357"/>
    <n v="321.07142857142856"/>
  </r>
  <r>
    <x v="279"/>
    <n v="9653"/>
    <n v="2471"/>
    <n v="6"/>
    <x v="1"/>
    <x v="8"/>
    <x v="0"/>
    <d v="2024-07-08T00:00:00"/>
    <x v="413"/>
    <x v="2"/>
    <s v="Buffalo"/>
    <s v="2024-07"/>
    <x v="2"/>
    <x v="1"/>
    <s v="Q3"/>
    <n v="0.25598259608411894"/>
    <n v="1608.8333333333333"/>
  </r>
  <r>
    <x v="280"/>
    <n v="8945"/>
    <n v="1728"/>
    <n v="10"/>
    <x v="2"/>
    <x v="4"/>
    <x v="0"/>
    <d v="2021-02-10T00:00:00"/>
    <x v="414"/>
    <x v="1"/>
    <s v="Peoria"/>
    <s v="2021-02"/>
    <x v="7"/>
    <x v="2"/>
    <s v="Q1"/>
    <n v="0.19318054779206262"/>
    <n v="894.5"/>
  </r>
  <r>
    <x v="281"/>
    <n v="4007"/>
    <n v="201"/>
    <n v="13"/>
    <x v="2"/>
    <x v="11"/>
    <x v="4"/>
    <d v="2020-10-21T00:00:00"/>
    <x v="415"/>
    <x v="6"/>
    <s v="Columbus"/>
    <s v="2020-10"/>
    <x v="4"/>
    <x v="4"/>
    <s v="Q4"/>
    <n v="5.0162216121786875E-2"/>
    <n v="308.23076923076923"/>
  </r>
  <r>
    <x v="281"/>
    <n v="4007"/>
    <n v="201"/>
    <n v="13"/>
    <x v="2"/>
    <x v="11"/>
    <x v="4"/>
    <d v="2023-04-17T00:00:00"/>
    <x v="416"/>
    <x v="5"/>
    <s v="Dallas"/>
    <s v="2023-04"/>
    <x v="11"/>
    <x v="0"/>
    <s v="Q2"/>
    <n v="5.0162216121786875E-2"/>
    <n v="308.23076923076923"/>
  </r>
  <r>
    <x v="282"/>
    <n v="810"/>
    <n v="231"/>
    <n v="18"/>
    <x v="2"/>
    <x v="11"/>
    <x v="2"/>
    <d v="2020-10-21T00:00:00"/>
    <x v="417"/>
    <x v="0"/>
    <s v="Tampa"/>
    <s v="2020-10"/>
    <x v="4"/>
    <x v="4"/>
    <s v="Q4"/>
    <n v="0.28518518518518521"/>
    <n v="45"/>
  </r>
  <r>
    <x v="283"/>
    <n v="9789"/>
    <n v="2071"/>
    <n v="18"/>
    <x v="2"/>
    <x v="11"/>
    <x v="1"/>
    <d v="2023-12-28T00:00:00"/>
    <x v="418"/>
    <x v="2"/>
    <s v="Rochester"/>
    <s v="2023-12"/>
    <x v="1"/>
    <x v="0"/>
    <s v="Q4"/>
    <n v="0.21156400040862192"/>
    <n v="543.83333333333337"/>
  </r>
  <r>
    <x v="283"/>
    <n v="9229"/>
    <n v="4090"/>
    <n v="8"/>
    <x v="0"/>
    <x v="0"/>
    <x v="4"/>
    <d v="2023-12-28T00:00:00"/>
    <x v="418"/>
    <x v="2"/>
    <s v="Rochester"/>
    <s v="2023-12"/>
    <x v="1"/>
    <x v="0"/>
    <s v="Q4"/>
    <n v="0.44316827391916785"/>
    <n v="1153.625"/>
  </r>
  <r>
    <x v="284"/>
    <n v="8141"/>
    <n v="3968"/>
    <n v="18"/>
    <x v="1"/>
    <x v="6"/>
    <x v="1"/>
    <d v="2022-12-23T00:00:00"/>
    <x v="419"/>
    <x v="2"/>
    <s v="Rochester"/>
    <s v="2022-12"/>
    <x v="1"/>
    <x v="3"/>
    <s v="Q4"/>
    <n v="0.4874094091634934"/>
    <n v="452.27777777777777"/>
  </r>
  <r>
    <x v="284"/>
    <n v="8141"/>
    <n v="3968"/>
    <n v="18"/>
    <x v="1"/>
    <x v="6"/>
    <x v="1"/>
    <d v="2022-08-10T00:00:00"/>
    <x v="420"/>
    <x v="1"/>
    <s v="Peoria"/>
    <s v="2022-08"/>
    <x v="9"/>
    <x v="3"/>
    <s v="Q3"/>
    <n v="0.4874094091634934"/>
    <n v="452.27777777777777"/>
  </r>
  <r>
    <x v="284"/>
    <n v="1067"/>
    <n v="251"/>
    <n v="14"/>
    <x v="2"/>
    <x v="7"/>
    <x v="2"/>
    <d v="2022-12-23T00:00:00"/>
    <x v="419"/>
    <x v="2"/>
    <s v="Rochester"/>
    <s v="2022-12"/>
    <x v="1"/>
    <x v="3"/>
    <s v="Q4"/>
    <n v="0.23523898781630739"/>
    <n v="76.214285714285708"/>
  </r>
  <r>
    <x v="284"/>
    <n v="1067"/>
    <n v="251"/>
    <n v="14"/>
    <x v="2"/>
    <x v="7"/>
    <x v="2"/>
    <d v="2022-08-10T00:00:00"/>
    <x v="420"/>
    <x v="1"/>
    <s v="Peoria"/>
    <s v="2022-08"/>
    <x v="9"/>
    <x v="3"/>
    <s v="Q3"/>
    <n v="0.23523898781630739"/>
    <n v="76.214285714285708"/>
  </r>
  <r>
    <x v="285"/>
    <n v="3839"/>
    <n v="1415"/>
    <n v="10"/>
    <x v="1"/>
    <x v="9"/>
    <x v="0"/>
    <d v="2023-10-17T00:00:00"/>
    <x v="421"/>
    <x v="3"/>
    <s v="Los Angeles"/>
    <s v="2023-10"/>
    <x v="4"/>
    <x v="0"/>
    <s v="Q4"/>
    <n v="0.36858556915863505"/>
    <n v="383.9"/>
  </r>
  <r>
    <x v="285"/>
    <n v="3839"/>
    <n v="1415"/>
    <n v="10"/>
    <x v="1"/>
    <x v="9"/>
    <x v="0"/>
    <d v="2022-02-28T00:00:00"/>
    <x v="422"/>
    <x v="0"/>
    <s v="Orlando"/>
    <s v="2022-02"/>
    <x v="7"/>
    <x v="3"/>
    <s v="Q1"/>
    <n v="0.36858556915863505"/>
    <n v="383.9"/>
  </r>
  <r>
    <x v="286"/>
    <n v="2858"/>
    <n v="482"/>
    <n v="13"/>
    <x v="0"/>
    <x v="0"/>
    <x v="4"/>
    <d v="2024-05-24T00:00:00"/>
    <x v="423"/>
    <x v="5"/>
    <s v="Austin"/>
    <s v="2024-05"/>
    <x v="3"/>
    <x v="1"/>
    <s v="Q2"/>
    <n v="0.16864940517844645"/>
    <n v="219.84615384615384"/>
  </r>
  <r>
    <x v="287"/>
    <n v="2137"/>
    <n v="638"/>
    <n v="12"/>
    <x v="2"/>
    <x v="11"/>
    <x v="1"/>
    <d v="2020-10-02T00:00:00"/>
    <x v="424"/>
    <x v="2"/>
    <s v="New York City"/>
    <s v="2020-10"/>
    <x v="4"/>
    <x v="4"/>
    <s v="Q4"/>
    <n v="0.29854936827328032"/>
    <n v="178.08333333333334"/>
  </r>
  <r>
    <x v="287"/>
    <n v="2831"/>
    <n v="1289"/>
    <n v="12"/>
    <x v="2"/>
    <x v="5"/>
    <x v="1"/>
    <d v="2020-10-02T00:00:00"/>
    <x v="424"/>
    <x v="2"/>
    <s v="New York City"/>
    <s v="2020-10"/>
    <x v="4"/>
    <x v="4"/>
    <s v="Q4"/>
    <n v="0.45531614270575771"/>
    <n v="235.91666666666666"/>
  </r>
  <r>
    <x v="288"/>
    <n v="3913"/>
    <n v="961"/>
    <n v="15"/>
    <x v="2"/>
    <x v="7"/>
    <x v="0"/>
    <d v="2024-02-10T00:00:00"/>
    <x v="425"/>
    <x v="6"/>
    <s v="Columbus"/>
    <s v="2024-02"/>
    <x v="7"/>
    <x v="1"/>
    <s v="Q1"/>
    <n v="0.24559161768464094"/>
    <n v="260.86666666666667"/>
  </r>
  <r>
    <x v="288"/>
    <n v="3913"/>
    <n v="961"/>
    <n v="15"/>
    <x v="2"/>
    <x v="7"/>
    <x v="0"/>
    <d v="2021-02-06T00:00:00"/>
    <x v="426"/>
    <x v="3"/>
    <s v="San Francisco"/>
    <s v="2021-02"/>
    <x v="7"/>
    <x v="2"/>
    <s v="Q1"/>
    <n v="0.24559161768464094"/>
    <n v="260.86666666666667"/>
  </r>
  <r>
    <x v="289"/>
    <n v="4468"/>
    <n v="1940"/>
    <n v="9"/>
    <x v="1"/>
    <x v="8"/>
    <x v="4"/>
    <d v="2022-03-16T00:00:00"/>
    <x v="427"/>
    <x v="0"/>
    <s v="Tampa"/>
    <s v="2022-03"/>
    <x v="6"/>
    <x v="3"/>
    <s v="Q1"/>
    <n v="0.43419874664279318"/>
    <n v="496.44444444444446"/>
  </r>
  <r>
    <x v="290"/>
    <n v="1579"/>
    <n v="602"/>
    <n v="9"/>
    <x v="0"/>
    <x v="3"/>
    <x v="3"/>
    <d v="2020-05-24T00:00:00"/>
    <x v="428"/>
    <x v="6"/>
    <s v="Cincinnati"/>
    <s v="2020-05"/>
    <x v="3"/>
    <x v="4"/>
    <s v="Q2"/>
    <n v="0.38125395820139329"/>
    <n v="175.44444444444446"/>
  </r>
  <r>
    <x v="290"/>
    <n v="1579"/>
    <n v="602"/>
    <n v="9"/>
    <x v="0"/>
    <x v="3"/>
    <x v="3"/>
    <d v="2025-02-16T00:00:00"/>
    <x v="429"/>
    <x v="5"/>
    <s v="Dallas"/>
    <s v="2025-02"/>
    <x v="7"/>
    <x v="5"/>
    <s v="Q1"/>
    <n v="0.38125395820139329"/>
    <n v="175.44444444444446"/>
  </r>
  <r>
    <x v="290"/>
    <n v="1579"/>
    <n v="602"/>
    <n v="9"/>
    <x v="0"/>
    <x v="3"/>
    <x v="3"/>
    <d v="2021-11-16T00:00:00"/>
    <x v="430"/>
    <x v="6"/>
    <s v="Cincinnati"/>
    <s v="2021-11"/>
    <x v="5"/>
    <x v="2"/>
    <s v="Q4"/>
    <n v="0.38125395820139329"/>
    <n v="175.44444444444446"/>
  </r>
  <r>
    <x v="290"/>
    <n v="1579"/>
    <n v="602"/>
    <n v="9"/>
    <x v="0"/>
    <x v="3"/>
    <x v="3"/>
    <d v="2024-09-08T00:00:00"/>
    <x v="431"/>
    <x v="2"/>
    <s v="Rochester"/>
    <s v="2024-09"/>
    <x v="10"/>
    <x v="1"/>
    <s v="Q3"/>
    <n v="0.38125395820139329"/>
    <n v="175.44444444444446"/>
  </r>
  <r>
    <x v="290"/>
    <n v="3760"/>
    <n v="1849"/>
    <n v="19"/>
    <x v="2"/>
    <x v="5"/>
    <x v="2"/>
    <d v="2020-05-24T00:00:00"/>
    <x v="428"/>
    <x v="6"/>
    <s v="Cincinnati"/>
    <s v="2020-05"/>
    <x v="3"/>
    <x v="4"/>
    <s v="Q2"/>
    <n v="0.49175531914893617"/>
    <n v="197.89473684210526"/>
  </r>
  <r>
    <x v="290"/>
    <n v="3760"/>
    <n v="1849"/>
    <n v="19"/>
    <x v="2"/>
    <x v="5"/>
    <x v="2"/>
    <d v="2025-02-16T00:00:00"/>
    <x v="429"/>
    <x v="5"/>
    <s v="Dallas"/>
    <s v="2025-02"/>
    <x v="7"/>
    <x v="5"/>
    <s v="Q1"/>
    <n v="0.49175531914893617"/>
    <n v="197.89473684210526"/>
  </r>
  <r>
    <x v="290"/>
    <n v="3760"/>
    <n v="1849"/>
    <n v="19"/>
    <x v="2"/>
    <x v="5"/>
    <x v="2"/>
    <d v="2021-11-16T00:00:00"/>
    <x v="430"/>
    <x v="6"/>
    <s v="Cincinnati"/>
    <s v="2021-11"/>
    <x v="5"/>
    <x v="2"/>
    <s v="Q4"/>
    <n v="0.49175531914893617"/>
    <n v="197.89473684210526"/>
  </r>
  <r>
    <x v="290"/>
    <n v="3760"/>
    <n v="1849"/>
    <n v="19"/>
    <x v="2"/>
    <x v="5"/>
    <x v="2"/>
    <d v="2024-09-08T00:00:00"/>
    <x v="431"/>
    <x v="2"/>
    <s v="Rochester"/>
    <s v="2024-09"/>
    <x v="10"/>
    <x v="1"/>
    <s v="Q3"/>
    <n v="0.49175531914893617"/>
    <n v="197.89473684210526"/>
  </r>
  <r>
    <x v="291"/>
    <n v="8706"/>
    <n v="3099"/>
    <n v="14"/>
    <x v="1"/>
    <x v="2"/>
    <x v="3"/>
    <d v="2022-06-29T00:00:00"/>
    <x v="432"/>
    <x v="1"/>
    <s v="Chicago"/>
    <s v="2022-06"/>
    <x v="0"/>
    <x v="3"/>
    <s v="Q2"/>
    <n v="0.35596140592694692"/>
    <n v="621.85714285714289"/>
  </r>
  <r>
    <x v="291"/>
    <n v="4708"/>
    <n v="696"/>
    <n v="14"/>
    <x v="0"/>
    <x v="0"/>
    <x v="3"/>
    <d v="2022-06-29T00:00:00"/>
    <x v="432"/>
    <x v="1"/>
    <s v="Chicago"/>
    <s v="2022-06"/>
    <x v="0"/>
    <x v="3"/>
    <s v="Q2"/>
    <n v="0.14783347493627869"/>
    <n v="336.28571428571428"/>
  </r>
  <r>
    <x v="291"/>
    <n v="8089"/>
    <n v="3132"/>
    <n v="17"/>
    <x v="2"/>
    <x v="5"/>
    <x v="4"/>
    <d v="2022-06-29T00:00:00"/>
    <x v="432"/>
    <x v="1"/>
    <s v="Chicago"/>
    <s v="2022-06"/>
    <x v="0"/>
    <x v="3"/>
    <s v="Q2"/>
    <n v="0.38719248361973052"/>
    <n v="475.8235294117647"/>
  </r>
  <r>
    <x v="292"/>
    <n v="5462"/>
    <n v="673"/>
    <n v="12"/>
    <x v="0"/>
    <x v="1"/>
    <x v="1"/>
    <d v="2022-11-03T00:00:00"/>
    <x v="433"/>
    <x v="5"/>
    <s v="Austin"/>
    <s v="2022-11"/>
    <x v="5"/>
    <x v="3"/>
    <s v="Q4"/>
    <n v="0.12321493958257049"/>
    <n v="455.16666666666669"/>
  </r>
  <r>
    <x v="293"/>
    <n v="6392"/>
    <n v="444"/>
    <n v="18"/>
    <x v="0"/>
    <x v="0"/>
    <x v="3"/>
    <d v="2023-11-28T00:00:00"/>
    <x v="434"/>
    <x v="0"/>
    <s v="Tampa"/>
    <s v="2023-11"/>
    <x v="5"/>
    <x v="0"/>
    <s v="Q4"/>
    <n v="6.9461827284105132E-2"/>
    <n v="355.11111111111109"/>
  </r>
  <r>
    <x v="294"/>
    <n v="8706"/>
    <n v="1724"/>
    <n v="3"/>
    <x v="0"/>
    <x v="0"/>
    <x v="1"/>
    <d v="2020-04-25T00:00:00"/>
    <x v="435"/>
    <x v="0"/>
    <s v="Orlando"/>
    <s v="2020-04"/>
    <x v="11"/>
    <x v="4"/>
    <s v="Q2"/>
    <n v="0.1980243510222835"/>
    <n v="2902"/>
  </r>
  <r>
    <x v="295"/>
    <n v="2349"/>
    <n v="319"/>
    <n v="4"/>
    <x v="1"/>
    <x v="2"/>
    <x v="0"/>
    <d v="2022-01-18T00:00:00"/>
    <x v="436"/>
    <x v="0"/>
    <s v="Miami"/>
    <s v="2022-01"/>
    <x v="8"/>
    <x v="3"/>
    <s v="Q1"/>
    <n v="0.13580246913580246"/>
    <n v="587.25"/>
  </r>
  <r>
    <x v="295"/>
    <n v="8220"/>
    <n v="3882"/>
    <n v="14"/>
    <x v="2"/>
    <x v="5"/>
    <x v="0"/>
    <d v="2022-01-18T00:00:00"/>
    <x v="436"/>
    <x v="0"/>
    <s v="Miami"/>
    <s v="2022-01"/>
    <x v="8"/>
    <x v="3"/>
    <s v="Q1"/>
    <n v="0.47226277372262776"/>
    <n v="587.14285714285711"/>
  </r>
  <r>
    <x v="295"/>
    <n v="2379"/>
    <n v="279"/>
    <n v="7"/>
    <x v="2"/>
    <x v="5"/>
    <x v="1"/>
    <d v="2022-01-18T00:00:00"/>
    <x v="436"/>
    <x v="0"/>
    <s v="Miami"/>
    <s v="2022-01"/>
    <x v="8"/>
    <x v="3"/>
    <s v="Q1"/>
    <n v="0.11727616645649433"/>
    <n v="339.85714285714283"/>
  </r>
  <r>
    <x v="295"/>
    <n v="7377"/>
    <n v="2049"/>
    <n v="4"/>
    <x v="1"/>
    <x v="6"/>
    <x v="0"/>
    <d v="2022-01-18T00:00:00"/>
    <x v="436"/>
    <x v="0"/>
    <s v="Miami"/>
    <s v="2022-01"/>
    <x v="8"/>
    <x v="3"/>
    <s v="Q1"/>
    <n v="0.27775518503456692"/>
    <n v="1844.25"/>
  </r>
  <r>
    <x v="296"/>
    <n v="717"/>
    <n v="158"/>
    <n v="16"/>
    <x v="2"/>
    <x v="4"/>
    <x v="3"/>
    <d v="2022-03-23T00:00:00"/>
    <x v="437"/>
    <x v="6"/>
    <s v="Cleveland"/>
    <s v="2022-03"/>
    <x v="6"/>
    <x v="3"/>
    <s v="Q1"/>
    <n v="0.2203626220362622"/>
    <n v="44.8125"/>
  </r>
  <r>
    <x v="296"/>
    <n v="717"/>
    <n v="158"/>
    <n v="16"/>
    <x v="2"/>
    <x v="4"/>
    <x v="3"/>
    <d v="2020-06-24T00:00:00"/>
    <x v="438"/>
    <x v="0"/>
    <s v="Miami"/>
    <s v="2020-06"/>
    <x v="0"/>
    <x v="4"/>
    <s v="Q2"/>
    <n v="0.2203626220362622"/>
    <n v="44.8125"/>
  </r>
  <r>
    <x v="296"/>
    <n v="717"/>
    <n v="158"/>
    <n v="16"/>
    <x v="2"/>
    <x v="4"/>
    <x v="3"/>
    <d v="2022-12-23T00:00:00"/>
    <x v="439"/>
    <x v="2"/>
    <s v="Buffalo"/>
    <s v="2022-12"/>
    <x v="1"/>
    <x v="3"/>
    <s v="Q4"/>
    <n v="0.2203626220362622"/>
    <n v="44.8125"/>
  </r>
  <r>
    <x v="296"/>
    <n v="717"/>
    <n v="158"/>
    <n v="16"/>
    <x v="2"/>
    <x v="4"/>
    <x v="3"/>
    <d v="2024-11-24T00:00:00"/>
    <x v="440"/>
    <x v="2"/>
    <s v="New York City"/>
    <s v="2024-11"/>
    <x v="5"/>
    <x v="1"/>
    <s v="Q4"/>
    <n v="0.2203626220362622"/>
    <n v="44.8125"/>
  </r>
  <r>
    <x v="296"/>
    <n v="717"/>
    <n v="158"/>
    <n v="16"/>
    <x v="2"/>
    <x v="4"/>
    <x v="3"/>
    <d v="2020-11-06T00:00:00"/>
    <x v="441"/>
    <x v="0"/>
    <s v="Orlando"/>
    <s v="2020-11"/>
    <x v="5"/>
    <x v="4"/>
    <s v="Q4"/>
    <n v="0.2203626220362622"/>
    <n v="44.8125"/>
  </r>
  <r>
    <x v="296"/>
    <n v="717"/>
    <n v="158"/>
    <n v="16"/>
    <x v="2"/>
    <x v="4"/>
    <x v="3"/>
    <d v="2023-10-24T00:00:00"/>
    <x v="442"/>
    <x v="2"/>
    <s v="Rochester"/>
    <s v="2023-10"/>
    <x v="4"/>
    <x v="0"/>
    <s v="Q4"/>
    <n v="0.2203626220362622"/>
    <n v="44.8125"/>
  </r>
  <r>
    <x v="296"/>
    <n v="508"/>
    <n v="177"/>
    <n v="17"/>
    <x v="2"/>
    <x v="7"/>
    <x v="0"/>
    <d v="2022-03-23T00:00:00"/>
    <x v="437"/>
    <x v="6"/>
    <s v="Cleveland"/>
    <s v="2022-03"/>
    <x v="6"/>
    <x v="3"/>
    <s v="Q1"/>
    <n v="0.34842519685039369"/>
    <n v="29.882352941176471"/>
  </r>
  <r>
    <x v="296"/>
    <n v="508"/>
    <n v="177"/>
    <n v="17"/>
    <x v="2"/>
    <x v="7"/>
    <x v="0"/>
    <d v="2020-06-24T00:00:00"/>
    <x v="438"/>
    <x v="0"/>
    <s v="Miami"/>
    <s v="2020-06"/>
    <x v="0"/>
    <x v="4"/>
    <s v="Q2"/>
    <n v="0.34842519685039369"/>
    <n v="29.882352941176471"/>
  </r>
  <r>
    <x v="296"/>
    <n v="508"/>
    <n v="177"/>
    <n v="17"/>
    <x v="2"/>
    <x v="7"/>
    <x v="0"/>
    <d v="2022-12-23T00:00:00"/>
    <x v="439"/>
    <x v="2"/>
    <s v="Buffalo"/>
    <s v="2022-12"/>
    <x v="1"/>
    <x v="3"/>
    <s v="Q4"/>
    <n v="0.34842519685039369"/>
    <n v="29.882352941176471"/>
  </r>
  <r>
    <x v="296"/>
    <n v="508"/>
    <n v="177"/>
    <n v="17"/>
    <x v="2"/>
    <x v="7"/>
    <x v="0"/>
    <d v="2024-11-24T00:00:00"/>
    <x v="440"/>
    <x v="2"/>
    <s v="New York City"/>
    <s v="2024-11"/>
    <x v="5"/>
    <x v="1"/>
    <s v="Q4"/>
    <n v="0.34842519685039369"/>
    <n v="29.882352941176471"/>
  </r>
  <r>
    <x v="296"/>
    <n v="508"/>
    <n v="177"/>
    <n v="17"/>
    <x v="2"/>
    <x v="7"/>
    <x v="0"/>
    <d v="2020-11-06T00:00:00"/>
    <x v="441"/>
    <x v="0"/>
    <s v="Orlando"/>
    <s v="2020-11"/>
    <x v="5"/>
    <x v="4"/>
    <s v="Q4"/>
    <n v="0.34842519685039369"/>
    <n v="29.882352941176471"/>
  </r>
  <r>
    <x v="296"/>
    <n v="508"/>
    <n v="177"/>
    <n v="17"/>
    <x v="2"/>
    <x v="7"/>
    <x v="0"/>
    <d v="2023-10-24T00:00:00"/>
    <x v="442"/>
    <x v="2"/>
    <s v="Rochester"/>
    <s v="2023-10"/>
    <x v="4"/>
    <x v="0"/>
    <s v="Q4"/>
    <n v="0.34842519685039369"/>
    <n v="29.882352941176471"/>
  </r>
  <r>
    <x v="297"/>
    <n v="9382"/>
    <n v="1085"/>
    <n v="3"/>
    <x v="0"/>
    <x v="1"/>
    <x v="1"/>
    <d v="2023-07-18T00:00:00"/>
    <x v="443"/>
    <x v="1"/>
    <s v="Chicago"/>
    <s v="2023-07"/>
    <x v="2"/>
    <x v="0"/>
    <s v="Q3"/>
    <n v="0.11564698358558943"/>
    <n v="3127.3333333333335"/>
  </r>
  <r>
    <x v="297"/>
    <n v="9382"/>
    <n v="1085"/>
    <n v="3"/>
    <x v="0"/>
    <x v="1"/>
    <x v="1"/>
    <d v="2022-05-16T00:00:00"/>
    <x v="444"/>
    <x v="2"/>
    <s v="Rochester"/>
    <s v="2022-05"/>
    <x v="3"/>
    <x v="3"/>
    <s v="Q2"/>
    <n v="0.11564698358558943"/>
    <n v="3127.3333333333335"/>
  </r>
  <r>
    <x v="297"/>
    <n v="4936"/>
    <n v="576"/>
    <n v="19"/>
    <x v="2"/>
    <x v="4"/>
    <x v="4"/>
    <d v="2023-07-18T00:00:00"/>
    <x v="443"/>
    <x v="1"/>
    <s v="Chicago"/>
    <s v="2023-07"/>
    <x v="2"/>
    <x v="0"/>
    <s v="Q3"/>
    <n v="0.1166936790923825"/>
    <n v="259.78947368421052"/>
  </r>
  <r>
    <x v="297"/>
    <n v="4936"/>
    <n v="576"/>
    <n v="19"/>
    <x v="2"/>
    <x v="4"/>
    <x v="4"/>
    <d v="2022-05-16T00:00:00"/>
    <x v="444"/>
    <x v="2"/>
    <s v="Rochester"/>
    <s v="2022-05"/>
    <x v="3"/>
    <x v="3"/>
    <s v="Q2"/>
    <n v="0.1166936790923825"/>
    <n v="259.78947368421052"/>
  </r>
  <r>
    <x v="298"/>
    <n v="2663"/>
    <n v="64"/>
    <n v="19"/>
    <x v="2"/>
    <x v="7"/>
    <x v="4"/>
    <d v="2024-06-16T00:00:00"/>
    <x v="445"/>
    <x v="3"/>
    <s v="San Francisco"/>
    <s v="2024-06"/>
    <x v="0"/>
    <x v="1"/>
    <s v="Q2"/>
    <n v="2.403304543747653E-2"/>
    <n v="140.15789473684211"/>
  </r>
  <r>
    <x v="298"/>
    <n v="2663"/>
    <n v="64"/>
    <n v="19"/>
    <x v="2"/>
    <x v="7"/>
    <x v="4"/>
    <d v="2021-10-23T00:00:00"/>
    <x v="446"/>
    <x v="6"/>
    <s v="Cleveland"/>
    <s v="2021-10"/>
    <x v="4"/>
    <x v="2"/>
    <s v="Q4"/>
    <n v="2.403304543747653E-2"/>
    <n v="140.15789473684211"/>
  </r>
  <r>
    <x v="299"/>
    <n v="5151"/>
    <n v="1680"/>
    <n v="5"/>
    <x v="0"/>
    <x v="1"/>
    <x v="2"/>
    <d v="2022-10-22T00:00:00"/>
    <x v="447"/>
    <x v="5"/>
    <s v="Houston"/>
    <s v="2022-10"/>
    <x v="4"/>
    <x v="3"/>
    <s v="Q4"/>
    <n v="0.32615026208503201"/>
    <n v="1030.2"/>
  </r>
  <r>
    <x v="300"/>
    <n v="2514"/>
    <n v="95"/>
    <n v="8"/>
    <x v="1"/>
    <x v="2"/>
    <x v="0"/>
    <d v="2023-07-17T00:00:00"/>
    <x v="448"/>
    <x v="2"/>
    <s v="Rochester"/>
    <s v="2023-07"/>
    <x v="2"/>
    <x v="0"/>
    <s v="Q3"/>
    <n v="3.7788385043754973E-2"/>
    <n v="314.25"/>
  </r>
  <r>
    <x v="301"/>
    <n v="6129"/>
    <n v="2976"/>
    <n v="2"/>
    <x v="0"/>
    <x v="3"/>
    <x v="2"/>
    <d v="2025-02-24T00:00:00"/>
    <x v="449"/>
    <x v="2"/>
    <s v="New York City"/>
    <s v="2025-02"/>
    <x v="7"/>
    <x v="5"/>
    <s v="Q1"/>
    <n v="0.48556045031815959"/>
    <n v="3064.5"/>
  </r>
  <r>
    <x v="301"/>
    <n v="4395"/>
    <n v="1663"/>
    <n v="3"/>
    <x v="2"/>
    <x v="11"/>
    <x v="4"/>
    <d v="2025-02-24T00:00:00"/>
    <x v="449"/>
    <x v="2"/>
    <s v="New York City"/>
    <s v="2025-02"/>
    <x v="7"/>
    <x v="5"/>
    <s v="Q1"/>
    <n v="0.37838452787258248"/>
    <n v="1465"/>
  </r>
  <r>
    <x v="302"/>
    <n v="5393"/>
    <n v="2642"/>
    <n v="8"/>
    <x v="2"/>
    <x v="5"/>
    <x v="0"/>
    <d v="2021-03-07T00:00:00"/>
    <x v="450"/>
    <x v="6"/>
    <s v="Cincinnati"/>
    <s v="2021-03"/>
    <x v="6"/>
    <x v="2"/>
    <s v="Q1"/>
    <n v="0.48989430743556461"/>
    <n v="674.125"/>
  </r>
  <r>
    <x v="303"/>
    <n v="2280"/>
    <n v="509"/>
    <n v="8"/>
    <x v="0"/>
    <x v="10"/>
    <x v="3"/>
    <d v="2021-01-03T00:00:00"/>
    <x v="451"/>
    <x v="2"/>
    <s v="Buffalo"/>
    <s v="2021-01"/>
    <x v="8"/>
    <x v="2"/>
    <s v="Q1"/>
    <n v="0.22324561403508772"/>
    <n v="285"/>
  </r>
  <r>
    <x v="304"/>
    <n v="6596"/>
    <n v="1439"/>
    <n v="9"/>
    <x v="1"/>
    <x v="8"/>
    <x v="1"/>
    <d v="2023-05-03T00:00:00"/>
    <x v="452"/>
    <x v="6"/>
    <s v="Cincinnati"/>
    <s v="2023-05"/>
    <x v="3"/>
    <x v="0"/>
    <s v="Q2"/>
    <n v="0.21816252274105519"/>
    <n v="732.88888888888891"/>
  </r>
  <r>
    <x v="305"/>
    <n v="4510"/>
    <n v="1896"/>
    <n v="5"/>
    <x v="1"/>
    <x v="8"/>
    <x v="2"/>
    <d v="2023-10-25T00:00:00"/>
    <x v="453"/>
    <x v="3"/>
    <s v="Los Angeles"/>
    <s v="2023-10"/>
    <x v="4"/>
    <x v="0"/>
    <s v="Q4"/>
    <n v="0.42039911308203992"/>
    <n v="902"/>
  </r>
  <r>
    <x v="306"/>
    <n v="6077"/>
    <n v="2378"/>
    <n v="18"/>
    <x v="0"/>
    <x v="10"/>
    <x v="4"/>
    <d v="2022-08-21T00:00:00"/>
    <x v="454"/>
    <x v="2"/>
    <s v="New York City"/>
    <s v="2022-08"/>
    <x v="9"/>
    <x v="3"/>
    <s v="Q3"/>
    <n v="0.39131150238604573"/>
    <n v="337.61111111111109"/>
  </r>
  <r>
    <x v="307"/>
    <n v="5379"/>
    <n v="2510"/>
    <n v="17"/>
    <x v="0"/>
    <x v="1"/>
    <x v="4"/>
    <d v="2022-04-16T00:00:00"/>
    <x v="455"/>
    <x v="6"/>
    <s v="Columbus"/>
    <s v="2022-04"/>
    <x v="11"/>
    <x v="3"/>
    <s v="Q2"/>
    <n v="0.466629485034393"/>
    <n v="316.41176470588238"/>
  </r>
  <r>
    <x v="308"/>
    <n v="4629"/>
    <n v="1660"/>
    <n v="16"/>
    <x v="1"/>
    <x v="6"/>
    <x v="2"/>
    <d v="2023-04-02T00:00:00"/>
    <x v="456"/>
    <x v="3"/>
    <s v="San Diego"/>
    <s v="2023-04"/>
    <x v="11"/>
    <x v="0"/>
    <s v="Q2"/>
    <n v="0.35860877079282782"/>
    <n v="289.3125"/>
  </r>
  <r>
    <x v="309"/>
    <n v="2710"/>
    <n v="555"/>
    <n v="20"/>
    <x v="0"/>
    <x v="3"/>
    <x v="1"/>
    <d v="2024-10-21T00:00:00"/>
    <x v="457"/>
    <x v="1"/>
    <s v="Chicago"/>
    <s v="2024-10"/>
    <x v="4"/>
    <x v="1"/>
    <s v="Q4"/>
    <n v="0.20479704797047971"/>
    <n v="135.5"/>
  </r>
  <r>
    <x v="309"/>
    <n v="3224"/>
    <n v="1018"/>
    <n v="14"/>
    <x v="1"/>
    <x v="9"/>
    <x v="0"/>
    <d v="2024-10-21T00:00:00"/>
    <x v="457"/>
    <x v="1"/>
    <s v="Chicago"/>
    <s v="2024-10"/>
    <x v="4"/>
    <x v="1"/>
    <s v="Q4"/>
    <n v="0.31575682382133996"/>
    <n v="230.28571428571428"/>
  </r>
  <r>
    <x v="310"/>
    <n v="8042"/>
    <n v="936"/>
    <n v="15"/>
    <x v="1"/>
    <x v="6"/>
    <x v="2"/>
    <d v="2021-07-09T00:00:00"/>
    <x v="458"/>
    <x v="1"/>
    <s v="Springfield"/>
    <s v="2021-07"/>
    <x v="2"/>
    <x v="2"/>
    <s v="Q3"/>
    <n v="0.11638895797065407"/>
    <n v="536.13333333333333"/>
  </r>
  <r>
    <x v="310"/>
    <n v="8042"/>
    <n v="936"/>
    <n v="15"/>
    <x v="1"/>
    <x v="6"/>
    <x v="2"/>
    <d v="2022-04-08T00:00:00"/>
    <x v="459"/>
    <x v="3"/>
    <s v="Los Angeles"/>
    <s v="2022-04"/>
    <x v="11"/>
    <x v="3"/>
    <s v="Q2"/>
    <n v="0.11638895797065407"/>
    <n v="536.13333333333333"/>
  </r>
  <r>
    <x v="311"/>
    <n v="3957"/>
    <n v="151"/>
    <n v="10"/>
    <x v="1"/>
    <x v="9"/>
    <x v="2"/>
    <d v="2022-04-30T00:00:00"/>
    <x v="460"/>
    <x v="5"/>
    <s v="Austin"/>
    <s v="2022-04"/>
    <x v="11"/>
    <x v="3"/>
    <s v="Q2"/>
    <n v="3.8160222390700028E-2"/>
    <n v="395.7"/>
  </r>
  <r>
    <x v="312"/>
    <n v="8769"/>
    <n v="3178"/>
    <n v="16"/>
    <x v="1"/>
    <x v="6"/>
    <x v="1"/>
    <d v="2023-01-20T00:00:00"/>
    <x v="461"/>
    <x v="1"/>
    <s v="Chicago"/>
    <s v="2023-01"/>
    <x v="8"/>
    <x v="0"/>
    <s v="Q1"/>
    <n v="0.36241304595734974"/>
    <n v="548.0625"/>
  </r>
  <r>
    <x v="313"/>
    <n v="2957"/>
    <n v="917"/>
    <n v="16"/>
    <x v="1"/>
    <x v="2"/>
    <x v="1"/>
    <d v="2024-11-17T00:00:00"/>
    <x v="462"/>
    <x v="1"/>
    <s v="Chicago"/>
    <s v="2024-11"/>
    <x v="5"/>
    <x v="1"/>
    <s v="Q4"/>
    <n v="0.31011159959418327"/>
    <n v="184.8125"/>
  </r>
  <r>
    <x v="314"/>
    <n v="5344"/>
    <n v="2607"/>
    <n v="6"/>
    <x v="1"/>
    <x v="8"/>
    <x v="1"/>
    <d v="2022-04-23T00:00:00"/>
    <x v="463"/>
    <x v="5"/>
    <s v="Dallas"/>
    <s v="2022-04"/>
    <x v="11"/>
    <x v="3"/>
    <s v="Q2"/>
    <n v="0.48783682634730541"/>
    <n v="890.66666666666663"/>
  </r>
  <r>
    <x v="314"/>
    <n v="5344"/>
    <n v="2607"/>
    <n v="6"/>
    <x v="1"/>
    <x v="8"/>
    <x v="1"/>
    <d v="2025-02-18T00:00:00"/>
    <x v="464"/>
    <x v="2"/>
    <s v="Rochester"/>
    <s v="2025-02"/>
    <x v="7"/>
    <x v="5"/>
    <s v="Q1"/>
    <n v="0.48783682634730541"/>
    <n v="890.66666666666663"/>
  </r>
  <r>
    <x v="315"/>
    <n v="6061"/>
    <n v="2121"/>
    <n v="19"/>
    <x v="0"/>
    <x v="3"/>
    <x v="2"/>
    <d v="2021-05-27T00:00:00"/>
    <x v="465"/>
    <x v="6"/>
    <s v="Cleveland"/>
    <s v="2021-05"/>
    <x v="3"/>
    <x v="2"/>
    <s v="Q2"/>
    <n v="0.34994225375350602"/>
    <n v="319"/>
  </r>
  <r>
    <x v="315"/>
    <n v="6061"/>
    <n v="2121"/>
    <n v="19"/>
    <x v="0"/>
    <x v="3"/>
    <x v="2"/>
    <d v="2022-01-17T00:00:00"/>
    <x v="466"/>
    <x v="3"/>
    <s v="San Diego"/>
    <s v="2022-01"/>
    <x v="8"/>
    <x v="3"/>
    <s v="Q1"/>
    <n v="0.34994225375350602"/>
    <n v="319"/>
  </r>
  <r>
    <x v="316"/>
    <n v="5376"/>
    <n v="1928"/>
    <n v="7"/>
    <x v="2"/>
    <x v="4"/>
    <x v="3"/>
    <d v="2025-01-15T00:00:00"/>
    <x v="467"/>
    <x v="2"/>
    <s v="New York City"/>
    <s v="2025-01"/>
    <x v="8"/>
    <x v="5"/>
    <s v="Q1"/>
    <n v="0.35863095238095238"/>
    <n v="768"/>
  </r>
  <r>
    <x v="317"/>
    <n v="2792"/>
    <n v="1008"/>
    <n v="8"/>
    <x v="0"/>
    <x v="1"/>
    <x v="4"/>
    <d v="2021-02-14T00:00:00"/>
    <x v="468"/>
    <x v="0"/>
    <s v="Miami"/>
    <s v="2021-02"/>
    <x v="7"/>
    <x v="2"/>
    <s v="Q1"/>
    <n v="0.36103151862464183"/>
    <n v="349"/>
  </r>
  <r>
    <x v="318"/>
    <n v="2944"/>
    <n v="249"/>
    <n v="5"/>
    <x v="1"/>
    <x v="9"/>
    <x v="3"/>
    <d v="2024-08-31T00:00:00"/>
    <x v="469"/>
    <x v="6"/>
    <s v="Columbus"/>
    <s v="2024-08"/>
    <x v="9"/>
    <x v="1"/>
    <s v="Q3"/>
    <n v="8.4578804347826081E-2"/>
    <n v="588.79999999999995"/>
  </r>
  <r>
    <x v="318"/>
    <n v="2944"/>
    <n v="249"/>
    <n v="5"/>
    <x v="1"/>
    <x v="9"/>
    <x v="3"/>
    <d v="2022-12-26T00:00:00"/>
    <x v="470"/>
    <x v="5"/>
    <s v="Dallas"/>
    <s v="2022-12"/>
    <x v="1"/>
    <x v="3"/>
    <s v="Q4"/>
    <n v="8.4578804347826081E-2"/>
    <n v="588.79999999999995"/>
  </r>
  <r>
    <x v="319"/>
    <n v="4220"/>
    <n v="945"/>
    <n v="13"/>
    <x v="1"/>
    <x v="6"/>
    <x v="2"/>
    <d v="2024-03-21T00:00:00"/>
    <x v="471"/>
    <x v="1"/>
    <s v="Springfield"/>
    <s v="2024-03"/>
    <x v="6"/>
    <x v="1"/>
    <s v="Q1"/>
    <n v="0.22393364928909953"/>
    <n v="324.61538461538464"/>
  </r>
  <r>
    <x v="319"/>
    <n v="4220"/>
    <n v="945"/>
    <n v="13"/>
    <x v="1"/>
    <x v="6"/>
    <x v="2"/>
    <d v="2020-12-15T00:00:00"/>
    <x v="472"/>
    <x v="1"/>
    <s v="Peoria"/>
    <s v="2020-12"/>
    <x v="1"/>
    <x v="4"/>
    <s v="Q4"/>
    <n v="0.22393364928909953"/>
    <n v="324.61538461538464"/>
  </r>
  <r>
    <x v="320"/>
    <n v="8526"/>
    <n v="1704"/>
    <n v="4"/>
    <x v="1"/>
    <x v="9"/>
    <x v="1"/>
    <d v="2023-03-21T00:00:00"/>
    <x v="473"/>
    <x v="5"/>
    <s v="Austin"/>
    <s v="2023-03"/>
    <x v="6"/>
    <x v="0"/>
    <s v="Q1"/>
    <n v="0.19985925404644617"/>
    <n v="2131.5"/>
  </r>
  <r>
    <x v="321"/>
    <n v="8218"/>
    <n v="1430"/>
    <n v="19"/>
    <x v="2"/>
    <x v="11"/>
    <x v="3"/>
    <d v="2023-06-08T00:00:00"/>
    <x v="474"/>
    <x v="3"/>
    <s v="San Francisco"/>
    <s v="2023-06"/>
    <x v="0"/>
    <x v="0"/>
    <s v="Q2"/>
    <n v="0.17400827451934778"/>
    <n v="432.5263157894737"/>
  </r>
  <r>
    <x v="322"/>
    <n v="599"/>
    <n v="265"/>
    <n v="4"/>
    <x v="0"/>
    <x v="10"/>
    <x v="3"/>
    <d v="2022-07-17T00:00:00"/>
    <x v="475"/>
    <x v="2"/>
    <s v="Buffalo"/>
    <s v="2022-07"/>
    <x v="2"/>
    <x v="3"/>
    <s v="Q3"/>
    <n v="0.44240400667779634"/>
    <n v="149.75"/>
  </r>
  <r>
    <x v="322"/>
    <n v="599"/>
    <n v="265"/>
    <n v="4"/>
    <x v="0"/>
    <x v="10"/>
    <x v="3"/>
    <d v="2024-12-05T00:00:00"/>
    <x v="476"/>
    <x v="2"/>
    <s v="Rochester"/>
    <s v="2024-12"/>
    <x v="1"/>
    <x v="1"/>
    <s v="Q4"/>
    <n v="0.44240400667779634"/>
    <n v="149.75"/>
  </r>
  <r>
    <x v="322"/>
    <n v="2727"/>
    <n v="543"/>
    <n v="10"/>
    <x v="2"/>
    <x v="11"/>
    <x v="3"/>
    <d v="2022-07-17T00:00:00"/>
    <x v="475"/>
    <x v="2"/>
    <s v="Buffalo"/>
    <s v="2022-07"/>
    <x v="2"/>
    <x v="3"/>
    <s v="Q3"/>
    <n v="0.19911991199119913"/>
    <n v="272.7"/>
  </r>
  <r>
    <x v="322"/>
    <n v="2727"/>
    <n v="543"/>
    <n v="10"/>
    <x v="2"/>
    <x v="11"/>
    <x v="3"/>
    <d v="2024-12-05T00:00:00"/>
    <x v="476"/>
    <x v="2"/>
    <s v="Rochester"/>
    <s v="2024-12"/>
    <x v="1"/>
    <x v="1"/>
    <s v="Q4"/>
    <n v="0.19911991199119913"/>
    <n v="272.7"/>
  </r>
  <r>
    <x v="323"/>
    <n v="2589"/>
    <n v="605"/>
    <n v="11"/>
    <x v="1"/>
    <x v="2"/>
    <x v="2"/>
    <d v="2023-11-02T00:00:00"/>
    <x v="477"/>
    <x v="3"/>
    <s v="San Francisco"/>
    <s v="2023-11"/>
    <x v="5"/>
    <x v="0"/>
    <s v="Q4"/>
    <n v="0.23368095789880264"/>
    <n v="235.36363636363637"/>
  </r>
  <r>
    <x v="323"/>
    <n v="2589"/>
    <n v="605"/>
    <n v="11"/>
    <x v="1"/>
    <x v="2"/>
    <x v="2"/>
    <d v="2024-10-05T00:00:00"/>
    <x v="478"/>
    <x v="6"/>
    <s v="Cleveland"/>
    <s v="2024-10"/>
    <x v="4"/>
    <x v="1"/>
    <s v="Q4"/>
    <n v="0.23368095789880264"/>
    <n v="235.36363636363637"/>
  </r>
  <r>
    <x v="324"/>
    <n v="3776"/>
    <n v="1100"/>
    <n v="9"/>
    <x v="0"/>
    <x v="0"/>
    <x v="2"/>
    <d v="2022-11-13T00:00:00"/>
    <x v="479"/>
    <x v="5"/>
    <s v="Austin"/>
    <s v="2022-11"/>
    <x v="5"/>
    <x v="3"/>
    <s v="Q4"/>
    <n v="0.2913135593220339"/>
    <n v="419.55555555555554"/>
  </r>
  <r>
    <x v="324"/>
    <n v="3776"/>
    <n v="1100"/>
    <n v="9"/>
    <x v="0"/>
    <x v="0"/>
    <x v="2"/>
    <d v="2022-12-28T00:00:00"/>
    <x v="480"/>
    <x v="1"/>
    <s v="Peoria"/>
    <s v="2022-12"/>
    <x v="1"/>
    <x v="3"/>
    <s v="Q4"/>
    <n v="0.2913135593220339"/>
    <n v="419.55555555555554"/>
  </r>
  <r>
    <x v="325"/>
    <n v="5402"/>
    <n v="1666"/>
    <n v="12"/>
    <x v="2"/>
    <x v="11"/>
    <x v="2"/>
    <d v="2025-02-26T00:00:00"/>
    <x v="481"/>
    <x v="6"/>
    <s v="Cleveland"/>
    <s v="2025-02"/>
    <x v="7"/>
    <x v="5"/>
    <s v="Q1"/>
    <n v="0.30840429470566455"/>
    <n v="450.16666666666669"/>
  </r>
  <r>
    <x v="326"/>
    <n v="5165"/>
    <n v="885"/>
    <n v="16"/>
    <x v="1"/>
    <x v="2"/>
    <x v="2"/>
    <d v="2022-11-12T00:00:00"/>
    <x v="482"/>
    <x v="1"/>
    <s v="Peoria"/>
    <s v="2022-11"/>
    <x v="5"/>
    <x v="3"/>
    <s v="Q4"/>
    <n v="0.17134559535333979"/>
    <n v="322.8125"/>
  </r>
  <r>
    <x v="326"/>
    <n v="4863"/>
    <n v="2394"/>
    <n v="4"/>
    <x v="2"/>
    <x v="11"/>
    <x v="2"/>
    <d v="2022-11-12T00:00:00"/>
    <x v="482"/>
    <x v="1"/>
    <s v="Peoria"/>
    <s v="2022-11"/>
    <x v="5"/>
    <x v="3"/>
    <s v="Q4"/>
    <n v="0.49228871067242441"/>
    <n v="1215.75"/>
  </r>
  <r>
    <x v="327"/>
    <n v="1626"/>
    <n v="258"/>
    <n v="15"/>
    <x v="1"/>
    <x v="2"/>
    <x v="2"/>
    <d v="2021-06-07T00:00:00"/>
    <x v="483"/>
    <x v="0"/>
    <s v="Orlando"/>
    <s v="2021-06"/>
    <x v="0"/>
    <x v="2"/>
    <s v="Q2"/>
    <n v="0.15867158671586715"/>
    <n v="108.4"/>
  </r>
  <r>
    <x v="328"/>
    <n v="8851"/>
    <n v="3962"/>
    <n v="7"/>
    <x v="2"/>
    <x v="4"/>
    <x v="2"/>
    <d v="2020-09-26T00:00:00"/>
    <x v="484"/>
    <x v="0"/>
    <s v="Miami"/>
    <s v="2020-09"/>
    <x v="10"/>
    <x v="4"/>
    <s v="Q3"/>
    <n v="0.44763303581516212"/>
    <n v="1264.4285714285713"/>
  </r>
  <r>
    <x v="329"/>
    <n v="9680"/>
    <n v="3295"/>
    <n v="9"/>
    <x v="2"/>
    <x v="4"/>
    <x v="4"/>
    <d v="2024-04-29T00:00:00"/>
    <x v="485"/>
    <x v="2"/>
    <s v="Rochester"/>
    <s v="2024-04"/>
    <x v="11"/>
    <x v="1"/>
    <s v="Q2"/>
    <n v="0.34039256198347106"/>
    <n v="1075.5555555555557"/>
  </r>
  <r>
    <x v="329"/>
    <n v="8468"/>
    <n v="3666"/>
    <n v="8"/>
    <x v="1"/>
    <x v="2"/>
    <x v="0"/>
    <d v="2024-04-29T00:00:00"/>
    <x v="485"/>
    <x v="2"/>
    <s v="Rochester"/>
    <s v="2024-04"/>
    <x v="11"/>
    <x v="1"/>
    <s v="Q2"/>
    <n v="0.43292394898441189"/>
    <n v="1058.5"/>
  </r>
  <r>
    <x v="329"/>
    <n v="4441"/>
    <n v="314"/>
    <n v="14"/>
    <x v="2"/>
    <x v="5"/>
    <x v="1"/>
    <d v="2024-04-29T00:00:00"/>
    <x v="485"/>
    <x v="2"/>
    <s v="Rochester"/>
    <s v="2024-04"/>
    <x v="11"/>
    <x v="1"/>
    <s v="Q2"/>
    <n v="7.0704796217068225E-2"/>
    <n v="317.21428571428572"/>
  </r>
  <r>
    <x v="330"/>
    <n v="6622"/>
    <n v="2673"/>
    <n v="8"/>
    <x v="2"/>
    <x v="7"/>
    <x v="4"/>
    <d v="2024-04-10T00:00:00"/>
    <x v="486"/>
    <x v="2"/>
    <s v="New York City"/>
    <s v="2024-04"/>
    <x v="11"/>
    <x v="1"/>
    <s v="Q2"/>
    <n v="0.40365448504983387"/>
    <n v="827.75"/>
  </r>
  <r>
    <x v="331"/>
    <n v="3260"/>
    <n v="207"/>
    <n v="17"/>
    <x v="2"/>
    <x v="4"/>
    <x v="0"/>
    <d v="2023-12-21T00:00:00"/>
    <x v="487"/>
    <x v="3"/>
    <s v="San Diego"/>
    <s v="2023-12"/>
    <x v="1"/>
    <x v="0"/>
    <s v="Q4"/>
    <n v="6.3496932515337418E-2"/>
    <n v="191.76470588235293"/>
  </r>
  <r>
    <x v="332"/>
    <n v="8709"/>
    <n v="2322"/>
    <n v="8"/>
    <x v="2"/>
    <x v="4"/>
    <x v="1"/>
    <d v="2024-05-02T00:00:00"/>
    <x v="488"/>
    <x v="5"/>
    <s v="Austin"/>
    <s v="2024-05"/>
    <x v="3"/>
    <x v="1"/>
    <s v="Q2"/>
    <n v="0.26662073716844642"/>
    <n v="1088.625"/>
  </r>
  <r>
    <x v="332"/>
    <n v="8709"/>
    <n v="2322"/>
    <n v="8"/>
    <x v="2"/>
    <x v="4"/>
    <x v="1"/>
    <d v="2024-11-21T00:00:00"/>
    <x v="489"/>
    <x v="3"/>
    <s v="San Francisco"/>
    <s v="2024-11"/>
    <x v="5"/>
    <x v="1"/>
    <s v="Q4"/>
    <n v="0.26662073716844642"/>
    <n v="1088.625"/>
  </r>
  <r>
    <x v="333"/>
    <n v="5250"/>
    <n v="187"/>
    <n v="1"/>
    <x v="1"/>
    <x v="9"/>
    <x v="4"/>
    <d v="2022-03-17T00:00:00"/>
    <x v="490"/>
    <x v="6"/>
    <s v="Cincinnati"/>
    <s v="2022-03"/>
    <x v="6"/>
    <x v="3"/>
    <s v="Q1"/>
    <n v="3.561904761904762E-2"/>
    <n v="5250"/>
  </r>
  <r>
    <x v="333"/>
    <n v="5250"/>
    <n v="187"/>
    <n v="1"/>
    <x v="1"/>
    <x v="9"/>
    <x v="4"/>
    <d v="2023-05-14T00:00:00"/>
    <x v="491"/>
    <x v="5"/>
    <s v="Houston"/>
    <s v="2023-05"/>
    <x v="3"/>
    <x v="0"/>
    <s v="Q2"/>
    <n v="3.561904761904762E-2"/>
    <n v="5250"/>
  </r>
  <r>
    <x v="334"/>
    <n v="4116"/>
    <n v="921"/>
    <n v="20"/>
    <x v="1"/>
    <x v="8"/>
    <x v="0"/>
    <d v="2024-10-07T00:00:00"/>
    <x v="492"/>
    <x v="3"/>
    <s v="Los Angeles"/>
    <s v="2024-10"/>
    <x v="4"/>
    <x v="1"/>
    <s v="Q4"/>
    <n v="0.22376093294460642"/>
    <n v="205.8"/>
  </r>
  <r>
    <x v="334"/>
    <n v="4116"/>
    <n v="921"/>
    <n v="20"/>
    <x v="1"/>
    <x v="8"/>
    <x v="0"/>
    <d v="2020-09-08T00:00:00"/>
    <x v="493"/>
    <x v="1"/>
    <s v="Springfield"/>
    <s v="2020-09"/>
    <x v="10"/>
    <x v="4"/>
    <s v="Q3"/>
    <n v="0.22376093294460642"/>
    <n v="205.8"/>
  </r>
  <r>
    <x v="335"/>
    <n v="1109"/>
    <n v="418"/>
    <n v="15"/>
    <x v="1"/>
    <x v="8"/>
    <x v="0"/>
    <d v="2021-08-19T00:00:00"/>
    <x v="494"/>
    <x v="3"/>
    <s v="Los Angeles"/>
    <s v="2021-08"/>
    <x v="9"/>
    <x v="2"/>
    <s v="Q3"/>
    <n v="0.37691614066726781"/>
    <n v="73.933333333333337"/>
  </r>
  <r>
    <x v="336"/>
    <n v="3573"/>
    <n v="562"/>
    <n v="7"/>
    <x v="1"/>
    <x v="2"/>
    <x v="2"/>
    <d v="2022-10-12T00:00:00"/>
    <x v="201"/>
    <x v="2"/>
    <s v="Rochester"/>
    <s v="2022-10"/>
    <x v="4"/>
    <x v="3"/>
    <s v="Q4"/>
    <n v="0.15729079205149735"/>
    <n v="510.42857142857144"/>
  </r>
  <r>
    <x v="336"/>
    <n v="3573"/>
    <n v="562"/>
    <n v="7"/>
    <x v="1"/>
    <x v="2"/>
    <x v="2"/>
    <d v="2020-05-23T00:00:00"/>
    <x v="495"/>
    <x v="3"/>
    <s v="San Diego"/>
    <s v="2020-05"/>
    <x v="3"/>
    <x v="4"/>
    <s v="Q2"/>
    <n v="0.15729079205149735"/>
    <n v="510.42857142857144"/>
  </r>
  <r>
    <x v="336"/>
    <n v="3573"/>
    <n v="562"/>
    <n v="7"/>
    <x v="1"/>
    <x v="2"/>
    <x v="2"/>
    <d v="2020-04-18T00:00:00"/>
    <x v="496"/>
    <x v="0"/>
    <s v="Tampa"/>
    <s v="2020-04"/>
    <x v="11"/>
    <x v="4"/>
    <s v="Q2"/>
    <n v="0.15729079205149735"/>
    <n v="510.42857142857144"/>
  </r>
  <r>
    <x v="336"/>
    <n v="8055"/>
    <n v="661"/>
    <n v="10"/>
    <x v="0"/>
    <x v="10"/>
    <x v="2"/>
    <d v="2022-10-12T00:00:00"/>
    <x v="201"/>
    <x v="2"/>
    <s v="Rochester"/>
    <s v="2022-10"/>
    <x v="4"/>
    <x v="3"/>
    <s v="Q4"/>
    <n v="8.2060831781502169E-2"/>
    <n v="805.5"/>
  </r>
  <r>
    <x v="336"/>
    <n v="8055"/>
    <n v="661"/>
    <n v="10"/>
    <x v="0"/>
    <x v="10"/>
    <x v="2"/>
    <d v="2020-05-23T00:00:00"/>
    <x v="495"/>
    <x v="3"/>
    <s v="San Diego"/>
    <s v="2020-05"/>
    <x v="3"/>
    <x v="4"/>
    <s v="Q2"/>
    <n v="8.2060831781502169E-2"/>
    <n v="805.5"/>
  </r>
  <r>
    <x v="336"/>
    <n v="8055"/>
    <n v="661"/>
    <n v="10"/>
    <x v="0"/>
    <x v="10"/>
    <x v="2"/>
    <d v="2020-04-18T00:00:00"/>
    <x v="496"/>
    <x v="0"/>
    <s v="Tampa"/>
    <s v="2020-04"/>
    <x v="11"/>
    <x v="4"/>
    <s v="Q2"/>
    <n v="8.2060831781502169E-2"/>
    <n v="805.5"/>
  </r>
  <r>
    <x v="337"/>
    <n v="6829"/>
    <n v="2609"/>
    <n v="2"/>
    <x v="0"/>
    <x v="3"/>
    <x v="2"/>
    <d v="2022-06-04T00:00:00"/>
    <x v="497"/>
    <x v="3"/>
    <s v="San Francisco"/>
    <s v="2022-06"/>
    <x v="0"/>
    <x v="3"/>
    <s v="Q2"/>
    <n v="0.38204715185239418"/>
    <n v="3414.5"/>
  </r>
  <r>
    <x v="337"/>
    <n v="6390"/>
    <n v="3089"/>
    <n v="12"/>
    <x v="1"/>
    <x v="8"/>
    <x v="4"/>
    <d v="2022-06-04T00:00:00"/>
    <x v="497"/>
    <x v="3"/>
    <s v="San Francisco"/>
    <s v="2022-06"/>
    <x v="0"/>
    <x v="3"/>
    <s v="Q2"/>
    <n v="0.4834115805946792"/>
    <n v="532.5"/>
  </r>
  <r>
    <x v="338"/>
    <n v="5831"/>
    <n v="1574"/>
    <n v="17"/>
    <x v="1"/>
    <x v="2"/>
    <x v="1"/>
    <d v="2022-11-16T00:00:00"/>
    <x v="498"/>
    <x v="3"/>
    <s v="San Francisco"/>
    <s v="2022-11"/>
    <x v="5"/>
    <x v="3"/>
    <s v="Q4"/>
    <n v="0.26993654604699024"/>
    <n v="343"/>
  </r>
  <r>
    <x v="338"/>
    <n v="5831"/>
    <n v="1574"/>
    <n v="17"/>
    <x v="1"/>
    <x v="2"/>
    <x v="1"/>
    <d v="2024-07-18T00:00:00"/>
    <x v="499"/>
    <x v="3"/>
    <s v="San Diego"/>
    <s v="2024-07"/>
    <x v="2"/>
    <x v="1"/>
    <s v="Q3"/>
    <n v="0.26993654604699024"/>
    <n v="343"/>
  </r>
  <r>
    <x v="338"/>
    <n v="5831"/>
    <n v="1574"/>
    <n v="17"/>
    <x v="1"/>
    <x v="2"/>
    <x v="1"/>
    <d v="2023-07-16T00:00:00"/>
    <x v="500"/>
    <x v="0"/>
    <s v="Miami"/>
    <s v="2023-07"/>
    <x v="2"/>
    <x v="0"/>
    <s v="Q3"/>
    <n v="0.26993654604699024"/>
    <n v="343"/>
  </r>
  <r>
    <x v="339"/>
    <n v="7952"/>
    <n v="3865"/>
    <n v="8"/>
    <x v="2"/>
    <x v="7"/>
    <x v="1"/>
    <d v="2020-08-10T00:00:00"/>
    <x v="501"/>
    <x v="1"/>
    <s v="Peoria"/>
    <s v="2020-08"/>
    <x v="9"/>
    <x v="4"/>
    <s v="Q3"/>
    <n v="0.48604124748490946"/>
    <n v="994"/>
  </r>
  <r>
    <x v="340"/>
    <n v="3659"/>
    <n v="379"/>
    <n v="5"/>
    <x v="2"/>
    <x v="11"/>
    <x v="0"/>
    <d v="2024-06-22T00:00:00"/>
    <x v="502"/>
    <x v="3"/>
    <s v="Los Angeles"/>
    <s v="2024-06"/>
    <x v="0"/>
    <x v="1"/>
    <s v="Q2"/>
    <n v="0.10358021317299809"/>
    <n v="731.8"/>
  </r>
  <r>
    <x v="341"/>
    <n v="4183"/>
    <n v="1159"/>
    <n v="4"/>
    <x v="1"/>
    <x v="2"/>
    <x v="1"/>
    <d v="2020-07-13T00:00:00"/>
    <x v="503"/>
    <x v="1"/>
    <s v="Springfield"/>
    <s v="2020-07"/>
    <x v="2"/>
    <x v="4"/>
    <s v="Q3"/>
    <n v="0.27707387042792253"/>
    <n v="1045.75"/>
  </r>
  <r>
    <x v="342"/>
    <n v="7478"/>
    <n v="1381"/>
    <n v="11"/>
    <x v="0"/>
    <x v="10"/>
    <x v="2"/>
    <d v="2024-04-16T00:00:00"/>
    <x v="504"/>
    <x v="5"/>
    <s v="Houston"/>
    <s v="2024-04"/>
    <x v="11"/>
    <x v="1"/>
    <s v="Q2"/>
    <n v="0.18467504680395827"/>
    <n v="679.81818181818187"/>
  </r>
  <r>
    <x v="343"/>
    <n v="702"/>
    <n v="238"/>
    <n v="9"/>
    <x v="0"/>
    <x v="10"/>
    <x v="4"/>
    <d v="2021-03-13T00:00:00"/>
    <x v="505"/>
    <x v="0"/>
    <s v="Tampa"/>
    <s v="2021-03"/>
    <x v="6"/>
    <x v="2"/>
    <s v="Q1"/>
    <n v="0.33903133903133903"/>
    <n v="78"/>
  </r>
  <r>
    <x v="344"/>
    <n v="4037"/>
    <n v="1494"/>
    <n v="15"/>
    <x v="2"/>
    <x v="5"/>
    <x v="2"/>
    <d v="2023-04-01T00:00:00"/>
    <x v="506"/>
    <x v="3"/>
    <s v="San Francisco"/>
    <s v="2023-04"/>
    <x v="11"/>
    <x v="0"/>
    <s v="Q2"/>
    <n v="0.37007678969531832"/>
    <n v="269.13333333333333"/>
  </r>
  <r>
    <x v="345"/>
    <n v="5014"/>
    <n v="2332"/>
    <n v="2"/>
    <x v="2"/>
    <x v="5"/>
    <x v="4"/>
    <d v="2020-11-10T00:00:00"/>
    <x v="507"/>
    <x v="1"/>
    <s v="Chicago"/>
    <s v="2020-11"/>
    <x v="5"/>
    <x v="4"/>
    <s v="Q4"/>
    <n v="0.46509772636617469"/>
    <n v="2507"/>
  </r>
  <r>
    <x v="346"/>
    <n v="9879"/>
    <n v="4930"/>
    <n v="15"/>
    <x v="0"/>
    <x v="3"/>
    <x v="1"/>
    <d v="2023-06-08T00:00:00"/>
    <x v="508"/>
    <x v="2"/>
    <s v="Rochester"/>
    <s v="2023-06"/>
    <x v="0"/>
    <x v="0"/>
    <s v="Q2"/>
    <n v="0.49903836420690351"/>
    <n v="658.6"/>
  </r>
  <r>
    <x v="347"/>
    <n v="8762"/>
    <n v="3502"/>
    <n v="1"/>
    <x v="0"/>
    <x v="10"/>
    <x v="1"/>
    <d v="2021-08-17T00:00:00"/>
    <x v="509"/>
    <x v="0"/>
    <s v="Tampa"/>
    <s v="2021-08"/>
    <x v="9"/>
    <x v="2"/>
    <s v="Q3"/>
    <n v="0.39968043825610589"/>
    <n v="8762"/>
  </r>
  <r>
    <x v="348"/>
    <n v="8490"/>
    <n v="800"/>
    <n v="1"/>
    <x v="1"/>
    <x v="2"/>
    <x v="2"/>
    <d v="2020-05-24T00:00:00"/>
    <x v="510"/>
    <x v="2"/>
    <s v="New York City"/>
    <s v="2020-05"/>
    <x v="3"/>
    <x v="4"/>
    <s v="Q2"/>
    <n v="9.4228504122497059E-2"/>
    <n v="8490"/>
  </r>
  <r>
    <x v="349"/>
    <n v="6951"/>
    <n v="164"/>
    <n v="10"/>
    <x v="2"/>
    <x v="7"/>
    <x v="0"/>
    <d v="2021-08-12T00:00:00"/>
    <x v="511"/>
    <x v="2"/>
    <s v="Buffalo"/>
    <s v="2021-08"/>
    <x v="9"/>
    <x v="2"/>
    <s v="Q3"/>
    <n v="2.3593727521219968E-2"/>
    <n v="695.1"/>
  </r>
  <r>
    <x v="350"/>
    <n v="1078"/>
    <n v="309"/>
    <n v="3"/>
    <x v="0"/>
    <x v="10"/>
    <x v="3"/>
    <d v="2022-09-03T00:00:00"/>
    <x v="512"/>
    <x v="6"/>
    <s v="Cleveland"/>
    <s v="2022-09"/>
    <x v="10"/>
    <x v="3"/>
    <s v="Q3"/>
    <n v="0.28664192949907236"/>
    <n v="359.33333333333331"/>
  </r>
  <r>
    <x v="350"/>
    <n v="1078"/>
    <n v="309"/>
    <n v="3"/>
    <x v="0"/>
    <x v="10"/>
    <x v="3"/>
    <d v="2020-10-01T00:00:00"/>
    <x v="513"/>
    <x v="1"/>
    <s v="Chicago"/>
    <s v="2020-10"/>
    <x v="4"/>
    <x v="4"/>
    <s v="Q4"/>
    <n v="0.28664192949907236"/>
    <n v="359.33333333333331"/>
  </r>
  <r>
    <x v="351"/>
    <n v="8560"/>
    <n v="2166"/>
    <n v="19"/>
    <x v="1"/>
    <x v="9"/>
    <x v="2"/>
    <d v="2022-05-27T00:00:00"/>
    <x v="514"/>
    <x v="0"/>
    <s v="Tampa"/>
    <s v="2022-05"/>
    <x v="3"/>
    <x v="3"/>
    <s v="Q2"/>
    <n v="0.25303738317757007"/>
    <n v="450.5263157894737"/>
  </r>
  <r>
    <x v="351"/>
    <n v="1031"/>
    <n v="318"/>
    <n v="20"/>
    <x v="0"/>
    <x v="0"/>
    <x v="0"/>
    <d v="2022-05-27T00:00:00"/>
    <x v="514"/>
    <x v="0"/>
    <s v="Tampa"/>
    <s v="2022-05"/>
    <x v="3"/>
    <x v="3"/>
    <s v="Q2"/>
    <n v="0.30843840931134819"/>
    <n v="51.55"/>
  </r>
  <r>
    <x v="352"/>
    <n v="6402"/>
    <n v="2770"/>
    <n v="19"/>
    <x v="1"/>
    <x v="6"/>
    <x v="1"/>
    <d v="2024-03-10T00:00:00"/>
    <x v="515"/>
    <x v="0"/>
    <s v="Orlando"/>
    <s v="2024-03"/>
    <x v="6"/>
    <x v="1"/>
    <s v="Q1"/>
    <n v="0.43267728834739144"/>
    <n v="336.94736842105266"/>
  </r>
  <r>
    <x v="352"/>
    <n v="6402"/>
    <n v="2770"/>
    <n v="19"/>
    <x v="1"/>
    <x v="6"/>
    <x v="1"/>
    <d v="2023-10-05T00:00:00"/>
    <x v="516"/>
    <x v="0"/>
    <s v="Orlando"/>
    <s v="2023-10"/>
    <x v="4"/>
    <x v="0"/>
    <s v="Q4"/>
    <n v="0.43267728834739144"/>
    <n v="336.94736842105266"/>
  </r>
  <r>
    <x v="352"/>
    <n v="5916"/>
    <n v="1594"/>
    <n v="19"/>
    <x v="0"/>
    <x v="1"/>
    <x v="1"/>
    <d v="2024-03-10T00:00:00"/>
    <x v="515"/>
    <x v="0"/>
    <s v="Orlando"/>
    <s v="2024-03"/>
    <x v="6"/>
    <x v="1"/>
    <s v="Q1"/>
    <n v="0.26943881000676134"/>
    <n v="311.36842105263156"/>
  </r>
  <r>
    <x v="352"/>
    <n v="5916"/>
    <n v="1594"/>
    <n v="19"/>
    <x v="0"/>
    <x v="1"/>
    <x v="1"/>
    <d v="2023-10-05T00:00:00"/>
    <x v="516"/>
    <x v="0"/>
    <s v="Orlando"/>
    <s v="2023-10"/>
    <x v="4"/>
    <x v="0"/>
    <s v="Q4"/>
    <n v="0.26943881000676134"/>
    <n v="311.36842105263156"/>
  </r>
  <r>
    <x v="353"/>
    <n v="4015"/>
    <n v="1751"/>
    <n v="15"/>
    <x v="2"/>
    <x v="5"/>
    <x v="1"/>
    <d v="2022-08-28T00:00:00"/>
    <x v="517"/>
    <x v="3"/>
    <s v="San Francisco"/>
    <s v="2022-08"/>
    <x v="9"/>
    <x v="3"/>
    <s v="Q3"/>
    <n v="0.4361145703611457"/>
    <n v="267.66666666666669"/>
  </r>
  <r>
    <x v="353"/>
    <n v="4015"/>
    <n v="1751"/>
    <n v="15"/>
    <x v="2"/>
    <x v="5"/>
    <x v="1"/>
    <d v="2020-09-08T00:00:00"/>
    <x v="518"/>
    <x v="2"/>
    <s v="New York City"/>
    <s v="2020-09"/>
    <x v="10"/>
    <x v="4"/>
    <s v="Q3"/>
    <n v="0.4361145703611457"/>
    <n v="267.66666666666669"/>
  </r>
  <r>
    <x v="354"/>
    <n v="9335"/>
    <n v="557"/>
    <n v="11"/>
    <x v="0"/>
    <x v="0"/>
    <x v="4"/>
    <d v="2021-04-27T00:00:00"/>
    <x v="519"/>
    <x v="3"/>
    <s v="Los Angeles"/>
    <s v="2021-04"/>
    <x v="11"/>
    <x v="2"/>
    <s v="Q2"/>
    <n v="5.966791644349223E-2"/>
    <n v="848.63636363636363"/>
  </r>
  <r>
    <x v="355"/>
    <n v="4706"/>
    <n v="594"/>
    <n v="11"/>
    <x v="1"/>
    <x v="9"/>
    <x v="4"/>
    <d v="2021-08-21T00:00:00"/>
    <x v="520"/>
    <x v="6"/>
    <s v="Cleveland"/>
    <s v="2021-08"/>
    <x v="9"/>
    <x v="2"/>
    <s v="Q3"/>
    <n v="0.12622184445388865"/>
    <n v="427.81818181818181"/>
  </r>
  <r>
    <x v="355"/>
    <n v="4706"/>
    <n v="594"/>
    <n v="11"/>
    <x v="1"/>
    <x v="9"/>
    <x v="4"/>
    <d v="2021-05-16T00:00:00"/>
    <x v="521"/>
    <x v="6"/>
    <s v="Columbus"/>
    <s v="2021-05"/>
    <x v="3"/>
    <x v="2"/>
    <s v="Q2"/>
    <n v="0.12622184445388865"/>
    <n v="427.81818181818181"/>
  </r>
  <r>
    <x v="355"/>
    <n v="6584"/>
    <n v="371"/>
    <n v="6"/>
    <x v="1"/>
    <x v="6"/>
    <x v="0"/>
    <d v="2021-08-21T00:00:00"/>
    <x v="520"/>
    <x v="6"/>
    <s v="Cleveland"/>
    <s v="2021-08"/>
    <x v="9"/>
    <x v="2"/>
    <s v="Q3"/>
    <n v="5.634872417982989E-2"/>
    <n v="1097.3333333333333"/>
  </r>
  <r>
    <x v="355"/>
    <n v="6584"/>
    <n v="371"/>
    <n v="6"/>
    <x v="1"/>
    <x v="6"/>
    <x v="0"/>
    <d v="2021-05-16T00:00:00"/>
    <x v="521"/>
    <x v="6"/>
    <s v="Columbus"/>
    <s v="2021-05"/>
    <x v="3"/>
    <x v="2"/>
    <s v="Q2"/>
    <n v="5.634872417982989E-2"/>
    <n v="1097.3333333333333"/>
  </r>
  <r>
    <x v="356"/>
    <n v="6389"/>
    <n v="734"/>
    <n v="1"/>
    <x v="2"/>
    <x v="7"/>
    <x v="2"/>
    <d v="2022-01-15T00:00:00"/>
    <x v="522"/>
    <x v="5"/>
    <s v="Dallas"/>
    <s v="2022-01"/>
    <x v="8"/>
    <x v="3"/>
    <s v="Q1"/>
    <n v="0.11488495852246047"/>
    <n v="6389"/>
  </r>
  <r>
    <x v="357"/>
    <n v="9869"/>
    <n v="4299"/>
    <n v="12"/>
    <x v="0"/>
    <x v="1"/>
    <x v="1"/>
    <d v="2023-03-21T00:00:00"/>
    <x v="523"/>
    <x v="3"/>
    <s v="San Diego"/>
    <s v="2023-03"/>
    <x v="6"/>
    <x v="0"/>
    <s v="Q1"/>
    <n v="0.43560644442192725"/>
    <n v="822.41666666666663"/>
  </r>
  <r>
    <x v="357"/>
    <n v="9869"/>
    <n v="4299"/>
    <n v="12"/>
    <x v="0"/>
    <x v="1"/>
    <x v="1"/>
    <d v="2023-12-28T00:00:00"/>
    <x v="524"/>
    <x v="2"/>
    <s v="Buffalo"/>
    <s v="2023-12"/>
    <x v="1"/>
    <x v="0"/>
    <s v="Q4"/>
    <n v="0.43560644442192725"/>
    <n v="822.41666666666663"/>
  </r>
  <r>
    <x v="358"/>
    <n v="655"/>
    <n v="297"/>
    <n v="4"/>
    <x v="1"/>
    <x v="6"/>
    <x v="1"/>
    <d v="2022-02-15T00:00:00"/>
    <x v="525"/>
    <x v="2"/>
    <s v="Buffalo"/>
    <s v="2022-02"/>
    <x v="7"/>
    <x v="3"/>
    <s v="Q1"/>
    <n v="0.45343511450381679"/>
    <n v="163.75"/>
  </r>
  <r>
    <x v="358"/>
    <n v="655"/>
    <n v="297"/>
    <n v="4"/>
    <x v="1"/>
    <x v="6"/>
    <x v="1"/>
    <d v="2023-11-30T00:00:00"/>
    <x v="526"/>
    <x v="0"/>
    <s v="Orlando"/>
    <s v="2023-11"/>
    <x v="5"/>
    <x v="0"/>
    <s v="Q4"/>
    <n v="0.45343511450381679"/>
    <n v="163.75"/>
  </r>
  <r>
    <x v="359"/>
    <n v="798"/>
    <n v="308"/>
    <n v="10"/>
    <x v="0"/>
    <x v="10"/>
    <x v="1"/>
    <d v="2023-01-12T00:00:00"/>
    <x v="527"/>
    <x v="2"/>
    <s v="Buffalo"/>
    <s v="2023-01"/>
    <x v="8"/>
    <x v="0"/>
    <s v="Q1"/>
    <n v="0.38596491228070173"/>
    <n v="79.8"/>
  </r>
  <r>
    <x v="359"/>
    <n v="798"/>
    <n v="308"/>
    <n v="10"/>
    <x v="0"/>
    <x v="10"/>
    <x v="1"/>
    <d v="2023-05-19T00:00:00"/>
    <x v="528"/>
    <x v="6"/>
    <s v="Cleveland"/>
    <s v="2023-05"/>
    <x v="3"/>
    <x v="0"/>
    <s v="Q2"/>
    <n v="0.38596491228070173"/>
    <n v="79.8"/>
  </r>
  <r>
    <x v="359"/>
    <n v="7967"/>
    <n v="2504"/>
    <n v="13"/>
    <x v="0"/>
    <x v="1"/>
    <x v="2"/>
    <d v="2023-01-12T00:00:00"/>
    <x v="527"/>
    <x v="2"/>
    <s v="Buffalo"/>
    <s v="2023-01"/>
    <x v="8"/>
    <x v="0"/>
    <s v="Q1"/>
    <n v="0.31429647295092256"/>
    <n v="612.84615384615381"/>
  </r>
  <r>
    <x v="359"/>
    <n v="7967"/>
    <n v="2504"/>
    <n v="13"/>
    <x v="0"/>
    <x v="1"/>
    <x v="2"/>
    <d v="2023-05-19T00:00:00"/>
    <x v="528"/>
    <x v="6"/>
    <s v="Cleveland"/>
    <s v="2023-05"/>
    <x v="3"/>
    <x v="0"/>
    <s v="Q2"/>
    <n v="0.31429647295092256"/>
    <n v="612.84615384615381"/>
  </r>
  <r>
    <x v="360"/>
    <n v="3756"/>
    <n v="1318"/>
    <n v="5"/>
    <x v="2"/>
    <x v="4"/>
    <x v="0"/>
    <d v="2024-02-19T00:00:00"/>
    <x v="529"/>
    <x v="0"/>
    <s v="Miami"/>
    <s v="2024-02"/>
    <x v="7"/>
    <x v="1"/>
    <s v="Q1"/>
    <n v="0.35090521831735888"/>
    <n v="751.2"/>
  </r>
  <r>
    <x v="361"/>
    <n v="5196"/>
    <n v="2477"/>
    <n v="1"/>
    <x v="1"/>
    <x v="6"/>
    <x v="0"/>
    <d v="2021-12-01T00:00:00"/>
    <x v="530"/>
    <x v="5"/>
    <s v="Austin"/>
    <s v="2021-12"/>
    <x v="1"/>
    <x v="2"/>
    <s v="Q4"/>
    <n v="0.47671285604311009"/>
    <n v="5196"/>
  </r>
  <r>
    <x v="361"/>
    <n v="6586"/>
    <n v="1794"/>
    <n v="19"/>
    <x v="2"/>
    <x v="11"/>
    <x v="1"/>
    <d v="2021-12-01T00:00:00"/>
    <x v="530"/>
    <x v="5"/>
    <s v="Austin"/>
    <s v="2021-12"/>
    <x v="1"/>
    <x v="2"/>
    <s v="Q4"/>
    <n v="0.27239599149711508"/>
    <n v="346.63157894736844"/>
  </r>
  <r>
    <x v="362"/>
    <n v="6673"/>
    <n v="950"/>
    <n v="19"/>
    <x v="1"/>
    <x v="6"/>
    <x v="2"/>
    <d v="2024-12-19T00:00:00"/>
    <x v="531"/>
    <x v="2"/>
    <s v="Buffalo"/>
    <s v="2024-12"/>
    <x v="1"/>
    <x v="1"/>
    <s v="Q4"/>
    <n v="0.14236475348419003"/>
    <n v="351.21052631578948"/>
  </r>
  <r>
    <x v="363"/>
    <n v="714"/>
    <n v="232"/>
    <n v="14"/>
    <x v="2"/>
    <x v="4"/>
    <x v="0"/>
    <d v="2023-01-18T00:00:00"/>
    <x v="532"/>
    <x v="6"/>
    <s v="Columbus"/>
    <s v="2023-01"/>
    <x v="8"/>
    <x v="0"/>
    <s v="Q1"/>
    <n v="0.32492997198879553"/>
    <n v="51"/>
  </r>
  <r>
    <x v="363"/>
    <n v="714"/>
    <n v="232"/>
    <n v="14"/>
    <x v="2"/>
    <x v="4"/>
    <x v="0"/>
    <d v="2020-12-23T00:00:00"/>
    <x v="533"/>
    <x v="5"/>
    <s v="Austin"/>
    <s v="2020-12"/>
    <x v="1"/>
    <x v="4"/>
    <s v="Q4"/>
    <n v="0.32492997198879553"/>
    <n v="51"/>
  </r>
  <r>
    <x v="364"/>
    <n v="1083"/>
    <n v="501"/>
    <n v="6"/>
    <x v="1"/>
    <x v="2"/>
    <x v="4"/>
    <d v="2021-02-28T00:00:00"/>
    <x v="534"/>
    <x v="5"/>
    <s v="Austin"/>
    <s v="2021-02"/>
    <x v="7"/>
    <x v="2"/>
    <s v="Q1"/>
    <n v="0.46260387811634351"/>
    <n v="180.5"/>
  </r>
  <r>
    <x v="365"/>
    <n v="2401"/>
    <n v="1163"/>
    <n v="10"/>
    <x v="2"/>
    <x v="11"/>
    <x v="0"/>
    <d v="2023-05-04T00:00:00"/>
    <x v="535"/>
    <x v="6"/>
    <s v="Cleveland"/>
    <s v="2023-05"/>
    <x v="3"/>
    <x v="0"/>
    <s v="Q2"/>
    <n v="0.48438150770512284"/>
    <n v="240.1"/>
  </r>
  <r>
    <x v="365"/>
    <n v="2401"/>
    <n v="1163"/>
    <n v="10"/>
    <x v="2"/>
    <x v="11"/>
    <x v="0"/>
    <d v="2020-04-22T00:00:00"/>
    <x v="536"/>
    <x v="3"/>
    <s v="Los Angeles"/>
    <s v="2020-04"/>
    <x v="11"/>
    <x v="4"/>
    <s v="Q2"/>
    <n v="0.48438150770512284"/>
    <n v="240.1"/>
  </r>
  <r>
    <x v="365"/>
    <n v="2401"/>
    <n v="1163"/>
    <n v="10"/>
    <x v="2"/>
    <x v="11"/>
    <x v="0"/>
    <d v="2021-08-13T00:00:00"/>
    <x v="537"/>
    <x v="2"/>
    <s v="Rochester"/>
    <s v="2021-08"/>
    <x v="9"/>
    <x v="2"/>
    <s v="Q3"/>
    <n v="0.48438150770512284"/>
    <n v="240.1"/>
  </r>
  <r>
    <x v="365"/>
    <n v="1045"/>
    <n v="267"/>
    <n v="11"/>
    <x v="0"/>
    <x v="10"/>
    <x v="1"/>
    <d v="2023-05-04T00:00:00"/>
    <x v="535"/>
    <x v="6"/>
    <s v="Cleveland"/>
    <s v="2023-05"/>
    <x v="3"/>
    <x v="0"/>
    <s v="Q2"/>
    <n v="0.25550239234449762"/>
    <n v="95"/>
  </r>
  <r>
    <x v="365"/>
    <n v="1045"/>
    <n v="267"/>
    <n v="11"/>
    <x v="0"/>
    <x v="10"/>
    <x v="1"/>
    <d v="2020-04-22T00:00:00"/>
    <x v="536"/>
    <x v="3"/>
    <s v="Los Angeles"/>
    <s v="2020-04"/>
    <x v="11"/>
    <x v="4"/>
    <s v="Q2"/>
    <n v="0.25550239234449762"/>
    <n v="95"/>
  </r>
  <r>
    <x v="365"/>
    <n v="1045"/>
    <n v="267"/>
    <n v="11"/>
    <x v="0"/>
    <x v="10"/>
    <x v="1"/>
    <d v="2021-08-13T00:00:00"/>
    <x v="537"/>
    <x v="2"/>
    <s v="Rochester"/>
    <s v="2021-08"/>
    <x v="9"/>
    <x v="2"/>
    <s v="Q3"/>
    <n v="0.25550239234449762"/>
    <n v="95"/>
  </r>
  <r>
    <x v="366"/>
    <n v="7806"/>
    <n v="1127"/>
    <n v="1"/>
    <x v="1"/>
    <x v="6"/>
    <x v="3"/>
    <d v="2023-07-20T00:00:00"/>
    <x v="538"/>
    <x v="5"/>
    <s v="Dallas"/>
    <s v="2023-07"/>
    <x v="2"/>
    <x v="0"/>
    <s v="Q3"/>
    <n v="0.14437612093261593"/>
    <n v="7806"/>
  </r>
  <r>
    <x v="367"/>
    <n v="5263"/>
    <n v="1743"/>
    <n v="19"/>
    <x v="2"/>
    <x v="7"/>
    <x v="3"/>
    <d v="2022-08-28T00:00:00"/>
    <x v="539"/>
    <x v="0"/>
    <s v="Miami"/>
    <s v="2022-08"/>
    <x v="9"/>
    <x v="3"/>
    <s v="Q3"/>
    <n v="0.33117993539806195"/>
    <n v="277"/>
  </r>
  <r>
    <x v="368"/>
    <n v="6147"/>
    <n v="2526"/>
    <n v="6"/>
    <x v="1"/>
    <x v="2"/>
    <x v="1"/>
    <d v="2023-03-14T00:00:00"/>
    <x v="540"/>
    <x v="5"/>
    <s v="Dallas"/>
    <s v="2023-03"/>
    <x v="6"/>
    <x v="0"/>
    <s v="Q1"/>
    <n v="0.41093216203025867"/>
    <n v="1024.5"/>
  </r>
  <r>
    <x v="369"/>
    <n v="7484"/>
    <n v="2871"/>
    <n v="15"/>
    <x v="0"/>
    <x v="10"/>
    <x v="0"/>
    <d v="2023-11-07T00:00:00"/>
    <x v="541"/>
    <x v="0"/>
    <s v="Orlando"/>
    <s v="2023-11"/>
    <x v="5"/>
    <x v="0"/>
    <s v="Q4"/>
    <n v="0.38361838588989844"/>
    <n v="498.93333333333334"/>
  </r>
  <r>
    <x v="369"/>
    <n v="7484"/>
    <n v="2871"/>
    <n v="15"/>
    <x v="0"/>
    <x v="10"/>
    <x v="0"/>
    <d v="2024-04-16T00:00:00"/>
    <x v="542"/>
    <x v="1"/>
    <s v="Chicago"/>
    <s v="2024-04"/>
    <x v="11"/>
    <x v="1"/>
    <s v="Q2"/>
    <n v="0.38361838588989844"/>
    <n v="498.93333333333334"/>
  </r>
  <r>
    <x v="369"/>
    <n v="7700"/>
    <n v="2712"/>
    <n v="1"/>
    <x v="2"/>
    <x v="7"/>
    <x v="3"/>
    <d v="2023-11-07T00:00:00"/>
    <x v="541"/>
    <x v="0"/>
    <s v="Orlando"/>
    <s v="2023-11"/>
    <x v="5"/>
    <x v="0"/>
    <s v="Q4"/>
    <n v="0.35220779220779219"/>
    <n v="7700"/>
  </r>
  <r>
    <x v="369"/>
    <n v="7700"/>
    <n v="2712"/>
    <n v="1"/>
    <x v="2"/>
    <x v="7"/>
    <x v="3"/>
    <d v="2024-04-16T00:00:00"/>
    <x v="542"/>
    <x v="1"/>
    <s v="Chicago"/>
    <s v="2024-04"/>
    <x v="11"/>
    <x v="1"/>
    <s v="Q2"/>
    <n v="0.35220779220779219"/>
    <n v="7700"/>
  </r>
  <r>
    <x v="370"/>
    <n v="8537"/>
    <n v="3586"/>
    <n v="13"/>
    <x v="1"/>
    <x v="6"/>
    <x v="0"/>
    <d v="2022-09-16T00:00:00"/>
    <x v="543"/>
    <x v="2"/>
    <s v="Rochester"/>
    <s v="2022-09"/>
    <x v="10"/>
    <x v="3"/>
    <s v="Q3"/>
    <n v="0.42005388309710673"/>
    <n v="656.69230769230774"/>
  </r>
  <r>
    <x v="371"/>
    <n v="8858"/>
    <n v="3394"/>
    <n v="6"/>
    <x v="2"/>
    <x v="5"/>
    <x v="4"/>
    <d v="2024-10-31T00:00:00"/>
    <x v="544"/>
    <x v="3"/>
    <s v="San Diego"/>
    <s v="2024-10"/>
    <x v="4"/>
    <x v="1"/>
    <s v="Q4"/>
    <n v="0.38315646872883269"/>
    <n v="1476.3333333333333"/>
  </r>
  <r>
    <x v="372"/>
    <n v="5313"/>
    <n v="2037"/>
    <n v="7"/>
    <x v="0"/>
    <x v="1"/>
    <x v="1"/>
    <d v="2024-11-25T00:00:00"/>
    <x v="545"/>
    <x v="3"/>
    <s v="San Francisco"/>
    <s v="2024-11"/>
    <x v="5"/>
    <x v="1"/>
    <s v="Q4"/>
    <n v="0.38339920948616601"/>
    <n v="759"/>
  </r>
  <r>
    <x v="372"/>
    <n v="5313"/>
    <n v="2037"/>
    <n v="7"/>
    <x v="0"/>
    <x v="1"/>
    <x v="1"/>
    <d v="2021-10-29T00:00:00"/>
    <x v="546"/>
    <x v="5"/>
    <s v="Houston"/>
    <s v="2021-10"/>
    <x v="4"/>
    <x v="2"/>
    <s v="Q4"/>
    <n v="0.38339920948616601"/>
    <n v="759"/>
  </r>
  <r>
    <x v="373"/>
    <n v="3281"/>
    <n v="471"/>
    <n v="7"/>
    <x v="2"/>
    <x v="7"/>
    <x v="2"/>
    <d v="2023-12-27T00:00:00"/>
    <x v="547"/>
    <x v="3"/>
    <s v="Los Angeles"/>
    <s v="2023-12"/>
    <x v="1"/>
    <x v="0"/>
    <s v="Q4"/>
    <n v="0.14355379457482476"/>
    <n v="468.71428571428572"/>
  </r>
  <r>
    <x v="373"/>
    <n v="3281"/>
    <n v="471"/>
    <n v="7"/>
    <x v="2"/>
    <x v="7"/>
    <x v="2"/>
    <d v="2023-06-25T00:00:00"/>
    <x v="548"/>
    <x v="1"/>
    <s v="Peoria"/>
    <s v="2023-06"/>
    <x v="0"/>
    <x v="0"/>
    <s v="Q2"/>
    <n v="0.14355379457482476"/>
    <n v="468.71428571428572"/>
  </r>
  <r>
    <x v="374"/>
    <n v="8681"/>
    <n v="2458"/>
    <n v="9"/>
    <x v="1"/>
    <x v="2"/>
    <x v="3"/>
    <d v="2020-09-01T00:00:00"/>
    <x v="549"/>
    <x v="2"/>
    <s v="New York City"/>
    <s v="2020-09"/>
    <x v="10"/>
    <x v="4"/>
    <s v="Q3"/>
    <n v="0.28314710286833317"/>
    <n v="964.55555555555554"/>
  </r>
  <r>
    <x v="375"/>
    <n v="6195"/>
    <n v="1556"/>
    <n v="18"/>
    <x v="2"/>
    <x v="7"/>
    <x v="2"/>
    <d v="2025-02-01T00:00:00"/>
    <x v="550"/>
    <x v="1"/>
    <s v="Springfield"/>
    <s v="2025-02"/>
    <x v="7"/>
    <x v="5"/>
    <s v="Q1"/>
    <n v="0.25117029862792573"/>
    <n v="344.16666666666669"/>
  </r>
  <r>
    <x v="376"/>
    <n v="3877"/>
    <n v="481"/>
    <n v="16"/>
    <x v="2"/>
    <x v="5"/>
    <x v="1"/>
    <d v="2023-07-22T00:00:00"/>
    <x v="551"/>
    <x v="2"/>
    <s v="Rochester"/>
    <s v="2023-07"/>
    <x v="2"/>
    <x v="0"/>
    <s v="Q3"/>
    <n v="0.12406499871034304"/>
    <n v="242.3125"/>
  </r>
  <r>
    <x v="376"/>
    <n v="3877"/>
    <n v="481"/>
    <n v="16"/>
    <x v="2"/>
    <x v="5"/>
    <x v="1"/>
    <d v="2022-02-04T00:00:00"/>
    <x v="552"/>
    <x v="2"/>
    <s v="New York City"/>
    <s v="2022-02"/>
    <x v="7"/>
    <x v="3"/>
    <s v="Q1"/>
    <n v="0.12406499871034304"/>
    <n v="242.3125"/>
  </r>
  <r>
    <x v="377"/>
    <n v="9369"/>
    <n v="3297"/>
    <n v="6"/>
    <x v="0"/>
    <x v="1"/>
    <x v="1"/>
    <d v="2023-09-27T00:00:00"/>
    <x v="553"/>
    <x v="0"/>
    <s v="Orlando"/>
    <s v="2023-09"/>
    <x v="10"/>
    <x v="0"/>
    <s v="Q3"/>
    <n v="0.35190521934037783"/>
    <n v="1561.5"/>
  </r>
  <r>
    <x v="377"/>
    <n v="9369"/>
    <n v="3297"/>
    <n v="6"/>
    <x v="0"/>
    <x v="1"/>
    <x v="1"/>
    <d v="2025-01-30T00:00:00"/>
    <x v="554"/>
    <x v="2"/>
    <s v="New York City"/>
    <s v="2025-01"/>
    <x v="8"/>
    <x v="5"/>
    <s v="Q1"/>
    <n v="0.35190521934037783"/>
    <n v="1561.5"/>
  </r>
  <r>
    <x v="377"/>
    <n v="8680"/>
    <n v="4068"/>
    <n v="20"/>
    <x v="0"/>
    <x v="1"/>
    <x v="3"/>
    <d v="2023-09-27T00:00:00"/>
    <x v="553"/>
    <x v="0"/>
    <s v="Orlando"/>
    <s v="2023-09"/>
    <x v="10"/>
    <x v="0"/>
    <s v="Q3"/>
    <n v="0.46866359447004607"/>
    <n v="434"/>
  </r>
  <r>
    <x v="377"/>
    <n v="8680"/>
    <n v="4068"/>
    <n v="20"/>
    <x v="0"/>
    <x v="1"/>
    <x v="3"/>
    <d v="2025-01-30T00:00:00"/>
    <x v="554"/>
    <x v="2"/>
    <s v="New York City"/>
    <s v="2025-01"/>
    <x v="8"/>
    <x v="5"/>
    <s v="Q1"/>
    <n v="0.46866359447004607"/>
    <n v="434"/>
  </r>
  <r>
    <x v="377"/>
    <n v="3067"/>
    <n v="1475"/>
    <n v="8"/>
    <x v="0"/>
    <x v="3"/>
    <x v="0"/>
    <d v="2023-09-27T00:00:00"/>
    <x v="553"/>
    <x v="0"/>
    <s v="Orlando"/>
    <s v="2023-09"/>
    <x v="10"/>
    <x v="0"/>
    <s v="Q3"/>
    <n v="0.48092598630583633"/>
    <n v="383.375"/>
  </r>
  <r>
    <x v="377"/>
    <n v="3067"/>
    <n v="1475"/>
    <n v="8"/>
    <x v="0"/>
    <x v="3"/>
    <x v="0"/>
    <d v="2025-01-30T00:00:00"/>
    <x v="554"/>
    <x v="2"/>
    <s v="New York City"/>
    <s v="2025-01"/>
    <x v="8"/>
    <x v="5"/>
    <s v="Q1"/>
    <n v="0.48092598630583633"/>
    <n v="383.375"/>
  </r>
  <r>
    <x v="378"/>
    <n v="9002"/>
    <n v="4197"/>
    <n v="2"/>
    <x v="1"/>
    <x v="6"/>
    <x v="2"/>
    <d v="2025-01-15T00:00:00"/>
    <x v="555"/>
    <x v="6"/>
    <s v="Cincinnati"/>
    <s v="2025-01"/>
    <x v="8"/>
    <x v="5"/>
    <s v="Q1"/>
    <n v="0.46622972672739393"/>
    <n v="4501"/>
  </r>
  <r>
    <x v="378"/>
    <n v="9002"/>
    <n v="4197"/>
    <n v="2"/>
    <x v="1"/>
    <x v="6"/>
    <x v="2"/>
    <d v="2021-03-28T00:00:00"/>
    <x v="556"/>
    <x v="6"/>
    <s v="Columbus"/>
    <s v="2021-03"/>
    <x v="6"/>
    <x v="2"/>
    <s v="Q1"/>
    <n v="0.46622972672739393"/>
    <n v="4501"/>
  </r>
  <r>
    <x v="379"/>
    <n v="7105"/>
    <n v="2782"/>
    <n v="19"/>
    <x v="1"/>
    <x v="2"/>
    <x v="4"/>
    <d v="2021-12-25T00:00:00"/>
    <x v="557"/>
    <x v="6"/>
    <s v="Columbus"/>
    <s v="2021-12"/>
    <x v="1"/>
    <x v="2"/>
    <s v="Q4"/>
    <n v="0.3915552427867699"/>
    <n v="373.94736842105266"/>
  </r>
  <r>
    <x v="380"/>
    <n v="5317"/>
    <n v="1345"/>
    <n v="18"/>
    <x v="2"/>
    <x v="5"/>
    <x v="1"/>
    <d v="2023-02-03T00:00:00"/>
    <x v="558"/>
    <x v="6"/>
    <s v="Columbus"/>
    <s v="2023-02"/>
    <x v="7"/>
    <x v="0"/>
    <s v="Q1"/>
    <n v="0.25296219672747788"/>
    <n v="295.38888888888891"/>
  </r>
  <r>
    <x v="380"/>
    <n v="5317"/>
    <n v="1345"/>
    <n v="18"/>
    <x v="2"/>
    <x v="5"/>
    <x v="1"/>
    <d v="2023-04-28T00:00:00"/>
    <x v="559"/>
    <x v="0"/>
    <s v="Orlando"/>
    <s v="2023-04"/>
    <x v="11"/>
    <x v="0"/>
    <s v="Q2"/>
    <n v="0.25296219672747788"/>
    <n v="295.38888888888891"/>
  </r>
  <r>
    <x v="380"/>
    <n v="5317"/>
    <n v="1345"/>
    <n v="18"/>
    <x v="2"/>
    <x v="5"/>
    <x v="1"/>
    <d v="2024-11-22T00:00:00"/>
    <x v="560"/>
    <x v="3"/>
    <s v="San Francisco"/>
    <s v="2024-11"/>
    <x v="5"/>
    <x v="1"/>
    <s v="Q4"/>
    <n v="0.25296219672747788"/>
    <n v="295.38888888888891"/>
  </r>
  <r>
    <x v="380"/>
    <n v="6304"/>
    <n v="766"/>
    <n v="14"/>
    <x v="2"/>
    <x v="4"/>
    <x v="2"/>
    <d v="2023-02-03T00:00:00"/>
    <x v="558"/>
    <x v="6"/>
    <s v="Columbus"/>
    <s v="2023-02"/>
    <x v="7"/>
    <x v="0"/>
    <s v="Q1"/>
    <n v="0.12151015228426396"/>
    <n v="450.28571428571428"/>
  </r>
  <r>
    <x v="380"/>
    <n v="6304"/>
    <n v="766"/>
    <n v="14"/>
    <x v="2"/>
    <x v="4"/>
    <x v="2"/>
    <d v="2023-04-28T00:00:00"/>
    <x v="559"/>
    <x v="0"/>
    <s v="Orlando"/>
    <s v="2023-04"/>
    <x v="11"/>
    <x v="0"/>
    <s v="Q2"/>
    <n v="0.12151015228426396"/>
    <n v="450.28571428571428"/>
  </r>
  <r>
    <x v="380"/>
    <n v="6304"/>
    <n v="766"/>
    <n v="14"/>
    <x v="2"/>
    <x v="4"/>
    <x v="2"/>
    <d v="2024-11-22T00:00:00"/>
    <x v="560"/>
    <x v="3"/>
    <s v="San Francisco"/>
    <s v="2024-11"/>
    <x v="5"/>
    <x v="1"/>
    <s v="Q4"/>
    <n v="0.12151015228426396"/>
    <n v="450.28571428571428"/>
  </r>
  <r>
    <x v="381"/>
    <n v="9565"/>
    <n v="1691"/>
    <n v="3"/>
    <x v="1"/>
    <x v="8"/>
    <x v="1"/>
    <d v="2024-07-02T00:00:00"/>
    <x v="561"/>
    <x v="1"/>
    <s v="Springfield"/>
    <s v="2024-07"/>
    <x v="2"/>
    <x v="1"/>
    <s v="Q3"/>
    <n v="0.1767903815995818"/>
    <n v="3188.3333333333335"/>
  </r>
  <r>
    <x v="381"/>
    <n v="8245"/>
    <n v="324"/>
    <n v="11"/>
    <x v="1"/>
    <x v="8"/>
    <x v="2"/>
    <d v="2024-07-02T00:00:00"/>
    <x v="561"/>
    <x v="1"/>
    <s v="Springfield"/>
    <s v="2024-07"/>
    <x v="2"/>
    <x v="1"/>
    <s v="Q3"/>
    <n v="3.9296543359611885E-2"/>
    <n v="749.5454545454545"/>
  </r>
  <r>
    <x v="382"/>
    <n v="1592"/>
    <n v="480"/>
    <n v="13"/>
    <x v="0"/>
    <x v="3"/>
    <x v="1"/>
    <d v="2022-01-18T00:00:00"/>
    <x v="562"/>
    <x v="6"/>
    <s v="Cleveland"/>
    <s v="2022-01"/>
    <x v="8"/>
    <x v="3"/>
    <s v="Q1"/>
    <n v="0.30150753768844218"/>
    <n v="122.46153846153847"/>
  </r>
  <r>
    <x v="383"/>
    <n v="8400"/>
    <n v="267"/>
    <n v="5"/>
    <x v="0"/>
    <x v="10"/>
    <x v="1"/>
    <d v="2024-10-08T00:00:00"/>
    <x v="563"/>
    <x v="6"/>
    <s v="Columbus"/>
    <s v="2024-10"/>
    <x v="4"/>
    <x v="1"/>
    <s v="Q4"/>
    <n v="3.1785714285714285E-2"/>
    <n v="1680"/>
  </r>
  <r>
    <x v="383"/>
    <n v="4963"/>
    <n v="1254"/>
    <n v="15"/>
    <x v="1"/>
    <x v="8"/>
    <x v="2"/>
    <d v="2024-10-08T00:00:00"/>
    <x v="563"/>
    <x v="6"/>
    <s v="Columbus"/>
    <s v="2024-10"/>
    <x v="4"/>
    <x v="1"/>
    <s v="Q4"/>
    <n v="0.2526697561958493"/>
    <n v="330.86666666666667"/>
  </r>
  <r>
    <x v="384"/>
    <n v="2472"/>
    <n v="211"/>
    <n v="5"/>
    <x v="0"/>
    <x v="1"/>
    <x v="4"/>
    <d v="2020-06-21T00:00:00"/>
    <x v="564"/>
    <x v="3"/>
    <s v="San Diego"/>
    <s v="2020-06"/>
    <x v="0"/>
    <x v="4"/>
    <s v="Q2"/>
    <n v="8.535598705501618E-2"/>
    <n v="494.4"/>
  </r>
  <r>
    <x v="385"/>
    <n v="9132"/>
    <n v="3096"/>
    <n v="14"/>
    <x v="2"/>
    <x v="5"/>
    <x v="1"/>
    <d v="2023-12-14T00:00:00"/>
    <x v="565"/>
    <x v="0"/>
    <s v="Tampa"/>
    <s v="2023-12"/>
    <x v="1"/>
    <x v="0"/>
    <s v="Q4"/>
    <n v="0.33902759526938236"/>
    <n v="652.28571428571433"/>
  </r>
  <r>
    <x v="386"/>
    <n v="8305"/>
    <n v="1577"/>
    <n v="6"/>
    <x v="1"/>
    <x v="9"/>
    <x v="1"/>
    <d v="2020-12-16T00:00:00"/>
    <x v="566"/>
    <x v="2"/>
    <s v="Rochester"/>
    <s v="2020-12"/>
    <x v="1"/>
    <x v="4"/>
    <s v="Q4"/>
    <n v="0.18988561107766405"/>
    <n v="1384.1666666666667"/>
  </r>
  <r>
    <x v="387"/>
    <n v="1010"/>
    <n v="58"/>
    <n v="19"/>
    <x v="0"/>
    <x v="0"/>
    <x v="4"/>
    <d v="2025-03-15T00:00:00"/>
    <x v="567"/>
    <x v="0"/>
    <s v="Tampa"/>
    <s v="2025-03"/>
    <x v="6"/>
    <x v="5"/>
    <s v="Q1"/>
    <n v="5.7425742574257428E-2"/>
    <n v="53.157894736842103"/>
  </r>
  <r>
    <x v="388"/>
    <n v="4544"/>
    <n v="1726"/>
    <n v="9"/>
    <x v="0"/>
    <x v="10"/>
    <x v="2"/>
    <d v="2024-08-21T00:00:00"/>
    <x v="568"/>
    <x v="5"/>
    <s v="Dallas"/>
    <s v="2024-08"/>
    <x v="9"/>
    <x v="1"/>
    <s v="Q3"/>
    <n v="0.37984154929577463"/>
    <n v="504.88888888888891"/>
  </r>
  <r>
    <x v="388"/>
    <n v="5900"/>
    <n v="1738"/>
    <n v="20"/>
    <x v="0"/>
    <x v="10"/>
    <x v="0"/>
    <d v="2024-08-21T00:00:00"/>
    <x v="568"/>
    <x v="5"/>
    <s v="Dallas"/>
    <s v="2024-08"/>
    <x v="9"/>
    <x v="1"/>
    <s v="Q3"/>
    <n v="0.2945762711864407"/>
    <n v="295"/>
  </r>
  <r>
    <x v="389"/>
    <n v="8861"/>
    <n v="3381"/>
    <n v="19"/>
    <x v="1"/>
    <x v="6"/>
    <x v="3"/>
    <d v="2021-05-27T00:00:00"/>
    <x v="569"/>
    <x v="3"/>
    <s v="San Diego"/>
    <s v="2021-05"/>
    <x v="3"/>
    <x v="2"/>
    <s v="Q2"/>
    <n v="0.3815596433811082"/>
    <n v="466.36842105263156"/>
  </r>
  <r>
    <x v="390"/>
    <n v="8158"/>
    <n v="2052"/>
    <n v="13"/>
    <x v="0"/>
    <x v="10"/>
    <x v="1"/>
    <d v="2020-09-21T00:00:00"/>
    <x v="570"/>
    <x v="6"/>
    <s v="Cincinnati"/>
    <s v="2020-09"/>
    <x v="10"/>
    <x v="4"/>
    <s v="Q3"/>
    <n v="0.25153223829369942"/>
    <n v="627.53846153846155"/>
  </r>
  <r>
    <x v="391"/>
    <n v="3411"/>
    <n v="1704"/>
    <n v="14"/>
    <x v="1"/>
    <x v="2"/>
    <x v="0"/>
    <d v="2025-01-11T00:00:00"/>
    <x v="571"/>
    <x v="3"/>
    <s v="Los Angeles"/>
    <s v="2025-01"/>
    <x v="8"/>
    <x v="5"/>
    <s v="Q1"/>
    <n v="0.49956024626209322"/>
    <n v="243.64285714285714"/>
  </r>
  <r>
    <x v="392"/>
    <n v="9406"/>
    <n v="1137"/>
    <n v="16"/>
    <x v="1"/>
    <x v="6"/>
    <x v="0"/>
    <d v="2021-10-20T00:00:00"/>
    <x v="572"/>
    <x v="5"/>
    <s v="Houston"/>
    <s v="2021-10"/>
    <x v="4"/>
    <x v="2"/>
    <s v="Q4"/>
    <n v="0.12088028917712099"/>
    <n v="587.875"/>
  </r>
  <r>
    <x v="392"/>
    <n v="1156"/>
    <n v="74"/>
    <n v="15"/>
    <x v="0"/>
    <x v="1"/>
    <x v="2"/>
    <d v="2021-10-20T00:00:00"/>
    <x v="572"/>
    <x v="5"/>
    <s v="Houston"/>
    <s v="2021-10"/>
    <x v="4"/>
    <x v="2"/>
    <s v="Q4"/>
    <n v="6.4013840830449822E-2"/>
    <n v="77.066666666666663"/>
  </r>
  <r>
    <x v="393"/>
    <n v="5354"/>
    <n v="743"/>
    <n v="10"/>
    <x v="2"/>
    <x v="11"/>
    <x v="0"/>
    <d v="2021-10-19T00:00:00"/>
    <x v="573"/>
    <x v="1"/>
    <s v="Springfield"/>
    <s v="2021-10"/>
    <x v="4"/>
    <x v="2"/>
    <s v="Q4"/>
    <n v="0.13877474785207322"/>
    <n v="535.4"/>
  </r>
  <r>
    <x v="394"/>
    <n v="8780"/>
    <n v="3430"/>
    <n v="4"/>
    <x v="0"/>
    <x v="0"/>
    <x v="3"/>
    <d v="2024-07-07T00:00:00"/>
    <x v="574"/>
    <x v="5"/>
    <s v="Austin"/>
    <s v="2024-07"/>
    <x v="2"/>
    <x v="1"/>
    <s v="Q3"/>
    <n v="0.39066059225512528"/>
    <n v="2195"/>
  </r>
  <r>
    <x v="394"/>
    <n v="8780"/>
    <n v="3430"/>
    <n v="4"/>
    <x v="0"/>
    <x v="0"/>
    <x v="3"/>
    <d v="2023-07-25T00:00:00"/>
    <x v="575"/>
    <x v="5"/>
    <s v="Austin"/>
    <s v="2023-07"/>
    <x v="2"/>
    <x v="0"/>
    <s v="Q3"/>
    <n v="0.39066059225512528"/>
    <n v="2195"/>
  </r>
  <r>
    <x v="395"/>
    <n v="6783"/>
    <n v="3306"/>
    <n v="8"/>
    <x v="2"/>
    <x v="7"/>
    <x v="1"/>
    <d v="2020-04-16T00:00:00"/>
    <x v="576"/>
    <x v="6"/>
    <s v="Columbus"/>
    <s v="2020-04"/>
    <x v="11"/>
    <x v="4"/>
    <s v="Q2"/>
    <n v="0.48739495798319327"/>
    <n v="847.875"/>
  </r>
  <r>
    <x v="396"/>
    <n v="1778"/>
    <n v="285"/>
    <n v="4"/>
    <x v="1"/>
    <x v="2"/>
    <x v="3"/>
    <d v="2020-07-04T00:00:00"/>
    <x v="577"/>
    <x v="2"/>
    <s v="New York City"/>
    <s v="2020-07"/>
    <x v="2"/>
    <x v="4"/>
    <s v="Q3"/>
    <n v="0.16029246344206974"/>
    <n v="444.5"/>
  </r>
  <r>
    <x v="397"/>
    <n v="9399"/>
    <n v="1949"/>
    <n v="12"/>
    <x v="0"/>
    <x v="1"/>
    <x v="0"/>
    <d v="2022-05-16T00:00:00"/>
    <x v="578"/>
    <x v="2"/>
    <s v="Rochester"/>
    <s v="2022-05"/>
    <x v="3"/>
    <x v="3"/>
    <s v="Q2"/>
    <n v="0.20736248537078414"/>
    <n v="783.25"/>
  </r>
  <r>
    <x v="397"/>
    <n v="7957"/>
    <n v="965"/>
    <n v="4"/>
    <x v="2"/>
    <x v="7"/>
    <x v="3"/>
    <d v="2022-05-16T00:00:00"/>
    <x v="578"/>
    <x v="2"/>
    <s v="Rochester"/>
    <s v="2022-05"/>
    <x v="3"/>
    <x v="3"/>
    <s v="Q2"/>
    <n v="0.12127686313937414"/>
    <n v="1989.25"/>
  </r>
  <r>
    <x v="398"/>
    <n v="1638"/>
    <n v="661"/>
    <n v="13"/>
    <x v="2"/>
    <x v="5"/>
    <x v="2"/>
    <d v="2023-11-25T00:00:00"/>
    <x v="579"/>
    <x v="1"/>
    <s v="Springfield"/>
    <s v="2023-11"/>
    <x v="5"/>
    <x v="0"/>
    <s v="Q4"/>
    <n v="0.40354090354090355"/>
    <n v="126"/>
  </r>
  <r>
    <x v="399"/>
    <n v="1786"/>
    <n v="224"/>
    <n v="4"/>
    <x v="2"/>
    <x v="4"/>
    <x v="4"/>
    <d v="2021-08-17T00:00:00"/>
    <x v="580"/>
    <x v="5"/>
    <s v="Dallas"/>
    <s v="2021-08"/>
    <x v="9"/>
    <x v="2"/>
    <s v="Q3"/>
    <n v="0.12541993281075028"/>
    <n v="446.5"/>
  </r>
  <r>
    <x v="400"/>
    <n v="4751"/>
    <n v="781"/>
    <n v="9"/>
    <x v="1"/>
    <x v="8"/>
    <x v="2"/>
    <d v="2023-07-02T00:00:00"/>
    <x v="581"/>
    <x v="2"/>
    <s v="Buffalo"/>
    <s v="2023-07"/>
    <x v="2"/>
    <x v="0"/>
    <s v="Q3"/>
    <n v="0.16438644495895602"/>
    <n v="527.88888888888891"/>
  </r>
  <r>
    <x v="401"/>
    <n v="8979"/>
    <n v="4477"/>
    <n v="4"/>
    <x v="1"/>
    <x v="8"/>
    <x v="3"/>
    <d v="2020-08-24T00:00:00"/>
    <x v="582"/>
    <x v="1"/>
    <s v="Chicago"/>
    <s v="2020-08"/>
    <x v="9"/>
    <x v="4"/>
    <s v="Q3"/>
    <n v="0.4986078627909567"/>
    <n v="2244.75"/>
  </r>
  <r>
    <x v="402"/>
    <n v="2727"/>
    <n v="663"/>
    <n v="8"/>
    <x v="0"/>
    <x v="10"/>
    <x v="3"/>
    <d v="2022-11-07T00:00:00"/>
    <x v="583"/>
    <x v="0"/>
    <s v="Miami"/>
    <s v="2022-11"/>
    <x v="5"/>
    <x v="3"/>
    <s v="Q4"/>
    <n v="0.24312431243124313"/>
    <n v="340.875"/>
  </r>
  <r>
    <x v="403"/>
    <n v="1093"/>
    <n v="397"/>
    <n v="17"/>
    <x v="0"/>
    <x v="1"/>
    <x v="3"/>
    <d v="2024-03-27T00:00:00"/>
    <x v="584"/>
    <x v="1"/>
    <s v="Peoria"/>
    <s v="2024-03"/>
    <x v="6"/>
    <x v="1"/>
    <s v="Q1"/>
    <n v="0.36322049405306495"/>
    <n v="64.294117647058826"/>
  </r>
  <r>
    <x v="403"/>
    <n v="1093"/>
    <n v="397"/>
    <n v="17"/>
    <x v="0"/>
    <x v="1"/>
    <x v="3"/>
    <d v="2024-09-01T00:00:00"/>
    <x v="585"/>
    <x v="2"/>
    <s v="Buffalo"/>
    <s v="2024-09"/>
    <x v="10"/>
    <x v="1"/>
    <s v="Q3"/>
    <n v="0.36322049405306495"/>
    <n v="64.294117647058826"/>
  </r>
  <r>
    <x v="403"/>
    <n v="1093"/>
    <n v="397"/>
    <n v="17"/>
    <x v="0"/>
    <x v="1"/>
    <x v="3"/>
    <d v="2022-02-22T00:00:00"/>
    <x v="586"/>
    <x v="6"/>
    <s v="Columbus"/>
    <s v="2022-02"/>
    <x v="7"/>
    <x v="3"/>
    <s v="Q1"/>
    <n v="0.36322049405306495"/>
    <n v="64.294117647058826"/>
  </r>
  <r>
    <x v="403"/>
    <n v="2636"/>
    <n v="88"/>
    <n v="11"/>
    <x v="1"/>
    <x v="8"/>
    <x v="1"/>
    <d v="2024-03-27T00:00:00"/>
    <x v="584"/>
    <x v="1"/>
    <s v="Peoria"/>
    <s v="2024-03"/>
    <x v="6"/>
    <x v="1"/>
    <s v="Q1"/>
    <n v="3.3383915022761758E-2"/>
    <n v="239.63636363636363"/>
  </r>
  <r>
    <x v="403"/>
    <n v="2636"/>
    <n v="88"/>
    <n v="11"/>
    <x v="1"/>
    <x v="8"/>
    <x v="1"/>
    <d v="2024-09-01T00:00:00"/>
    <x v="585"/>
    <x v="2"/>
    <s v="Buffalo"/>
    <s v="2024-09"/>
    <x v="10"/>
    <x v="1"/>
    <s v="Q3"/>
    <n v="3.3383915022761758E-2"/>
    <n v="239.63636363636363"/>
  </r>
  <r>
    <x v="403"/>
    <n v="2636"/>
    <n v="88"/>
    <n v="11"/>
    <x v="1"/>
    <x v="8"/>
    <x v="1"/>
    <d v="2022-02-22T00:00:00"/>
    <x v="586"/>
    <x v="6"/>
    <s v="Columbus"/>
    <s v="2022-02"/>
    <x v="7"/>
    <x v="3"/>
    <s v="Q1"/>
    <n v="3.3383915022761758E-2"/>
    <n v="239.63636363636363"/>
  </r>
  <r>
    <x v="404"/>
    <n v="7344"/>
    <n v="2251"/>
    <n v="7"/>
    <x v="0"/>
    <x v="0"/>
    <x v="1"/>
    <d v="2022-02-11T00:00:00"/>
    <x v="587"/>
    <x v="0"/>
    <s v="Miami"/>
    <s v="2022-02"/>
    <x v="7"/>
    <x v="3"/>
    <s v="Q1"/>
    <n v="0.30650871459694989"/>
    <n v="1049.1428571428571"/>
  </r>
  <r>
    <x v="404"/>
    <n v="7306"/>
    <n v="1547"/>
    <n v="3"/>
    <x v="1"/>
    <x v="8"/>
    <x v="4"/>
    <d v="2022-02-11T00:00:00"/>
    <x v="587"/>
    <x v="0"/>
    <s v="Miami"/>
    <s v="2022-02"/>
    <x v="7"/>
    <x v="3"/>
    <s v="Q1"/>
    <n v="0.21174377224199289"/>
    <n v="2435.3333333333335"/>
  </r>
  <r>
    <x v="404"/>
    <n v="5832"/>
    <n v="2588"/>
    <n v="10"/>
    <x v="0"/>
    <x v="1"/>
    <x v="4"/>
    <d v="2022-02-11T00:00:00"/>
    <x v="587"/>
    <x v="0"/>
    <s v="Miami"/>
    <s v="2022-02"/>
    <x v="7"/>
    <x v="3"/>
    <s v="Q1"/>
    <n v="0.44375857338820301"/>
    <n v="583.20000000000005"/>
  </r>
  <r>
    <x v="405"/>
    <n v="8572"/>
    <n v="2041"/>
    <n v="8"/>
    <x v="2"/>
    <x v="4"/>
    <x v="2"/>
    <d v="2021-05-27T00:00:00"/>
    <x v="588"/>
    <x v="1"/>
    <s v="Springfield"/>
    <s v="2021-05"/>
    <x v="3"/>
    <x v="2"/>
    <s v="Q2"/>
    <n v="0.23810079328044798"/>
    <n v="1071.5"/>
  </r>
  <r>
    <x v="405"/>
    <n v="8572"/>
    <n v="2041"/>
    <n v="8"/>
    <x v="2"/>
    <x v="4"/>
    <x v="2"/>
    <d v="2023-07-05T00:00:00"/>
    <x v="589"/>
    <x v="1"/>
    <s v="Springfield"/>
    <s v="2023-07"/>
    <x v="2"/>
    <x v="0"/>
    <s v="Q3"/>
    <n v="0.23810079328044798"/>
    <n v="1071.5"/>
  </r>
  <r>
    <x v="405"/>
    <n v="8572"/>
    <n v="2041"/>
    <n v="8"/>
    <x v="2"/>
    <x v="4"/>
    <x v="2"/>
    <d v="2020-10-27T00:00:00"/>
    <x v="590"/>
    <x v="3"/>
    <s v="San Diego"/>
    <s v="2020-10"/>
    <x v="4"/>
    <x v="4"/>
    <s v="Q4"/>
    <n v="0.23810079328044798"/>
    <n v="1071.5"/>
  </r>
  <r>
    <x v="405"/>
    <n v="8059"/>
    <n v="1834"/>
    <n v="10"/>
    <x v="0"/>
    <x v="1"/>
    <x v="3"/>
    <d v="2021-05-27T00:00:00"/>
    <x v="588"/>
    <x v="1"/>
    <s v="Springfield"/>
    <s v="2021-05"/>
    <x v="3"/>
    <x v="2"/>
    <s v="Q2"/>
    <n v="0.22757165901476609"/>
    <n v="805.9"/>
  </r>
  <r>
    <x v="405"/>
    <n v="8059"/>
    <n v="1834"/>
    <n v="10"/>
    <x v="0"/>
    <x v="1"/>
    <x v="3"/>
    <d v="2023-07-05T00:00:00"/>
    <x v="589"/>
    <x v="1"/>
    <s v="Springfield"/>
    <s v="2023-07"/>
    <x v="2"/>
    <x v="0"/>
    <s v="Q3"/>
    <n v="0.22757165901476609"/>
    <n v="805.9"/>
  </r>
  <r>
    <x v="405"/>
    <n v="8059"/>
    <n v="1834"/>
    <n v="10"/>
    <x v="0"/>
    <x v="1"/>
    <x v="3"/>
    <d v="2020-10-27T00:00:00"/>
    <x v="590"/>
    <x v="3"/>
    <s v="San Diego"/>
    <s v="2020-10"/>
    <x v="4"/>
    <x v="4"/>
    <s v="Q4"/>
    <n v="0.22757165901476609"/>
    <n v="805.9"/>
  </r>
  <r>
    <x v="406"/>
    <n v="3661"/>
    <n v="436"/>
    <n v="13"/>
    <x v="2"/>
    <x v="7"/>
    <x v="2"/>
    <d v="2023-01-26T00:00:00"/>
    <x v="591"/>
    <x v="5"/>
    <s v="Austin"/>
    <s v="2023-01"/>
    <x v="8"/>
    <x v="0"/>
    <s v="Q1"/>
    <n v="0.11909314394974051"/>
    <n v="281.61538461538464"/>
  </r>
  <r>
    <x v="407"/>
    <n v="2451"/>
    <n v="342"/>
    <n v="8"/>
    <x v="1"/>
    <x v="8"/>
    <x v="2"/>
    <d v="2021-09-06T00:00:00"/>
    <x v="592"/>
    <x v="3"/>
    <s v="Los Angeles"/>
    <s v="2021-09"/>
    <x v="10"/>
    <x v="2"/>
    <s v="Q3"/>
    <n v="0.13953488372093023"/>
    <n v="306.375"/>
  </r>
  <r>
    <x v="407"/>
    <n v="2451"/>
    <n v="342"/>
    <n v="8"/>
    <x v="1"/>
    <x v="8"/>
    <x v="2"/>
    <d v="2021-11-12T00:00:00"/>
    <x v="593"/>
    <x v="6"/>
    <s v="Cincinnati"/>
    <s v="2021-11"/>
    <x v="5"/>
    <x v="2"/>
    <s v="Q4"/>
    <n v="0.13953488372093023"/>
    <n v="306.375"/>
  </r>
  <r>
    <x v="407"/>
    <n v="2451"/>
    <n v="342"/>
    <n v="8"/>
    <x v="1"/>
    <x v="8"/>
    <x v="2"/>
    <d v="2024-07-30T00:00:00"/>
    <x v="594"/>
    <x v="5"/>
    <s v="Houston"/>
    <s v="2024-07"/>
    <x v="2"/>
    <x v="1"/>
    <s v="Q3"/>
    <n v="0.13953488372093023"/>
    <n v="306.375"/>
  </r>
  <r>
    <x v="408"/>
    <n v="7067"/>
    <n v="1943"/>
    <n v="16"/>
    <x v="2"/>
    <x v="4"/>
    <x v="3"/>
    <d v="2022-03-15T00:00:00"/>
    <x v="595"/>
    <x v="3"/>
    <s v="San Francisco"/>
    <s v="2022-03"/>
    <x v="6"/>
    <x v="3"/>
    <s v="Q1"/>
    <n v="0.27493986132729586"/>
    <n v="441.6875"/>
  </r>
  <r>
    <x v="409"/>
    <n v="4307"/>
    <n v="615"/>
    <n v="3"/>
    <x v="0"/>
    <x v="0"/>
    <x v="0"/>
    <d v="2024-03-15T00:00:00"/>
    <x v="596"/>
    <x v="2"/>
    <s v="New York City"/>
    <s v="2024-03"/>
    <x v="6"/>
    <x v="1"/>
    <s v="Q1"/>
    <n v="0.1427908056651962"/>
    <n v="1435.6666666666667"/>
  </r>
  <r>
    <x v="409"/>
    <n v="4307"/>
    <n v="615"/>
    <n v="3"/>
    <x v="0"/>
    <x v="0"/>
    <x v="0"/>
    <d v="2020-11-10T00:00:00"/>
    <x v="597"/>
    <x v="1"/>
    <s v="Springfield"/>
    <s v="2020-11"/>
    <x v="5"/>
    <x v="4"/>
    <s v="Q4"/>
    <n v="0.1427908056651962"/>
    <n v="1435.6666666666667"/>
  </r>
  <r>
    <x v="409"/>
    <n v="5694"/>
    <n v="1134"/>
    <n v="5"/>
    <x v="2"/>
    <x v="5"/>
    <x v="2"/>
    <d v="2024-03-15T00:00:00"/>
    <x v="596"/>
    <x v="2"/>
    <s v="New York City"/>
    <s v="2024-03"/>
    <x v="6"/>
    <x v="1"/>
    <s v="Q1"/>
    <n v="0.19915700737618547"/>
    <n v="1138.8"/>
  </r>
  <r>
    <x v="409"/>
    <n v="5694"/>
    <n v="1134"/>
    <n v="5"/>
    <x v="2"/>
    <x v="5"/>
    <x v="2"/>
    <d v="2020-11-10T00:00:00"/>
    <x v="597"/>
    <x v="1"/>
    <s v="Springfield"/>
    <s v="2020-11"/>
    <x v="5"/>
    <x v="4"/>
    <s v="Q4"/>
    <n v="0.19915700737618547"/>
    <n v="1138.8"/>
  </r>
  <r>
    <x v="410"/>
    <n v="962"/>
    <n v="298"/>
    <n v="18"/>
    <x v="1"/>
    <x v="9"/>
    <x v="3"/>
    <d v="2022-07-23T00:00:00"/>
    <x v="598"/>
    <x v="1"/>
    <s v="Springfield"/>
    <s v="2022-07"/>
    <x v="2"/>
    <x v="3"/>
    <s v="Q3"/>
    <n v="0.30977130977130979"/>
    <n v="53.444444444444443"/>
  </r>
  <r>
    <x v="411"/>
    <n v="2995"/>
    <n v="220"/>
    <n v="14"/>
    <x v="2"/>
    <x v="11"/>
    <x v="3"/>
    <d v="2024-09-13T00:00:00"/>
    <x v="599"/>
    <x v="2"/>
    <s v="Buffalo"/>
    <s v="2024-09"/>
    <x v="10"/>
    <x v="1"/>
    <s v="Q3"/>
    <n v="7.3455759599332218E-2"/>
    <n v="213.92857142857142"/>
  </r>
  <r>
    <x v="411"/>
    <n v="2047"/>
    <n v="914"/>
    <n v="5"/>
    <x v="1"/>
    <x v="6"/>
    <x v="1"/>
    <d v="2024-09-13T00:00:00"/>
    <x v="599"/>
    <x v="2"/>
    <s v="Buffalo"/>
    <s v="2024-09"/>
    <x v="10"/>
    <x v="1"/>
    <s v="Q3"/>
    <n v="0.44650708353688323"/>
    <n v="409.4"/>
  </r>
  <r>
    <x v="412"/>
    <n v="2078"/>
    <n v="612"/>
    <n v="6"/>
    <x v="0"/>
    <x v="3"/>
    <x v="4"/>
    <d v="2022-01-25T00:00:00"/>
    <x v="600"/>
    <x v="5"/>
    <s v="Austin"/>
    <s v="2022-01"/>
    <x v="8"/>
    <x v="3"/>
    <s v="Q1"/>
    <n v="0.29451395572666023"/>
    <n v="346.33333333333331"/>
  </r>
  <r>
    <x v="413"/>
    <n v="2737"/>
    <n v="1253"/>
    <n v="3"/>
    <x v="0"/>
    <x v="1"/>
    <x v="2"/>
    <d v="2021-04-19T00:00:00"/>
    <x v="601"/>
    <x v="2"/>
    <s v="New York City"/>
    <s v="2021-04"/>
    <x v="11"/>
    <x v="2"/>
    <s v="Q2"/>
    <n v="0.4578005115089514"/>
    <n v="912.33333333333337"/>
  </r>
  <r>
    <x v="414"/>
    <n v="8194"/>
    <n v="2881"/>
    <n v="6"/>
    <x v="1"/>
    <x v="8"/>
    <x v="1"/>
    <d v="2021-07-18T00:00:00"/>
    <x v="602"/>
    <x v="5"/>
    <s v="Houston"/>
    <s v="2021-07"/>
    <x v="2"/>
    <x v="2"/>
    <s v="Q3"/>
    <n v="0.35159873077861853"/>
    <n v="1365.6666666666667"/>
  </r>
  <r>
    <x v="415"/>
    <n v="9914"/>
    <n v="3858"/>
    <n v="16"/>
    <x v="2"/>
    <x v="7"/>
    <x v="3"/>
    <d v="2022-06-24T00:00:00"/>
    <x v="603"/>
    <x v="2"/>
    <s v="Buffalo"/>
    <s v="2022-06"/>
    <x v="0"/>
    <x v="3"/>
    <s v="Q2"/>
    <n v="0.38914666128706882"/>
    <n v="619.625"/>
  </r>
  <r>
    <x v="415"/>
    <n v="9914"/>
    <n v="3858"/>
    <n v="16"/>
    <x v="2"/>
    <x v="7"/>
    <x v="3"/>
    <d v="2024-06-08T00:00:00"/>
    <x v="604"/>
    <x v="2"/>
    <s v="Rochester"/>
    <s v="2024-06"/>
    <x v="0"/>
    <x v="1"/>
    <s v="Q2"/>
    <n v="0.38914666128706882"/>
    <n v="619.625"/>
  </r>
  <r>
    <x v="415"/>
    <n v="5470"/>
    <n v="292"/>
    <n v="7"/>
    <x v="1"/>
    <x v="2"/>
    <x v="1"/>
    <d v="2022-06-24T00:00:00"/>
    <x v="603"/>
    <x v="2"/>
    <s v="Buffalo"/>
    <s v="2022-06"/>
    <x v="0"/>
    <x v="3"/>
    <s v="Q2"/>
    <n v="5.3382084095063988E-2"/>
    <n v="781.42857142857144"/>
  </r>
  <r>
    <x v="415"/>
    <n v="5470"/>
    <n v="292"/>
    <n v="7"/>
    <x v="1"/>
    <x v="2"/>
    <x v="1"/>
    <d v="2024-06-08T00:00:00"/>
    <x v="604"/>
    <x v="2"/>
    <s v="Rochester"/>
    <s v="2024-06"/>
    <x v="0"/>
    <x v="1"/>
    <s v="Q2"/>
    <n v="5.3382084095063988E-2"/>
    <n v="781.42857142857144"/>
  </r>
  <r>
    <x v="415"/>
    <n v="1496"/>
    <n v="662"/>
    <n v="17"/>
    <x v="2"/>
    <x v="11"/>
    <x v="0"/>
    <d v="2022-06-24T00:00:00"/>
    <x v="603"/>
    <x v="2"/>
    <s v="Buffalo"/>
    <s v="2022-06"/>
    <x v="0"/>
    <x v="3"/>
    <s v="Q2"/>
    <n v="0.44251336898395721"/>
    <n v="88"/>
  </r>
  <r>
    <x v="415"/>
    <n v="1496"/>
    <n v="662"/>
    <n v="17"/>
    <x v="2"/>
    <x v="11"/>
    <x v="0"/>
    <d v="2024-06-08T00:00:00"/>
    <x v="604"/>
    <x v="2"/>
    <s v="Rochester"/>
    <s v="2024-06"/>
    <x v="0"/>
    <x v="1"/>
    <s v="Q2"/>
    <n v="0.44251336898395721"/>
    <n v="88"/>
  </r>
  <r>
    <x v="416"/>
    <n v="3228"/>
    <n v="476"/>
    <n v="9"/>
    <x v="1"/>
    <x v="8"/>
    <x v="4"/>
    <d v="2022-09-29T00:00:00"/>
    <x v="605"/>
    <x v="2"/>
    <s v="New York City"/>
    <s v="2022-09"/>
    <x v="10"/>
    <x v="3"/>
    <s v="Q3"/>
    <n v="0.14745972738537794"/>
    <n v="358.66666666666669"/>
  </r>
  <r>
    <x v="417"/>
    <n v="3918"/>
    <n v="749"/>
    <n v="8"/>
    <x v="0"/>
    <x v="3"/>
    <x v="3"/>
    <d v="2023-05-10T00:00:00"/>
    <x v="606"/>
    <x v="3"/>
    <s v="San Diego"/>
    <s v="2023-05"/>
    <x v="3"/>
    <x v="0"/>
    <s v="Q2"/>
    <n v="0.19116896375701889"/>
    <n v="489.75"/>
  </r>
  <r>
    <x v="417"/>
    <n v="3918"/>
    <n v="749"/>
    <n v="8"/>
    <x v="0"/>
    <x v="3"/>
    <x v="3"/>
    <d v="2020-05-02T00:00:00"/>
    <x v="607"/>
    <x v="5"/>
    <s v="Houston"/>
    <s v="2020-05"/>
    <x v="3"/>
    <x v="4"/>
    <s v="Q2"/>
    <n v="0.19116896375701889"/>
    <n v="489.75"/>
  </r>
  <r>
    <x v="418"/>
    <n v="9921"/>
    <n v="1451"/>
    <n v="15"/>
    <x v="2"/>
    <x v="7"/>
    <x v="2"/>
    <d v="2021-04-12T00:00:00"/>
    <x v="608"/>
    <x v="1"/>
    <s v="Chicago"/>
    <s v="2021-04"/>
    <x v="11"/>
    <x v="2"/>
    <s v="Q2"/>
    <n v="0.14625541780062493"/>
    <n v="661.4"/>
  </r>
  <r>
    <x v="419"/>
    <n v="9694"/>
    <n v="4361"/>
    <n v="1"/>
    <x v="2"/>
    <x v="5"/>
    <x v="2"/>
    <d v="2023-11-04T00:00:00"/>
    <x v="609"/>
    <x v="1"/>
    <s v="Springfield"/>
    <s v="2023-11"/>
    <x v="5"/>
    <x v="0"/>
    <s v="Q4"/>
    <n v="0.44986589643078195"/>
    <n v="9694"/>
  </r>
  <r>
    <x v="420"/>
    <n v="5028"/>
    <n v="1553"/>
    <n v="13"/>
    <x v="1"/>
    <x v="8"/>
    <x v="2"/>
    <d v="2020-05-04T00:00:00"/>
    <x v="610"/>
    <x v="0"/>
    <s v="Tampa"/>
    <s v="2020-05"/>
    <x v="3"/>
    <x v="4"/>
    <s v="Q2"/>
    <n v="0.3088703261734288"/>
    <n v="386.76923076923077"/>
  </r>
  <r>
    <x v="421"/>
    <n v="594"/>
    <n v="67"/>
    <n v="19"/>
    <x v="1"/>
    <x v="8"/>
    <x v="1"/>
    <d v="2023-09-10T00:00:00"/>
    <x v="611"/>
    <x v="2"/>
    <s v="Buffalo"/>
    <s v="2023-09"/>
    <x v="10"/>
    <x v="0"/>
    <s v="Q3"/>
    <n v="0.11279461279461279"/>
    <n v="31.263157894736842"/>
  </r>
  <r>
    <x v="421"/>
    <n v="594"/>
    <n v="67"/>
    <n v="19"/>
    <x v="1"/>
    <x v="8"/>
    <x v="1"/>
    <d v="2024-01-05T00:00:00"/>
    <x v="612"/>
    <x v="0"/>
    <s v="Miami"/>
    <s v="2024-01"/>
    <x v="8"/>
    <x v="1"/>
    <s v="Q1"/>
    <n v="0.11279461279461279"/>
    <n v="31.263157894736842"/>
  </r>
  <r>
    <x v="421"/>
    <n v="594"/>
    <n v="67"/>
    <n v="19"/>
    <x v="1"/>
    <x v="8"/>
    <x v="1"/>
    <d v="2024-05-08T00:00:00"/>
    <x v="613"/>
    <x v="5"/>
    <s v="Austin"/>
    <s v="2024-05"/>
    <x v="3"/>
    <x v="1"/>
    <s v="Q2"/>
    <n v="0.11279461279461279"/>
    <n v="31.263157894736842"/>
  </r>
  <r>
    <x v="422"/>
    <n v="5954"/>
    <n v="2618"/>
    <n v="11"/>
    <x v="2"/>
    <x v="4"/>
    <x v="4"/>
    <d v="2024-03-30T00:00:00"/>
    <x v="614"/>
    <x v="6"/>
    <s v="Cincinnati"/>
    <s v="2024-03"/>
    <x v="6"/>
    <x v="1"/>
    <s v="Q1"/>
    <n v="0.43970440040309033"/>
    <n v="541.27272727272725"/>
  </r>
  <r>
    <x v="423"/>
    <n v="3518"/>
    <n v="1051"/>
    <n v="3"/>
    <x v="2"/>
    <x v="11"/>
    <x v="0"/>
    <d v="2020-09-10T00:00:00"/>
    <x v="615"/>
    <x v="3"/>
    <s v="San Francisco"/>
    <s v="2020-09"/>
    <x v="10"/>
    <x v="4"/>
    <s v="Q3"/>
    <n v="0.29874928936895961"/>
    <n v="1172.6666666666667"/>
  </r>
  <r>
    <x v="423"/>
    <n v="4157"/>
    <n v="1874"/>
    <n v="8"/>
    <x v="0"/>
    <x v="3"/>
    <x v="2"/>
    <d v="2020-09-10T00:00:00"/>
    <x v="615"/>
    <x v="3"/>
    <s v="San Francisco"/>
    <s v="2020-09"/>
    <x v="10"/>
    <x v="4"/>
    <s v="Q3"/>
    <n v="0.45080586961751262"/>
    <n v="519.625"/>
  </r>
  <r>
    <x v="424"/>
    <n v="3747"/>
    <n v="410"/>
    <n v="5"/>
    <x v="1"/>
    <x v="6"/>
    <x v="3"/>
    <d v="2020-07-12T00:00:00"/>
    <x v="616"/>
    <x v="1"/>
    <s v="Springfield"/>
    <s v="2020-07"/>
    <x v="2"/>
    <x v="4"/>
    <s v="Q3"/>
    <n v="0.10942087002935681"/>
    <n v="749.4"/>
  </r>
  <r>
    <x v="424"/>
    <n v="3747"/>
    <n v="410"/>
    <n v="5"/>
    <x v="1"/>
    <x v="6"/>
    <x v="3"/>
    <d v="2022-12-08T00:00:00"/>
    <x v="617"/>
    <x v="2"/>
    <s v="Buffalo"/>
    <s v="2022-12"/>
    <x v="1"/>
    <x v="3"/>
    <s v="Q4"/>
    <n v="0.10942087002935681"/>
    <n v="749.4"/>
  </r>
  <r>
    <x v="424"/>
    <n v="3747"/>
    <n v="410"/>
    <n v="5"/>
    <x v="1"/>
    <x v="6"/>
    <x v="3"/>
    <d v="2024-03-27T00:00:00"/>
    <x v="618"/>
    <x v="6"/>
    <s v="Columbus"/>
    <s v="2024-03"/>
    <x v="6"/>
    <x v="1"/>
    <s v="Q1"/>
    <n v="0.10942087002935681"/>
    <n v="749.4"/>
  </r>
  <r>
    <x v="424"/>
    <n v="3747"/>
    <n v="410"/>
    <n v="5"/>
    <x v="1"/>
    <x v="6"/>
    <x v="3"/>
    <d v="2023-02-17T00:00:00"/>
    <x v="619"/>
    <x v="1"/>
    <s v="Chicago"/>
    <s v="2023-02"/>
    <x v="7"/>
    <x v="0"/>
    <s v="Q1"/>
    <n v="0.10942087002935681"/>
    <n v="749.4"/>
  </r>
  <r>
    <x v="424"/>
    <n v="3747"/>
    <n v="410"/>
    <n v="5"/>
    <x v="1"/>
    <x v="6"/>
    <x v="3"/>
    <d v="2021-07-21T00:00:00"/>
    <x v="620"/>
    <x v="3"/>
    <s v="Los Angeles"/>
    <s v="2021-07"/>
    <x v="2"/>
    <x v="2"/>
    <s v="Q3"/>
    <n v="0.10942087002935681"/>
    <n v="749.4"/>
  </r>
  <r>
    <x v="424"/>
    <n v="3194"/>
    <n v="534"/>
    <n v="4"/>
    <x v="1"/>
    <x v="9"/>
    <x v="0"/>
    <d v="2020-07-12T00:00:00"/>
    <x v="616"/>
    <x v="1"/>
    <s v="Springfield"/>
    <s v="2020-07"/>
    <x v="2"/>
    <x v="4"/>
    <s v="Q3"/>
    <n v="0.16718847839699436"/>
    <n v="798.5"/>
  </r>
  <r>
    <x v="424"/>
    <n v="3194"/>
    <n v="534"/>
    <n v="4"/>
    <x v="1"/>
    <x v="9"/>
    <x v="0"/>
    <d v="2022-12-08T00:00:00"/>
    <x v="617"/>
    <x v="2"/>
    <s v="Buffalo"/>
    <s v="2022-12"/>
    <x v="1"/>
    <x v="3"/>
    <s v="Q4"/>
    <n v="0.16718847839699436"/>
    <n v="798.5"/>
  </r>
  <r>
    <x v="424"/>
    <n v="3194"/>
    <n v="534"/>
    <n v="4"/>
    <x v="1"/>
    <x v="9"/>
    <x v="0"/>
    <d v="2024-03-27T00:00:00"/>
    <x v="618"/>
    <x v="6"/>
    <s v="Columbus"/>
    <s v="2024-03"/>
    <x v="6"/>
    <x v="1"/>
    <s v="Q1"/>
    <n v="0.16718847839699436"/>
    <n v="798.5"/>
  </r>
  <r>
    <x v="424"/>
    <n v="3194"/>
    <n v="534"/>
    <n v="4"/>
    <x v="1"/>
    <x v="9"/>
    <x v="0"/>
    <d v="2023-02-17T00:00:00"/>
    <x v="619"/>
    <x v="1"/>
    <s v="Chicago"/>
    <s v="2023-02"/>
    <x v="7"/>
    <x v="0"/>
    <s v="Q1"/>
    <n v="0.16718847839699436"/>
    <n v="798.5"/>
  </r>
  <r>
    <x v="424"/>
    <n v="3194"/>
    <n v="534"/>
    <n v="4"/>
    <x v="1"/>
    <x v="9"/>
    <x v="0"/>
    <d v="2021-07-21T00:00:00"/>
    <x v="620"/>
    <x v="3"/>
    <s v="Los Angeles"/>
    <s v="2021-07"/>
    <x v="2"/>
    <x v="2"/>
    <s v="Q3"/>
    <n v="0.16718847839699436"/>
    <n v="798.5"/>
  </r>
  <r>
    <x v="425"/>
    <n v="8548"/>
    <n v="2305"/>
    <n v="1"/>
    <x v="1"/>
    <x v="9"/>
    <x v="4"/>
    <d v="2022-10-30T00:00:00"/>
    <x v="621"/>
    <x v="0"/>
    <s v="Tampa"/>
    <s v="2022-10"/>
    <x v="4"/>
    <x v="3"/>
    <s v="Q4"/>
    <n v="0.26965372016846045"/>
    <n v="8548"/>
  </r>
  <r>
    <x v="426"/>
    <n v="6089"/>
    <n v="139"/>
    <n v="19"/>
    <x v="2"/>
    <x v="4"/>
    <x v="1"/>
    <d v="2020-12-31T00:00:00"/>
    <x v="622"/>
    <x v="6"/>
    <s v="Cincinnati"/>
    <s v="2020-12"/>
    <x v="1"/>
    <x v="4"/>
    <s v="Q4"/>
    <n v="2.282805058301856E-2"/>
    <n v="320.4736842105263"/>
  </r>
  <r>
    <x v="426"/>
    <n v="6089"/>
    <n v="139"/>
    <n v="19"/>
    <x v="2"/>
    <x v="4"/>
    <x v="1"/>
    <d v="2022-04-15T00:00:00"/>
    <x v="623"/>
    <x v="6"/>
    <s v="Cleveland"/>
    <s v="2022-04"/>
    <x v="11"/>
    <x v="3"/>
    <s v="Q2"/>
    <n v="2.282805058301856E-2"/>
    <n v="320.4736842105263"/>
  </r>
  <r>
    <x v="426"/>
    <n v="6089"/>
    <n v="139"/>
    <n v="19"/>
    <x v="2"/>
    <x v="4"/>
    <x v="1"/>
    <d v="2023-04-05T00:00:00"/>
    <x v="624"/>
    <x v="1"/>
    <s v="Chicago"/>
    <s v="2023-04"/>
    <x v="11"/>
    <x v="0"/>
    <s v="Q2"/>
    <n v="2.282805058301856E-2"/>
    <n v="320.4736842105263"/>
  </r>
  <r>
    <x v="426"/>
    <n v="2586"/>
    <n v="800"/>
    <n v="16"/>
    <x v="2"/>
    <x v="4"/>
    <x v="0"/>
    <d v="2020-12-31T00:00:00"/>
    <x v="622"/>
    <x v="6"/>
    <s v="Cincinnati"/>
    <s v="2020-12"/>
    <x v="1"/>
    <x v="4"/>
    <s v="Q4"/>
    <n v="0.30935808197989173"/>
    <n v="161.625"/>
  </r>
  <r>
    <x v="426"/>
    <n v="2586"/>
    <n v="800"/>
    <n v="16"/>
    <x v="2"/>
    <x v="4"/>
    <x v="0"/>
    <d v="2022-04-15T00:00:00"/>
    <x v="623"/>
    <x v="6"/>
    <s v="Cleveland"/>
    <s v="2022-04"/>
    <x v="11"/>
    <x v="3"/>
    <s v="Q2"/>
    <n v="0.30935808197989173"/>
    <n v="161.625"/>
  </r>
  <r>
    <x v="426"/>
    <n v="2586"/>
    <n v="800"/>
    <n v="16"/>
    <x v="2"/>
    <x v="4"/>
    <x v="0"/>
    <d v="2023-04-05T00:00:00"/>
    <x v="624"/>
    <x v="1"/>
    <s v="Chicago"/>
    <s v="2023-04"/>
    <x v="11"/>
    <x v="0"/>
    <s v="Q2"/>
    <n v="0.30935808197989173"/>
    <n v="161.625"/>
  </r>
  <r>
    <x v="426"/>
    <n v="3757"/>
    <n v="1626"/>
    <n v="9"/>
    <x v="1"/>
    <x v="8"/>
    <x v="0"/>
    <d v="2020-12-31T00:00:00"/>
    <x v="622"/>
    <x v="6"/>
    <s v="Cincinnati"/>
    <s v="2020-12"/>
    <x v="1"/>
    <x v="4"/>
    <s v="Q4"/>
    <n v="0.43279212137343626"/>
    <n v="417.44444444444446"/>
  </r>
  <r>
    <x v="426"/>
    <n v="3757"/>
    <n v="1626"/>
    <n v="9"/>
    <x v="1"/>
    <x v="8"/>
    <x v="0"/>
    <d v="2022-04-15T00:00:00"/>
    <x v="623"/>
    <x v="6"/>
    <s v="Cleveland"/>
    <s v="2022-04"/>
    <x v="11"/>
    <x v="3"/>
    <s v="Q2"/>
    <n v="0.43279212137343626"/>
    <n v="417.44444444444446"/>
  </r>
  <r>
    <x v="426"/>
    <n v="3757"/>
    <n v="1626"/>
    <n v="9"/>
    <x v="1"/>
    <x v="8"/>
    <x v="0"/>
    <d v="2023-04-05T00:00:00"/>
    <x v="624"/>
    <x v="1"/>
    <s v="Chicago"/>
    <s v="2023-04"/>
    <x v="11"/>
    <x v="0"/>
    <s v="Q2"/>
    <n v="0.43279212137343626"/>
    <n v="417.44444444444446"/>
  </r>
  <r>
    <x v="427"/>
    <n v="5193"/>
    <n v="2530"/>
    <n v="5"/>
    <x v="2"/>
    <x v="7"/>
    <x v="1"/>
    <d v="2021-10-29T00:00:00"/>
    <x v="625"/>
    <x v="3"/>
    <s v="San Diego"/>
    <s v="2021-10"/>
    <x v="4"/>
    <x v="2"/>
    <s v="Q4"/>
    <n v="0.48719430001925668"/>
    <n v="1038.5999999999999"/>
  </r>
  <r>
    <x v="427"/>
    <n v="5193"/>
    <n v="2530"/>
    <n v="5"/>
    <x v="2"/>
    <x v="7"/>
    <x v="1"/>
    <d v="2024-12-29T00:00:00"/>
    <x v="626"/>
    <x v="0"/>
    <s v="Miami"/>
    <s v="2024-12"/>
    <x v="1"/>
    <x v="1"/>
    <s v="Q4"/>
    <n v="0.48719430001925668"/>
    <n v="1038.5999999999999"/>
  </r>
  <r>
    <x v="428"/>
    <n v="7493"/>
    <n v="96"/>
    <n v="3"/>
    <x v="0"/>
    <x v="0"/>
    <x v="0"/>
    <d v="2020-08-11T00:00:00"/>
    <x v="627"/>
    <x v="6"/>
    <s v="Cleveland"/>
    <s v="2020-08"/>
    <x v="9"/>
    <x v="4"/>
    <s v="Q3"/>
    <n v="1.2811957827305485E-2"/>
    <n v="2497.6666666666665"/>
  </r>
  <r>
    <x v="429"/>
    <n v="2062"/>
    <n v="848"/>
    <n v="6"/>
    <x v="1"/>
    <x v="6"/>
    <x v="3"/>
    <d v="2024-03-04T00:00:00"/>
    <x v="628"/>
    <x v="0"/>
    <s v="Tampa"/>
    <s v="2024-03"/>
    <x v="6"/>
    <x v="1"/>
    <s v="Q1"/>
    <n v="0.41125121241513096"/>
    <n v="343.66666666666669"/>
  </r>
  <r>
    <x v="430"/>
    <n v="7163"/>
    <n v="1536"/>
    <n v="1"/>
    <x v="0"/>
    <x v="10"/>
    <x v="2"/>
    <d v="2023-10-17T00:00:00"/>
    <x v="629"/>
    <x v="3"/>
    <s v="San Diego"/>
    <s v="2023-10"/>
    <x v="4"/>
    <x v="0"/>
    <s v="Q4"/>
    <n v="0.21443529247521989"/>
    <n v="7163"/>
  </r>
  <r>
    <x v="431"/>
    <n v="4026"/>
    <n v="163"/>
    <n v="6"/>
    <x v="0"/>
    <x v="10"/>
    <x v="4"/>
    <d v="2023-07-28T00:00:00"/>
    <x v="630"/>
    <x v="2"/>
    <s v="New York City"/>
    <s v="2023-07"/>
    <x v="2"/>
    <x v="0"/>
    <s v="Q3"/>
    <n v="4.0486835568802781E-2"/>
    <n v="671"/>
  </r>
  <r>
    <x v="432"/>
    <n v="1894"/>
    <n v="275"/>
    <n v="5"/>
    <x v="2"/>
    <x v="5"/>
    <x v="3"/>
    <d v="2021-11-27T00:00:00"/>
    <x v="631"/>
    <x v="0"/>
    <s v="Miami"/>
    <s v="2021-11"/>
    <x v="5"/>
    <x v="2"/>
    <s v="Q4"/>
    <n v="0.14519535374868003"/>
    <n v="378.8"/>
  </r>
  <r>
    <x v="432"/>
    <n v="7144"/>
    <n v="192"/>
    <n v="13"/>
    <x v="0"/>
    <x v="0"/>
    <x v="3"/>
    <d v="2021-11-27T00:00:00"/>
    <x v="631"/>
    <x v="0"/>
    <s v="Miami"/>
    <s v="2021-11"/>
    <x v="5"/>
    <x v="2"/>
    <s v="Q4"/>
    <n v="2.6875699888017916E-2"/>
    <n v="549.53846153846155"/>
  </r>
  <r>
    <x v="433"/>
    <n v="3482"/>
    <n v="1554"/>
    <n v="15"/>
    <x v="0"/>
    <x v="3"/>
    <x v="1"/>
    <d v="2020-09-09T00:00:00"/>
    <x v="632"/>
    <x v="6"/>
    <s v="Columbus"/>
    <s v="2020-09"/>
    <x v="10"/>
    <x v="4"/>
    <s v="Q3"/>
    <n v="0.44629523262492821"/>
    <n v="232.13333333333333"/>
  </r>
  <r>
    <x v="434"/>
    <n v="4172"/>
    <n v="235"/>
    <n v="5"/>
    <x v="1"/>
    <x v="8"/>
    <x v="2"/>
    <d v="2021-06-02T00:00:00"/>
    <x v="633"/>
    <x v="6"/>
    <s v="Cleveland"/>
    <s v="2021-06"/>
    <x v="0"/>
    <x v="2"/>
    <s v="Q2"/>
    <n v="5.6327900287631828E-2"/>
    <n v="834.4"/>
  </r>
  <r>
    <x v="434"/>
    <n v="4172"/>
    <n v="235"/>
    <n v="5"/>
    <x v="1"/>
    <x v="8"/>
    <x v="2"/>
    <d v="2022-08-22T00:00:00"/>
    <x v="634"/>
    <x v="0"/>
    <s v="Orlando"/>
    <s v="2022-08"/>
    <x v="9"/>
    <x v="3"/>
    <s v="Q3"/>
    <n v="5.6327900287631828E-2"/>
    <n v="834.4"/>
  </r>
  <r>
    <x v="434"/>
    <n v="4172"/>
    <n v="235"/>
    <n v="5"/>
    <x v="1"/>
    <x v="8"/>
    <x v="2"/>
    <d v="2024-04-16T00:00:00"/>
    <x v="635"/>
    <x v="1"/>
    <s v="Springfield"/>
    <s v="2024-04"/>
    <x v="11"/>
    <x v="1"/>
    <s v="Q2"/>
    <n v="5.6327900287631828E-2"/>
    <n v="834.4"/>
  </r>
  <r>
    <x v="435"/>
    <n v="6265"/>
    <n v="155"/>
    <n v="8"/>
    <x v="2"/>
    <x v="7"/>
    <x v="4"/>
    <d v="2022-08-23T00:00:00"/>
    <x v="636"/>
    <x v="6"/>
    <s v="Cincinnati"/>
    <s v="2022-08"/>
    <x v="9"/>
    <x v="3"/>
    <s v="Q3"/>
    <n v="2.4740622505985636E-2"/>
    <n v="783.125"/>
  </r>
  <r>
    <x v="435"/>
    <n v="6265"/>
    <n v="155"/>
    <n v="8"/>
    <x v="2"/>
    <x v="7"/>
    <x v="4"/>
    <d v="2021-03-12T00:00:00"/>
    <x v="637"/>
    <x v="6"/>
    <s v="Cleveland"/>
    <s v="2021-03"/>
    <x v="6"/>
    <x v="2"/>
    <s v="Q1"/>
    <n v="2.4740622505985636E-2"/>
    <n v="783.125"/>
  </r>
  <r>
    <x v="436"/>
    <n v="2931"/>
    <n v="212"/>
    <n v="7"/>
    <x v="0"/>
    <x v="0"/>
    <x v="3"/>
    <d v="2024-06-26T00:00:00"/>
    <x v="638"/>
    <x v="1"/>
    <s v="Peoria"/>
    <s v="2024-06"/>
    <x v="0"/>
    <x v="1"/>
    <s v="Q2"/>
    <n v="7.2330262708973053E-2"/>
    <n v="418.71428571428572"/>
  </r>
  <r>
    <x v="436"/>
    <n v="2931"/>
    <n v="212"/>
    <n v="7"/>
    <x v="0"/>
    <x v="0"/>
    <x v="3"/>
    <d v="2023-12-08T00:00:00"/>
    <x v="639"/>
    <x v="0"/>
    <s v="Tampa"/>
    <s v="2023-12"/>
    <x v="1"/>
    <x v="0"/>
    <s v="Q4"/>
    <n v="7.2330262708973053E-2"/>
    <n v="418.71428571428572"/>
  </r>
  <r>
    <x v="437"/>
    <n v="1146"/>
    <n v="188"/>
    <n v="9"/>
    <x v="2"/>
    <x v="5"/>
    <x v="1"/>
    <d v="2024-11-27T00:00:00"/>
    <x v="640"/>
    <x v="0"/>
    <s v="Tampa"/>
    <s v="2024-11"/>
    <x v="5"/>
    <x v="1"/>
    <s v="Q4"/>
    <n v="0.16404886561954624"/>
    <n v="127.33333333333333"/>
  </r>
  <r>
    <x v="438"/>
    <n v="9215"/>
    <n v="767"/>
    <n v="13"/>
    <x v="0"/>
    <x v="1"/>
    <x v="4"/>
    <d v="2022-01-10T00:00:00"/>
    <x v="641"/>
    <x v="0"/>
    <s v="Tampa"/>
    <s v="2022-01"/>
    <x v="8"/>
    <x v="3"/>
    <s v="Q1"/>
    <n v="8.3233857840477488E-2"/>
    <n v="708.84615384615381"/>
  </r>
  <r>
    <x v="438"/>
    <n v="9215"/>
    <n v="767"/>
    <n v="13"/>
    <x v="0"/>
    <x v="1"/>
    <x v="4"/>
    <d v="2021-11-01T00:00:00"/>
    <x v="642"/>
    <x v="3"/>
    <s v="San Francisco"/>
    <s v="2021-11"/>
    <x v="5"/>
    <x v="2"/>
    <s v="Q4"/>
    <n v="8.3233857840477488E-2"/>
    <n v="708.84615384615381"/>
  </r>
  <r>
    <x v="439"/>
    <n v="7895"/>
    <n v="1005"/>
    <n v="1"/>
    <x v="2"/>
    <x v="5"/>
    <x v="3"/>
    <d v="2023-10-28T00:00:00"/>
    <x v="643"/>
    <x v="6"/>
    <s v="Cincinnati"/>
    <s v="2023-10"/>
    <x v="4"/>
    <x v="0"/>
    <s v="Q4"/>
    <n v="0.1272957568081064"/>
    <n v="7895"/>
  </r>
  <r>
    <x v="439"/>
    <n v="7895"/>
    <n v="1005"/>
    <n v="1"/>
    <x v="2"/>
    <x v="5"/>
    <x v="3"/>
    <d v="2025-03-01T00:00:00"/>
    <x v="644"/>
    <x v="3"/>
    <s v="San Diego"/>
    <s v="2025-03"/>
    <x v="6"/>
    <x v="5"/>
    <s v="Q1"/>
    <n v="0.1272957568081064"/>
    <n v="7895"/>
  </r>
  <r>
    <x v="439"/>
    <n v="2740"/>
    <n v="558"/>
    <n v="8"/>
    <x v="1"/>
    <x v="2"/>
    <x v="0"/>
    <d v="2023-10-28T00:00:00"/>
    <x v="643"/>
    <x v="6"/>
    <s v="Cincinnati"/>
    <s v="2023-10"/>
    <x v="4"/>
    <x v="0"/>
    <s v="Q4"/>
    <n v="0.20364963503649636"/>
    <n v="342.5"/>
  </r>
  <r>
    <x v="439"/>
    <n v="2740"/>
    <n v="558"/>
    <n v="8"/>
    <x v="1"/>
    <x v="2"/>
    <x v="0"/>
    <d v="2025-03-01T00:00:00"/>
    <x v="644"/>
    <x v="3"/>
    <s v="San Diego"/>
    <s v="2025-03"/>
    <x v="6"/>
    <x v="5"/>
    <s v="Q1"/>
    <n v="0.20364963503649636"/>
    <n v="342.5"/>
  </r>
  <r>
    <x v="440"/>
    <n v="5338"/>
    <n v="1354"/>
    <n v="16"/>
    <x v="1"/>
    <x v="6"/>
    <x v="0"/>
    <d v="2024-08-01T00:00:00"/>
    <x v="645"/>
    <x v="1"/>
    <s v="Peoria"/>
    <s v="2024-08"/>
    <x v="9"/>
    <x v="1"/>
    <s v="Q3"/>
    <n v="0.25365305357811913"/>
    <n v="333.625"/>
  </r>
  <r>
    <x v="440"/>
    <n v="5338"/>
    <n v="1354"/>
    <n v="16"/>
    <x v="1"/>
    <x v="6"/>
    <x v="0"/>
    <d v="2023-06-07T00:00:00"/>
    <x v="646"/>
    <x v="2"/>
    <s v="Buffalo"/>
    <s v="2023-06"/>
    <x v="0"/>
    <x v="0"/>
    <s v="Q2"/>
    <n v="0.25365305357811913"/>
    <n v="333.625"/>
  </r>
  <r>
    <x v="440"/>
    <n v="5338"/>
    <n v="1354"/>
    <n v="16"/>
    <x v="1"/>
    <x v="6"/>
    <x v="0"/>
    <d v="2024-10-21T00:00:00"/>
    <x v="647"/>
    <x v="0"/>
    <s v="Orlando"/>
    <s v="2024-10"/>
    <x v="4"/>
    <x v="1"/>
    <s v="Q4"/>
    <n v="0.25365305357811913"/>
    <n v="333.625"/>
  </r>
  <r>
    <x v="440"/>
    <n v="5338"/>
    <n v="1354"/>
    <n v="16"/>
    <x v="1"/>
    <x v="6"/>
    <x v="0"/>
    <d v="2021-01-04T00:00:00"/>
    <x v="648"/>
    <x v="2"/>
    <s v="Buffalo"/>
    <s v="2021-01"/>
    <x v="8"/>
    <x v="2"/>
    <s v="Q1"/>
    <n v="0.25365305357811913"/>
    <n v="333.625"/>
  </r>
  <r>
    <x v="441"/>
    <n v="3095"/>
    <n v="941"/>
    <n v="2"/>
    <x v="1"/>
    <x v="2"/>
    <x v="2"/>
    <d v="2022-04-19T00:00:00"/>
    <x v="649"/>
    <x v="6"/>
    <s v="Cleveland"/>
    <s v="2022-04"/>
    <x v="11"/>
    <x v="3"/>
    <s v="Q2"/>
    <n v="0.30403877221324715"/>
    <n v="1547.5"/>
  </r>
  <r>
    <x v="441"/>
    <n v="3095"/>
    <n v="941"/>
    <n v="2"/>
    <x v="1"/>
    <x v="2"/>
    <x v="2"/>
    <d v="2022-08-11T00:00:00"/>
    <x v="650"/>
    <x v="5"/>
    <s v="Austin"/>
    <s v="2022-08"/>
    <x v="9"/>
    <x v="3"/>
    <s v="Q3"/>
    <n v="0.30403877221324715"/>
    <n v="1547.5"/>
  </r>
  <r>
    <x v="442"/>
    <n v="6017"/>
    <n v="2230"/>
    <n v="13"/>
    <x v="0"/>
    <x v="1"/>
    <x v="1"/>
    <d v="2023-08-04T00:00:00"/>
    <x v="651"/>
    <x v="1"/>
    <s v="Peoria"/>
    <s v="2023-08"/>
    <x v="9"/>
    <x v="0"/>
    <s v="Q3"/>
    <n v="0.37061658633870698"/>
    <n v="462.84615384615387"/>
  </r>
  <r>
    <x v="443"/>
    <n v="4904"/>
    <n v="469"/>
    <n v="2"/>
    <x v="1"/>
    <x v="2"/>
    <x v="1"/>
    <d v="2020-04-25T00:00:00"/>
    <x v="652"/>
    <x v="5"/>
    <s v="Dallas"/>
    <s v="2020-04"/>
    <x v="11"/>
    <x v="4"/>
    <s v="Q2"/>
    <n v="9.5636215334420877E-2"/>
    <n v="2452"/>
  </r>
  <r>
    <x v="443"/>
    <n v="3080"/>
    <n v="737"/>
    <n v="6"/>
    <x v="1"/>
    <x v="9"/>
    <x v="0"/>
    <d v="2020-04-25T00:00:00"/>
    <x v="652"/>
    <x v="5"/>
    <s v="Dallas"/>
    <s v="2020-04"/>
    <x v="11"/>
    <x v="4"/>
    <s v="Q2"/>
    <n v="0.2392857142857143"/>
    <n v="513.33333333333337"/>
  </r>
  <r>
    <x v="444"/>
    <n v="1992"/>
    <n v="355"/>
    <n v="2"/>
    <x v="0"/>
    <x v="10"/>
    <x v="4"/>
    <d v="2024-12-14T00:00:00"/>
    <x v="653"/>
    <x v="0"/>
    <s v="Tampa"/>
    <s v="2024-12"/>
    <x v="1"/>
    <x v="1"/>
    <s v="Q4"/>
    <n v="0.17821285140562249"/>
    <n v="996"/>
  </r>
  <r>
    <x v="445"/>
    <n v="5346"/>
    <n v="1246"/>
    <n v="17"/>
    <x v="2"/>
    <x v="7"/>
    <x v="2"/>
    <d v="2022-07-25T00:00:00"/>
    <x v="654"/>
    <x v="0"/>
    <s v="Orlando"/>
    <s v="2022-07"/>
    <x v="2"/>
    <x v="3"/>
    <s v="Q3"/>
    <n v="0.23307145529367751"/>
    <n v="314.47058823529414"/>
  </r>
  <r>
    <x v="445"/>
    <n v="5346"/>
    <n v="1246"/>
    <n v="17"/>
    <x v="2"/>
    <x v="7"/>
    <x v="2"/>
    <d v="2022-05-07T00:00:00"/>
    <x v="655"/>
    <x v="0"/>
    <s v="Miami"/>
    <s v="2022-05"/>
    <x v="3"/>
    <x v="3"/>
    <s v="Q2"/>
    <n v="0.23307145529367751"/>
    <n v="314.47058823529414"/>
  </r>
  <r>
    <x v="446"/>
    <n v="8422"/>
    <n v="893"/>
    <n v="18"/>
    <x v="0"/>
    <x v="1"/>
    <x v="1"/>
    <d v="2022-08-11T00:00:00"/>
    <x v="656"/>
    <x v="3"/>
    <s v="San Francisco"/>
    <s v="2022-08"/>
    <x v="9"/>
    <x v="3"/>
    <s v="Q3"/>
    <n v="0.10603182142009024"/>
    <n v="467.88888888888891"/>
  </r>
  <r>
    <x v="446"/>
    <n v="8422"/>
    <n v="893"/>
    <n v="18"/>
    <x v="0"/>
    <x v="1"/>
    <x v="1"/>
    <d v="2022-08-12T00:00:00"/>
    <x v="657"/>
    <x v="6"/>
    <s v="Columbus"/>
    <s v="2022-08"/>
    <x v="9"/>
    <x v="3"/>
    <s v="Q3"/>
    <n v="0.10603182142009024"/>
    <n v="467.88888888888891"/>
  </r>
  <r>
    <x v="446"/>
    <n v="6105"/>
    <n v="1447"/>
    <n v="8"/>
    <x v="2"/>
    <x v="11"/>
    <x v="3"/>
    <d v="2022-08-11T00:00:00"/>
    <x v="656"/>
    <x v="3"/>
    <s v="San Francisco"/>
    <s v="2022-08"/>
    <x v="9"/>
    <x v="3"/>
    <s v="Q3"/>
    <n v="0.23701883701883703"/>
    <n v="763.125"/>
  </r>
  <r>
    <x v="446"/>
    <n v="6105"/>
    <n v="1447"/>
    <n v="8"/>
    <x v="2"/>
    <x v="11"/>
    <x v="3"/>
    <d v="2022-08-12T00:00:00"/>
    <x v="657"/>
    <x v="6"/>
    <s v="Columbus"/>
    <s v="2022-08"/>
    <x v="9"/>
    <x v="3"/>
    <s v="Q3"/>
    <n v="0.23701883701883703"/>
    <n v="763.125"/>
  </r>
  <r>
    <x v="447"/>
    <n v="670"/>
    <n v="85"/>
    <n v="9"/>
    <x v="1"/>
    <x v="2"/>
    <x v="2"/>
    <d v="2023-08-21T00:00:00"/>
    <x v="658"/>
    <x v="5"/>
    <s v="Houston"/>
    <s v="2023-08"/>
    <x v="9"/>
    <x v="0"/>
    <s v="Q3"/>
    <n v="0.12686567164179105"/>
    <n v="74.444444444444443"/>
  </r>
  <r>
    <x v="448"/>
    <n v="4057"/>
    <n v="1012"/>
    <n v="6"/>
    <x v="0"/>
    <x v="3"/>
    <x v="3"/>
    <d v="2022-09-12T00:00:00"/>
    <x v="659"/>
    <x v="3"/>
    <s v="San Diego"/>
    <s v="2022-09"/>
    <x v="10"/>
    <x v="3"/>
    <s v="Q3"/>
    <n v="0.24944540300714813"/>
    <n v="676.16666666666663"/>
  </r>
  <r>
    <x v="449"/>
    <n v="8178"/>
    <n v="2462"/>
    <n v="10"/>
    <x v="1"/>
    <x v="2"/>
    <x v="0"/>
    <d v="2023-08-20T00:00:00"/>
    <x v="660"/>
    <x v="3"/>
    <s v="Los Angeles"/>
    <s v="2023-08"/>
    <x v="9"/>
    <x v="0"/>
    <s v="Q3"/>
    <n v="0.30105160185864516"/>
    <n v="817.8"/>
  </r>
  <r>
    <x v="450"/>
    <n v="8752"/>
    <n v="1686"/>
    <n v="9"/>
    <x v="2"/>
    <x v="4"/>
    <x v="1"/>
    <d v="2020-12-27T00:00:00"/>
    <x v="661"/>
    <x v="6"/>
    <s v="Cincinnati"/>
    <s v="2020-12"/>
    <x v="1"/>
    <x v="4"/>
    <s v="Q4"/>
    <n v="0.1926416819012797"/>
    <n v="972.44444444444446"/>
  </r>
  <r>
    <x v="450"/>
    <n v="8752"/>
    <n v="1686"/>
    <n v="9"/>
    <x v="2"/>
    <x v="4"/>
    <x v="1"/>
    <d v="2023-09-04T00:00:00"/>
    <x v="662"/>
    <x v="1"/>
    <s v="Peoria"/>
    <s v="2023-09"/>
    <x v="10"/>
    <x v="0"/>
    <s v="Q3"/>
    <n v="0.1926416819012797"/>
    <n v="972.44444444444446"/>
  </r>
  <r>
    <x v="450"/>
    <n v="8752"/>
    <n v="1686"/>
    <n v="9"/>
    <x v="2"/>
    <x v="4"/>
    <x v="1"/>
    <d v="2022-01-08T00:00:00"/>
    <x v="663"/>
    <x v="1"/>
    <s v="Chicago"/>
    <s v="2022-01"/>
    <x v="8"/>
    <x v="3"/>
    <s v="Q1"/>
    <n v="0.1926416819012797"/>
    <n v="972.44444444444446"/>
  </r>
  <r>
    <x v="451"/>
    <n v="8974"/>
    <n v="4441"/>
    <n v="16"/>
    <x v="0"/>
    <x v="1"/>
    <x v="2"/>
    <d v="2023-06-05T00:00:00"/>
    <x v="664"/>
    <x v="2"/>
    <s v="New York City"/>
    <s v="2023-06"/>
    <x v="0"/>
    <x v="0"/>
    <s v="Q2"/>
    <n v="0.49487408067751282"/>
    <n v="560.875"/>
  </r>
  <r>
    <x v="452"/>
    <n v="9090"/>
    <n v="3098"/>
    <n v="16"/>
    <x v="0"/>
    <x v="10"/>
    <x v="3"/>
    <d v="2021-04-01T00:00:00"/>
    <x v="665"/>
    <x v="5"/>
    <s v="Dallas"/>
    <s v="2021-04"/>
    <x v="11"/>
    <x v="2"/>
    <s v="Q2"/>
    <n v="0.34081408140814079"/>
    <n v="568.125"/>
  </r>
  <r>
    <x v="452"/>
    <n v="9090"/>
    <n v="3098"/>
    <n v="16"/>
    <x v="0"/>
    <x v="10"/>
    <x v="3"/>
    <d v="2024-05-28T00:00:00"/>
    <x v="666"/>
    <x v="1"/>
    <s v="Springfield"/>
    <s v="2024-05"/>
    <x v="3"/>
    <x v="1"/>
    <s v="Q2"/>
    <n v="0.34081408140814079"/>
    <n v="568.125"/>
  </r>
  <r>
    <x v="452"/>
    <n v="851"/>
    <n v="356"/>
    <n v="11"/>
    <x v="0"/>
    <x v="0"/>
    <x v="3"/>
    <d v="2021-04-01T00:00:00"/>
    <x v="665"/>
    <x v="5"/>
    <s v="Dallas"/>
    <s v="2021-04"/>
    <x v="11"/>
    <x v="2"/>
    <s v="Q2"/>
    <n v="0.418331374853114"/>
    <n v="77.36363636363636"/>
  </r>
  <r>
    <x v="452"/>
    <n v="851"/>
    <n v="356"/>
    <n v="11"/>
    <x v="0"/>
    <x v="0"/>
    <x v="3"/>
    <d v="2024-05-28T00:00:00"/>
    <x v="666"/>
    <x v="1"/>
    <s v="Springfield"/>
    <s v="2024-05"/>
    <x v="3"/>
    <x v="1"/>
    <s v="Q2"/>
    <n v="0.418331374853114"/>
    <n v="77.36363636363636"/>
  </r>
  <r>
    <x v="453"/>
    <n v="5427"/>
    <n v="728"/>
    <n v="3"/>
    <x v="0"/>
    <x v="10"/>
    <x v="0"/>
    <d v="2023-03-09T00:00:00"/>
    <x v="667"/>
    <x v="0"/>
    <s v="Miami"/>
    <s v="2023-03"/>
    <x v="6"/>
    <x v="0"/>
    <s v="Q1"/>
    <n v="0.13414409434309932"/>
    <n v="1809"/>
  </r>
  <r>
    <x v="454"/>
    <n v="2695"/>
    <n v="914"/>
    <n v="15"/>
    <x v="2"/>
    <x v="11"/>
    <x v="1"/>
    <d v="2022-07-28T00:00:00"/>
    <x v="668"/>
    <x v="1"/>
    <s v="Peoria"/>
    <s v="2022-07"/>
    <x v="2"/>
    <x v="3"/>
    <s v="Q3"/>
    <n v="0.33914656771799628"/>
    <n v="179.66666666666666"/>
  </r>
  <r>
    <x v="454"/>
    <n v="2695"/>
    <n v="914"/>
    <n v="15"/>
    <x v="2"/>
    <x v="11"/>
    <x v="1"/>
    <d v="2021-06-17T00:00:00"/>
    <x v="669"/>
    <x v="3"/>
    <s v="Los Angeles"/>
    <s v="2021-06"/>
    <x v="0"/>
    <x v="2"/>
    <s v="Q2"/>
    <n v="0.33914656771799628"/>
    <n v="179.66666666666666"/>
  </r>
  <r>
    <x v="455"/>
    <n v="2386"/>
    <n v="999"/>
    <n v="3"/>
    <x v="1"/>
    <x v="2"/>
    <x v="4"/>
    <d v="2024-02-13T00:00:00"/>
    <x v="670"/>
    <x v="0"/>
    <s v="Miami"/>
    <s v="2024-02"/>
    <x v="7"/>
    <x v="1"/>
    <s v="Q1"/>
    <n v="0.41869237217099747"/>
    <n v="795.33333333333337"/>
  </r>
  <r>
    <x v="456"/>
    <n v="2284"/>
    <n v="149"/>
    <n v="20"/>
    <x v="1"/>
    <x v="2"/>
    <x v="1"/>
    <d v="2021-08-06T00:00:00"/>
    <x v="671"/>
    <x v="2"/>
    <s v="Rochester"/>
    <s v="2021-08"/>
    <x v="9"/>
    <x v="2"/>
    <s v="Q3"/>
    <n v="6.523642732049037E-2"/>
    <n v="114.2"/>
  </r>
  <r>
    <x v="457"/>
    <n v="6034"/>
    <n v="608"/>
    <n v="8"/>
    <x v="0"/>
    <x v="10"/>
    <x v="2"/>
    <d v="2022-05-01T00:00:00"/>
    <x v="672"/>
    <x v="5"/>
    <s v="Houston"/>
    <s v="2022-05"/>
    <x v="3"/>
    <x v="3"/>
    <s v="Q2"/>
    <n v="0.10076234670202187"/>
    <n v="754.25"/>
  </r>
  <r>
    <x v="457"/>
    <n v="8956"/>
    <n v="3359"/>
    <n v="13"/>
    <x v="2"/>
    <x v="11"/>
    <x v="3"/>
    <d v="2022-05-01T00:00:00"/>
    <x v="672"/>
    <x v="5"/>
    <s v="Houston"/>
    <s v="2022-05"/>
    <x v="3"/>
    <x v="3"/>
    <s v="Q2"/>
    <n v="0.3750558284948638"/>
    <n v="688.92307692307691"/>
  </r>
  <r>
    <x v="458"/>
    <n v="7122"/>
    <n v="1982"/>
    <n v="7"/>
    <x v="1"/>
    <x v="6"/>
    <x v="2"/>
    <d v="2024-03-11T00:00:00"/>
    <x v="673"/>
    <x v="1"/>
    <s v="Peoria"/>
    <s v="2024-03"/>
    <x v="6"/>
    <x v="1"/>
    <s v="Q1"/>
    <n v="0.27829261443414771"/>
    <n v="1017.4285714285714"/>
  </r>
  <r>
    <x v="459"/>
    <n v="9775"/>
    <n v="4507"/>
    <n v="5"/>
    <x v="1"/>
    <x v="6"/>
    <x v="0"/>
    <d v="2020-07-06T00:00:00"/>
    <x v="674"/>
    <x v="6"/>
    <s v="Cincinnati"/>
    <s v="2020-07"/>
    <x v="2"/>
    <x v="4"/>
    <s v="Q3"/>
    <n v="0.46107416879795399"/>
    <n v="1955"/>
  </r>
  <r>
    <x v="460"/>
    <n v="3309"/>
    <n v="177"/>
    <n v="13"/>
    <x v="2"/>
    <x v="11"/>
    <x v="2"/>
    <d v="2020-12-17T00:00:00"/>
    <x v="675"/>
    <x v="6"/>
    <s v="Cleveland"/>
    <s v="2020-12"/>
    <x v="1"/>
    <x v="4"/>
    <s v="Q4"/>
    <n v="5.3490480507706259E-2"/>
    <n v="254.53846153846155"/>
  </r>
  <r>
    <x v="461"/>
    <n v="4163"/>
    <n v="897"/>
    <n v="14"/>
    <x v="0"/>
    <x v="0"/>
    <x v="4"/>
    <d v="2022-08-30T00:00:00"/>
    <x v="676"/>
    <x v="1"/>
    <s v="Springfield"/>
    <s v="2022-08"/>
    <x v="9"/>
    <x v="3"/>
    <s v="Q3"/>
    <n v="0.21546961325966851"/>
    <n v="297.35714285714283"/>
  </r>
  <r>
    <x v="461"/>
    <n v="4163"/>
    <n v="897"/>
    <n v="14"/>
    <x v="0"/>
    <x v="0"/>
    <x v="4"/>
    <d v="2025-02-27T00:00:00"/>
    <x v="677"/>
    <x v="6"/>
    <s v="Cleveland"/>
    <s v="2025-02"/>
    <x v="7"/>
    <x v="5"/>
    <s v="Q1"/>
    <n v="0.21546961325966851"/>
    <n v="297.35714285714283"/>
  </r>
  <r>
    <x v="461"/>
    <n v="4163"/>
    <n v="897"/>
    <n v="14"/>
    <x v="0"/>
    <x v="0"/>
    <x v="4"/>
    <d v="2021-06-05T00:00:00"/>
    <x v="678"/>
    <x v="0"/>
    <s v="Orlando"/>
    <s v="2021-06"/>
    <x v="0"/>
    <x v="2"/>
    <s v="Q2"/>
    <n v="0.21546961325966851"/>
    <n v="297.35714285714283"/>
  </r>
  <r>
    <x v="462"/>
    <n v="5518"/>
    <n v="867"/>
    <n v="7"/>
    <x v="2"/>
    <x v="7"/>
    <x v="0"/>
    <d v="2022-12-22T00:00:00"/>
    <x v="679"/>
    <x v="5"/>
    <s v="Houston"/>
    <s v="2022-12"/>
    <x v="1"/>
    <x v="3"/>
    <s v="Q4"/>
    <n v="0.15712214570496558"/>
    <n v="788.28571428571433"/>
  </r>
  <r>
    <x v="463"/>
    <n v="7566"/>
    <n v="606"/>
    <n v="6"/>
    <x v="0"/>
    <x v="10"/>
    <x v="1"/>
    <d v="2025-01-25T00:00:00"/>
    <x v="680"/>
    <x v="6"/>
    <s v="Columbus"/>
    <s v="2025-01"/>
    <x v="8"/>
    <x v="5"/>
    <s v="Q1"/>
    <n v="8.009516256938938E-2"/>
    <n v="1261"/>
  </r>
  <r>
    <x v="463"/>
    <n v="7566"/>
    <n v="606"/>
    <n v="6"/>
    <x v="0"/>
    <x v="10"/>
    <x v="1"/>
    <d v="2025-02-14T00:00:00"/>
    <x v="681"/>
    <x v="3"/>
    <s v="San Diego"/>
    <s v="2025-02"/>
    <x v="7"/>
    <x v="5"/>
    <s v="Q1"/>
    <n v="8.009516256938938E-2"/>
    <n v="1261"/>
  </r>
  <r>
    <x v="464"/>
    <n v="762"/>
    <n v="92"/>
    <n v="11"/>
    <x v="0"/>
    <x v="1"/>
    <x v="4"/>
    <d v="2023-01-06T00:00:00"/>
    <x v="682"/>
    <x v="1"/>
    <s v="Springfield"/>
    <s v="2023-01"/>
    <x v="8"/>
    <x v="0"/>
    <s v="Q1"/>
    <n v="0.12073490813648294"/>
    <n v="69.272727272727266"/>
  </r>
  <r>
    <x v="465"/>
    <n v="3316"/>
    <n v="126"/>
    <n v="6"/>
    <x v="0"/>
    <x v="3"/>
    <x v="4"/>
    <d v="2020-10-11T00:00:00"/>
    <x v="683"/>
    <x v="6"/>
    <s v="Cincinnati"/>
    <s v="2020-10"/>
    <x v="4"/>
    <x v="4"/>
    <s v="Q4"/>
    <n v="3.7997587454764774E-2"/>
    <n v="552.66666666666663"/>
  </r>
  <r>
    <x v="466"/>
    <n v="5994"/>
    <n v="2826"/>
    <n v="9"/>
    <x v="2"/>
    <x v="11"/>
    <x v="2"/>
    <d v="2023-05-24T00:00:00"/>
    <x v="684"/>
    <x v="3"/>
    <s v="San Francisco"/>
    <s v="2023-05"/>
    <x v="3"/>
    <x v="0"/>
    <s v="Q2"/>
    <n v="0.47147147147147145"/>
    <n v="666"/>
  </r>
  <r>
    <x v="466"/>
    <n v="5994"/>
    <n v="2826"/>
    <n v="9"/>
    <x v="2"/>
    <x v="11"/>
    <x v="2"/>
    <d v="2024-03-12T00:00:00"/>
    <x v="685"/>
    <x v="3"/>
    <s v="Los Angeles"/>
    <s v="2024-03"/>
    <x v="6"/>
    <x v="1"/>
    <s v="Q1"/>
    <n v="0.47147147147147145"/>
    <n v="666"/>
  </r>
  <r>
    <x v="466"/>
    <n v="5994"/>
    <n v="2826"/>
    <n v="9"/>
    <x v="2"/>
    <x v="11"/>
    <x v="2"/>
    <d v="2024-03-17T00:00:00"/>
    <x v="686"/>
    <x v="2"/>
    <s v="New York City"/>
    <s v="2024-03"/>
    <x v="6"/>
    <x v="1"/>
    <s v="Q1"/>
    <n v="0.47147147147147145"/>
    <n v="666"/>
  </r>
  <r>
    <x v="467"/>
    <n v="3854"/>
    <n v="245"/>
    <n v="19"/>
    <x v="0"/>
    <x v="3"/>
    <x v="4"/>
    <d v="2022-05-17T00:00:00"/>
    <x v="687"/>
    <x v="6"/>
    <s v="Columbus"/>
    <s v="2022-05"/>
    <x v="3"/>
    <x v="3"/>
    <s v="Q2"/>
    <n v="6.3570316554229372E-2"/>
    <n v="202.84210526315789"/>
  </r>
  <r>
    <x v="468"/>
    <n v="7019"/>
    <n v="2677"/>
    <n v="15"/>
    <x v="1"/>
    <x v="6"/>
    <x v="0"/>
    <d v="2020-12-21T00:00:00"/>
    <x v="688"/>
    <x v="0"/>
    <s v="Miami"/>
    <s v="2020-12"/>
    <x v="1"/>
    <x v="4"/>
    <s v="Q4"/>
    <n v="0.38139336087761788"/>
    <n v="467.93333333333334"/>
  </r>
  <r>
    <x v="469"/>
    <n v="5954"/>
    <n v="2640"/>
    <n v="14"/>
    <x v="0"/>
    <x v="3"/>
    <x v="3"/>
    <d v="2021-08-24T00:00:00"/>
    <x v="689"/>
    <x v="2"/>
    <s v="New York City"/>
    <s v="2021-08"/>
    <x v="9"/>
    <x v="2"/>
    <s v="Q3"/>
    <n v="0.44339939536446088"/>
    <n v="425.28571428571428"/>
  </r>
  <r>
    <x v="469"/>
    <n v="5954"/>
    <n v="2640"/>
    <n v="14"/>
    <x v="0"/>
    <x v="3"/>
    <x v="3"/>
    <d v="2022-10-22T00:00:00"/>
    <x v="690"/>
    <x v="5"/>
    <s v="Dallas"/>
    <s v="2022-10"/>
    <x v="4"/>
    <x v="3"/>
    <s v="Q4"/>
    <n v="0.44339939536446088"/>
    <n v="425.28571428571428"/>
  </r>
  <r>
    <x v="470"/>
    <n v="9752"/>
    <n v="3618"/>
    <n v="5"/>
    <x v="2"/>
    <x v="11"/>
    <x v="1"/>
    <d v="2024-02-21T00:00:00"/>
    <x v="691"/>
    <x v="2"/>
    <s v="Rochester"/>
    <s v="2024-02"/>
    <x v="7"/>
    <x v="1"/>
    <s v="Q1"/>
    <n v="0.37100082034454474"/>
    <n v="1950.4"/>
  </r>
  <r>
    <x v="470"/>
    <n v="9752"/>
    <n v="3618"/>
    <n v="5"/>
    <x v="2"/>
    <x v="11"/>
    <x v="1"/>
    <d v="2022-10-31T00:00:00"/>
    <x v="692"/>
    <x v="1"/>
    <s v="Peoria"/>
    <s v="2022-10"/>
    <x v="4"/>
    <x v="3"/>
    <s v="Q4"/>
    <n v="0.37100082034454474"/>
    <n v="1950.4"/>
  </r>
  <r>
    <x v="471"/>
    <n v="5335"/>
    <n v="322"/>
    <n v="15"/>
    <x v="0"/>
    <x v="0"/>
    <x v="4"/>
    <d v="2022-05-15T00:00:00"/>
    <x v="693"/>
    <x v="2"/>
    <s v="New York City"/>
    <s v="2022-05"/>
    <x v="3"/>
    <x v="3"/>
    <s v="Q2"/>
    <n v="6.0356138706654169E-2"/>
    <n v="355.66666666666669"/>
  </r>
  <r>
    <x v="472"/>
    <n v="1454"/>
    <n v="80"/>
    <n v="20"/>
    <x v="0"/>
    <x v="0"/>
    <x v="3"/>
    <d v="2022-07-22T00:00:00"/>
    <x v="694"/>
    <x v="2"/>
    <s v="Rochester"/>
    <s v="2022-07"/>
    <x v="2"/>
    <x v="3"/>
    <s v="Q3"/>
    <n v="5.5020632737276476E-2"/>
    <n v="72.7"/>
  </r>
  <r>
    <x v="473"/>
    <n v="6724"/>
    <n v="1539"/>
    <n v="19"/>
    <x v="2"/>
    <x v="11"/>
    <x v="4"/>
    <d v="2021-12-13T00:00:00"/>
    <x v="695"/>
    <x v="3"/>
    <s v="San Francisco"/>
    <s v="2021-12"/>
    <x v="1"/>
    <x v="2"/>
    <s v="Q4"/>
    <n v="0.22888161808447352"/>
    <n v="353.89473684210526"/>
  </r>
  <r>
    <x v="473"/>
    <n v="6724"/>
    <n v="1539"/>
    <n v="19"/>
    <x v="2"/>
    <x v="11"/>
    <x v="4"/>
    <d v="2021-06-03T00:00:00"/>
    <x v="696"/>
    <x v="5"/>
    <s v="Dallas"/>
    <s v="2021-06"/>
    <x v="0"/>
    <x v="2"/>
    <s v="Q2"/>
    <n v="0.22888161808447352"/>
    <n v="353.89473684210526"/>
  </r>
  <r>
    <x v="474"/>
    <n v="9874"/>
    <n v="3895"/>
    <n v="4"/>
    <x v="1"/>
    <x v="9"/>
    <x v="2"/>
    <d v="2025-02-24T00:00:00"/>
    <x v="697"/>
    <x v="6"/>
    <s v="Cleveland"/>
    <s v="2025-02"/>
    <x v="7"/>
    <x v="5"/>
    <s v="Q1"/>
    <n v="0.39447032610897304"/>
    <n v="2468.5"/>
  </r>
  <r>
    <x v="475"/>
    <n v="4918"/>
    <n v="1485"/>
    <n v="7"/>
    <x v="0"/>
    <x v="10"/>
    <x v="0"/>
    <d v="2023-02-02T00:00:00"/>
    <x v="698"/>
    <x v="0"/>
    <s v="Tampa"/>
    <s v="2023-02"/>
    <x v="7"/>
    <x v="0"/>
    <s v="Q1"/>
    <n v="0.30195201301342006"/>
    <n v="702.57142857142856"/>
  </r>
  <r>
    <x v="476"/>
    <n v="3189"/>
    <n v="1180"/>
    <n v="19"/>
    <x v="1"/>
    <x v="8"/>
    <x v="3"/>
    <d v="2021-12-31T00:00:00"/>
    <x v="699"/>
    <x v="2"/>
    <s v="New York City"/>
    <s v="2021-12"/>
    <x v="1"/>
    <x v="2"/>
    <s v="Q4"/>
    <n v="0.370021950454688"/>
    <n v="167.84210526315789"/>
  </r>
  <r>
    <x v="477"/>
    <n v="2684"/>
    <n v="713"/>
    <n v="2"/>
    <x v="0"/>
    <x v="0"/>
    <x v="0"/>
    <d v="2024-06-15T00:00:00"/>
    <x v="700"/>
    <x v="2"/>
    <s v="New York City"/>
    <s v="2024-06"/>
    <x v="0"/>
    <x v="1"/>
    <s v="Q2"/>
    <n v="0.2656482861400894"/>
    <n v="1342"/>
  </r>
  <r>
    <x v="477"/>
    <n v="2684"/>
    <n v="713"/>
    <n v="2"/>
    <x v="0"/>
    <x v="0"/>
    <x v="0"/>
    <d v="2022-06-05T00:00:00"/>
    <x v="701"/>
    <x v="2"/>
    <s v="Buffalo"/>
    <s v="2022-06"/>
    <x v="0"/>
    <x v="3"/>
    <s v="Q2"/>
    <n v="0.2656482861400894"/>
    <n v="1342"/>
  </r>
  <r>
    <x v="477"/>
    <n v="2684"/>
    <n v="713"/>
    <n v="2"/>
    <x v="0"/>
    <x v="0"/>
    <x v="0"/>
    <d v="2020-05-11T00:00:00"/>
    <x v="702"/>
    <x v="5"/>
    <s v="Dallas"/>
    <s v="2020-05"/>
    <x v="3"/>
    <x v="4"/>
    <s v="Q2"/>
    <n v="0.2656482861400894"/>
    <n v="1342"/>
  </r>
  <r>
    <x v="478"/>
    <n v="7626"/>
    <n v="229"/>
    <n v="5"/>
    <x v="1"/>
    <x v="2"/>
    <x v="2"/>
    <d v="2024-02-11T00:00:00"/>
    <x v="703"/>
    <x v="1"/>
    <s v="Springfield"/>
    <s v="2024-02"/>
    <x v="7"/>
    <x v="1"/>
    <s v="Q1"/>
    <n v="3.002884867558353E-2"/>
    <n v="1525.2"/>
  </r>
  <r>
    <x v="478"/>
    <n v="7626"/>
    <n v="229"/>
    <n v="5"/>
    <x v="1"/>
    <x v="2"/>
    <x v="2"/>
    <d v="2020-11-25T00:00:00"/>
    <x v="704"/>
    <x v="6"/>
    <s v="Columbus"/>
    <s v="2020-11"/>
    <x v="5"/>
    <x v="4"/>
    <s v="Q4"/>
    <n v="3.002884867558353E-2"/>
    <n v="1525.2"/>
  </r>
  <r>
    <x v="479"/>
    <n v="6669"/>
    <n v="3063"/>
    <n v="19"/>
    <x v="0"/>
    <x v="1"/>
    <x v="0"/>
    <d v="2023-08-12T00:00:00"/>
    <x v="705"/>
    <x v="6"/>
    <s v="Cincinnati"/>
    <s v="2023-08"/>
    <x v="9"/>
    <x v="0"/>
    <s v="Q3"/>
    <n v="0.45928924876293298"/>
    <n v="351"/>
  </r>
  <r>
    <x v="480"/>
    <n v="6123"/>
    <n v="1686"/>
    <n v="3"/>
    <x v="1"/>
    <x v="6"/>
    <x v="3"/>
    <d v="2022-05-06T00:00:00"/>
    <x v="706"/>
    <x v="6"/>
    <s v="Cincinnati"/>
    <s v="2022-05"/>
    <x v="3"/>
    <x v="3"/>
    <s v="Q2"/>
    <n v="0.27535521803037727"/>
    <n v="2041"/>
  </r>
  <r>
    <x v="481"/>
    <n v="3265"/>
    <n v="1390"/>
    <n v="16"/>
    <x v="1"/>
    <x v="8"/>
    <x v="3"/>
    <d v="2024-01-17T00:00:00"/>
    <x v="707"/>
    <x v="3"/>
    <s v="Los Angeles"/>
    <s v="2024-01"/>
    <x v="8"/>
    <x v="1"/>
    <s v="Q1"/>
    <n v="0.42572741194486985"/>
    <n v="204.0625"/>
  </r>
  <r>
    <x v="482"/>
    <n v="8104"/>
    <n v="1039"/>
    <n v="6"/>
    <x v="1"/>
    <x v="6"/>
    <x v="4"/>
    <d v="2021-11-24T00:00:00"/>
    <x v="708"/>
    <x v="0"/>
    <s v="Orlando"/>
    <s v="2021-11"/>
    <x v="5"/>
    <x v="2"/>
    <s v="Q4"/>
    <n v="0.12820829220138202"/>
    <n v="1350.6666666666667"/>
  </r>
  <r>
    <x v="482"/>
    <n v="8104"/>
    <n v="1039"/>
    <n v="6"/>
    <x v="1"/>
    <x v="6"/>
    <x v="4"/>
    <d v="2021-10-06T00:00:00"/>
    <x v="709"/>
    <x v="0"/>
    <s v="Miami"/>
    <s v="2021-10"/>
    <x v="4"/>
    <x v="2"/>
    <s v="Q4"/>
    <n v="0.12820829220138202"/>
    <n v="1350.6666666666667"/>
  </r>
  <r>
    <x v="482"/>
    <n v="8104"/>
    <n v="1039"/>
    <n v="6"/>
    <x v="1"/>
    <x v="6"/>
    <x v="4"/>
    <d v="2025-01-27T00:00:00"/>
    <x v="710"/>
    <x v="3"/>
    <s v="San Francisco"/>
    <s v="2025-01"/>
    <x v="8"/>
    <x v="5"/>
    <s v="Q1"/>
    <n v="0.12820829220138202"/>
    <n v="1350.6666666666667"/>
  </r>
  <r>
    <x v="483"/>
    <n v="847"/>
    <n v="355"/>
    <n v="17"/>
    <x v="2"/>
    <x v="4"/>
    <x v="4"/>
    <d v="2022-05-23T00:00:00"/>
    <x v="711"/>
    <x v="2"/>
    <s v="Buffalo"/>
    <s v="2022-05"/>
    <x v="3"/>
    <x v="3"/>
    <s v="Q2"/>
    <n v="0.41912632821723733"/>
    <n v="49.823529411764703"/>
  </r>
  <r>
    <x v="483"/>
    <n v="847"/>
    <n v="355"/>
    <n v="17"/>
    <x v="2"/>
    <x v="4"/>
    <x v="4"/>
    <d v="2023-11-28T00:00:00"/>
    <x v="712"/>
    <x v="5"/>
    <s v="Austin"/>
    <s v="2023-11"/>
    <x v="5"/>
    <x v="0"/>
    <s v="Q4"/>
    <n v="0.41912632821723733"/>
    <n v="49.823529411764703"/>
  </r>
  <r>
    <x v="483"/>
    <n v="847"/>
    <n v="355"/>
    <n v="17"/>
    <x v="2"/>
    <x v="4"/>
    <x v="4"/>
    <d v="2023-01-18T00:00:00"/>
    <x v="713"/>
    <x v="3"/>
    <s v="San Francisco"/>
    <s v="2023-01"/>
    <x v="8"/>
    <x v="0"/>
    <s v="Q1"/>
    <n v="0.41912632821723733"/>
    <n v="49.823529411764703"/>
  </r>
  <r>
    <x v="484"/>
    <n v="3129"/>
    <n v="55"/>
    <n v="9"/>
    <x v="2"/>
    <x v="11"/>
    <x v="1"/>
    <d v="2021-09-06T00:00:00"/>
    <x v="714"/>
    <x v="1"/>
    <s v="Peoria"/>
    <s v="2021-09"/>
    <x v="10"/>
    <x v="2"/>
    <s v="Q3"/>
    <n v="1.7577500798977311E-2"/>
    <n v="347.66666666666669"/>
  </r>
  <r>
    <x v="484"/>
    <n v="7821"/>
    <n v="3821"/>
    <n v="13"/>
    <x v="0"/>
    <x v="3"/>
    <x v="2"/>
    <d v="2021-09-06T00:00:00"/>
    <x v="714"/>
    <x v="1"/>
    <s v="Peoria"/>
    <s v="2021-09"/>
    <x v="10"/>
    <x v="2"/>
    <s v="Q3"/>
    <n v="0.48855645058176705"/>
    <n v="601.61538461538464"/>
  </r>
  <r>
    <x v="485"/>
    <n v="9498"/>
    <n v="256"/>
    <n v="12"/>
    <x v="0"/>
    <x v="10"/>
    <x v="4"/>
    <d v="2021-02-22T00:00:00"/>
    <x v="715"/>
    <x v="1"/>
    <s v="Peoria"/>
    <s v="2021-02"/>
    <x v="7"/>
    <x v="2"/>
    <s v="Q1"/>
    <n v="2.6953042745841229E-2"/>
    <n v="791.5"/>
  </r>
  <r>
    <x v="485"/>
    <n v="9498"/>
    <n v="256"/>
    <n v="12"/>
    <x v="0"/>
    <x v="10"/>
    <x v="4"/>
    <d v="2021-10-06T00:00:00"/>
    <x v="716"/>
    <x v="2"/>
    <s v="New York City"/>
    <s v="2021-10"/>
    <x v="4"/>
    <x v="2"/>
    <s v="Q4"/>
    <n v="2.6953042745841229E-2"/>
    <n v="791.5"/>
  </r>
  <r>
    <x v="486"/>
    <n v="5461"/>
    <n v="1214"/>
    <n v="7"/>
    <x v="2"/>
    <x v="7"/>
    <x v="3"/>
    <d v="2020-06-07T00:00:00"/>
    <x v="717"/>
    <x v="2"/>
    <s v="Rochester"/>
    <s v="2020-06"/>
    <x v="0"/>
    <x v="4"/>
    <s v="Q2"/>
    <n v="0.22230360739791247"/>
    <n v="780.14285714285711"/>
  </r>
  <r>
    <x v="487"/>
    <n v="3084"/>
    <n v="611"/>
    <n v="19"/>
    <x v="2"/>
    <x v="11"/>
    <x v="0"/>
    <d v="2024-05-21T00:00:00"/>
    <x v="718"/>
    <x v="5"/>
    <s v="Dallas"/>
    <s v="2024-05"/>
    <x v="3"/>
    <x v="1"/>
    <s v="Q2"/>
    <n v="0.19811932555123216"/>
    <n v="162.31578947368422"/>
  </r>
  <r>
    <x v="488"/>
    <n v="6087"/>
    <n v="3043"/>
    <n v="1"/>
    <x v="2"/>
    <x v="7"/>
    <x v="4"/>
    <d v="2020-08-05T00:00:00"/>
    <x v="719"/>
    <x v="2"/>
    <s v="Buffalo"/>
    <s v="2020-08"/>
    <x v="9"/>
    <x v="4"/>
    <s v="Q3"/>
    <n v="0.49991785772958763"/>
    <n v="6087"/>
  </r>
  <r>
    <x v="489"/>
    <n v="611"/>
    <n v="300"/>
    <n v="3"/>
    <x v="2"/>
    <x v="11"/>
    <x v="3"/>
    <d v="2020-10-15T00:00:00"/>
    <x v="720"/>
    <x v="1"/>
    <s v="Peoria"/>
    <s v="2020-10"/>
    <x v="4"/>
    <x v="4"/>
    <s v="Q4"/>
    <n v="0.49099836333878888"/>
    <n v="203.66666666666666"/>
  </r>
  <r>
    <x v="490"/>
    <n v="9909"/>
    <n v="2999"/>
    <n v="18"/>
    <x v="1"/>
    <x v="6"/>
    <x v="4"/>
    <d v="2021-05-15T00:00:00"/>
    <x v="721"/>
    <x v="6"/>
    <s v="Cleveland"/>
    <s v="2021-05"/>
    <x v="3"/>
    <x v="2"/>
    <s v="Q2"/>
    <n v="0.30265415279039259"/>
    <n v="550.5"/>
  </r>
  <r>
    <x v="490"/>
    <n v="9909"/>
    <n v="2999"/>
    <n v="18"/>
    <x v="1"/>
    <x v="6"/>
    <x v="4"/>
    <d v="2022-01-13T00:00:00"/>
    <x v="722"/>
    <x v="5"/>
    <s v="Austin"/>
    <s v="2022-01"/>
    <x v="8"/>
    <x v="3"/>
    <s v="Q1"/>
    <n v="0.30265415279039259"/>
    <n v="550.5"/>
  </r>
  <r>
    <x v="491"/>
    <n v="6485"/>
    <n v="3178"/>
    <n v="18"/>
    <x v="2"/>
    <x v="7"/>
    <x v="0"/>
    <d v="2023-07-18T00:00:00"/>
    <x v="723"/>
    <x v="6"/>
    <s v="Columbus"/>
    <s v="2023-07"/>
    <x v="2"/>
    <x v="0"/>
    <s v="Q3"/>
    <n v="0.4900539707016191"/>
    <n v="360.27777777777777"/>
  </r>
  <r>
    <x v="492"/>
    <n v="7259"/>
    <n v="1969"/>
    <n v="10"/>
    <x v="0"/>
    <x v="3"/>
    <x v="3"/>
    <d v="2022-12-08T00:00:00"/>
    <x v="724"/>
    <x v="1"/>
    <s v="Springfield"/>
    <s v="2022-12"/>
    <x v="1"/>
    <x v="3"/>
    <s v="Q4"/>
    <n v="0.27124948339991733"/>
    <n v="725.9"/>
  </r>
  <r>
    <x v="493"/>
    <n v="3333"/>
    <n v="700"/>
    <n v="18"/>
    <x v="0"/>
    <x v="1"/>
    <x v="4"/>
    <d v="2023-04-17T00:00:00"/>
    <x v="725"/>
    <x v="0"/>
    <s v="Miami"/>
    <s v="2023-04"/>
    <x v="11"/>
    <x v="0"/>
    <s v="Q2"/>
    <n v="0.21002100210021002"/>
    <n v="185.16666666666666"/>
  </r>
  <r>
    <x v="494"/>
    <n v="7786"/>
    <n v="1202"/>
    <n v="4"/>
    <x v="2"/>
    <x v="7"/>
    <x v="2"/>
    <d v="2020-06-23T00:00:00"/>
    <x v="726"/>
    <x v="1"/>
    <s v="Peoria"/>
    <s v="2020-06"/>
    <x v="0"/>
    <x v="4"/>
    <s v="Q2"/>
    <n v="0.15437965579244797"/>
    <n v="1946.5"/>
  </r>
  <r>
    <x v="495"/>
    <n v="7644"/>
    <n v="2428"/>
    <n v="6"/>
    <x v="0"/>
    <x v="10"/>
    <x v="1"/>
    <d v="2022-01-20T00:00:00"/>
    <x v="727"/>
    <x v="1"/>
    <s v="Springfield"/>
    <s v="2022-01"/>
    <x v="8"/>
    <x v="3"/>
    <s v="Q1"/>
    <n v="0.31763474620617477"/>
    <n v="1274"/>
  </r>
  <r>
    <x v="496"/>
    <n v="1476"/>
    <n v="247"/>
    <n v="5"/>
    <x v="2"/>
    <x v="11"/>
    <x v="4"/>
    <d v="2023-11-18T00:00:00"/>
    <x v="728"/>
    <x v="3"/>
    <s v="Los Angeles"/>
    <s v="2023-11"/>
    <x v="5"/>
    <x v="0"/>
    <s v="Q4"/>
    <n v="0.16734417344173441"/>
    <n v="295.2"/>
  </r>
  <r>
    <x v="496"/>
    <n v="1476"/>
    <n v="247"/>
    <n v="5"/>
    <x v="2"/>
    <x v="11"/>
    <x v="4"/>
    <d v="2022-01-19T00:00:00"/>
    <x v="729"/>
    <x v="3"/>
    <s v="San Diego"/>
    <s v="2022-01"/>
    <x v="8"/>
    <x v="3"/>
    <s v="Q1"/>
    <n v="0.16734417344173441"/>
    <n v="295.2"/>
  </r>
  <r>
    <x v="497"/>
    <n v="3445"/>
    <n v="1405"/>
    <n v="16"/>
    <x v="2"/>
    <x v="7"/>
    <x v="2"/>
    <d v="2020-09-21T00:00:00"/>
    <x v="730"/>
    <x v="3"/>
    <s v="San Francisco"/>
    <s v="2020-09"/>
    <x v="10"/>
    <x v="4"/>
    <s v="Q3"/>
    <n v="0.40783744557329465"/>
    <n v="215.3125"/>
  </r>
  <r>
    <x v="497"/>
    <n v="9837"/>
    <n v="384"/>
    <n v="1"/>
    <x v="0"/>
    <x v="3"/>
    <x v="0"/>
    <d v="2020-09-21T00:00:00"/>
    <x v="730"/>
    <x v="3"/>
    <s v="San Francisco"/>
    <s v="2020-09"/>
    <x v="10"/>
    <x v="4"/>
    <s v="Q3"/>
    <n v="3.9036291552302531E-2"/>
    <n v="9837"/>
  </r>
  <r>
    <x v="498"/>
    <n v="1314"/>
    <n v="457"/>
    <n v="8"/>
    <x v="2"/>
    <x v="7"/>
    <x v="2"/>
    <d v="2021-06-11T00:00:00"/>
    <x v="731"/>
    <x v="3"/>
    <s v="San Diego"/>
    <s v="2021-06"/>
    <x v="0"/>
    <x v="2"/>
    <s v="Q2"/>
    <n v="0.34779299847792999"/>
    <n v="164.25"/>
  </r>
  <r>
    <x v="499"/>
    <n v="5951"/>
    <n v="936"/>
    <n v="6"/>
    <x v="0"/>
    <x v="3"/>
    <x v="1"/>
    <d v="2024-08-07T00:00:00"/>
    <x v="732"/>
    <x v="5"/>
    <s v="Dallas"/>
    <s v="2024-08"/>
    <x v="9"/>
    <x v="1"/>
    <s v="Q3"/>
    <n v="0.15728449000168038"/>
    <n v="991.83333333333337"/>
  </r>
  <r>
    <x v="499"/>
    <n v="5951"/>
    <n v="936"/>
    <n v="6"/>
    <x v="0"/>
    <x v="3"/>
    <x v="1"/>
    <d v="2022-07-26T00:00:00"/>
    <x v="733"/>
    <x v="6"/>
    <s v="Columbus"/>
    <s v="2022-07"/>
    <x v="2"/>
    <x v="3"/>
    <s v="Q3"/>
    <n v="0.15728449000168038"/>
    <n v="991.83333333333337"/>
  </r>
  <r>
    <x v="500"/>
    <n v="992"/>
    <n v="177"/>
    <n v="6"/>
    <x v="0"/>
    <x v="10"/>
    <x v="0"/>
    <d v="2024-01-13T00:00:00"/>
    <x v="734"/>
    <x v="3"/>
    <s v="Los Angeles"/>
    <s v="2024-01"/>
    <x v="8"/>
    <x v="1"/>
    <s v="Q1"/>
    <n v="0.17842741935483872"/>
    <n v="165.33333333333334"/>
  </r>
  <r>
    <x v="500"/>
    <n v="4699"/>
    <n v="625"/>
    <n v="18"/>
    <x v="1"/>
    <x v="6"/>
    <x v="2"/>
    <d v="2024-01-13T00:00:00"/>
    <x v="734"/>
    <x v="3"/>
    <s v="Los Angeles"/>
    <s v="2024-01"/>
    <x v="8"/>
    <x v="1"/>
    <s v="Q1"/>
    <n v="0.13300702277080229"/>
    <n v="261.05555555555554"/>
  </r>
  <r>
    <x v="501"/>
    <n v="5557"/>
    <n v="2114"/>
    <n v="17"/>
    <x v="0"/>
    <x v="3"/>
    <x v="2"/>
    <d v="2021-05-28T00:00:00"/>
    <x v="735"/>
    <x v="6"/>
    <s v="Cleveland"/>
    <s v="2021-05"/>
    <x v="3"/>
    <x v="2"/>
    <s v="Q2"/>
    <n v="0.38042109051646572"/>
    <n v="326.88235294117646"/>
  </r>
  <r>
    <x v="502"/>
    <n v="3436"/>
    <n v="933"/>
    <n v="3"/>
    <x v="0"/>
    <x v="0"/>
    <x v="3"/>
    <d v="2021-06-13T00:00:00"/>
    <x v="736"/>
    <x v="5"/>
    <s v="Dallas"/>
    <s v="2021-06"/>
    <x v="0"/>
    <x v="2"/>
    <s v="Q2"/>
    <n v="0.27153667054714786"/>
    <n v="1145.3333333333333"/>
  </r>
  <r>
    <x v="503"/>
    <n v="9840"/>
    <n v="3870"/>
    <n v="11"/>
    <x v="0"/>
    <x v="1"/>
    <x v="1"/>
    <d v="2023-04-25T00:00:00"/>
    <x v="737"/>
    <x v="5"/>
    <s v="Austin"/>
    <s v="2023-04"/>
    <x v="11"/>
    <x v="0"/>
    <s v="Q2"/>
    <n v="0.39329268292682928"/>
    <n v="894.5454545454545"/>
  </r>
  <r>
    <x v="504"/>
    <n v="7620"/>
    <n v="125"/>
    <n v="4"/>
    <x v="1"/>
    <x v="8"/>
    <x v="2"/>
    <d v="2021-07-05T00:00:00"/>
    <x v="738"/>
    <x v="3"/>
    <s v="San Francisco"/>
    <s v="2021-07"/>
    <x v="2"/>
    <x v="2"/>
    <s v="Q3"/>
    <n v="1.6404199475065617E-2"/>
    <n v="1905"/>
  </r>
  <r>
    <x v="504"/>
    <n v="7620"/>
    <n v="125"/>
    <n v="4"/>
    <x v="1"/>
    <x v="8"/>
    <x v="2"/>
    <d v="2024-10-12T00:00:00"/>
    <x v="739"/>
    <x v="3"/>
    <s v="San Francisco"/>
    <s v="2024-10"/>
    <x v="4"/>
    <x v="1"/>
    <s v="Q4"/>
    <n v="1.6404199475065617E-2"/>
    <n v="1905"/>
  </r>
  <r>
    <x v="505"/>
    <n v="4314"/>
    <n v="1591"/>
    <n v="5"/>
    <x v="2"/>
    <x v="4"/>
    <x v="1"/>
    <d v="2021-10-04T00:00:00"/>
    <x v="740"/>
    <x v="2"/>
    <s v="Buffalo"/>
    <s v="2021-10"/>
    <x v="4"/>
    <x v="2"/>
    <s v="Q4"/>
    <n v="0.36879925822902176"/>
    <n v="862.8"/>
  </r>
  <r>
    <x v="506"/>
    <n v="8851"/>
    <n v="999"/>
    <n v="12"/>
    <x v="0"/>
    <x v="3"/>
    <x v="0"/>
    <d v="2024-02-07T00:00:00"/>
    <x v="741"/>
    <x v="6"/>
    <s v="Cincinnati"/>
    <s v="2024-02"/>
    <x v="7"/>
    <x v="1"/>
    <s v="Q1"/>
    <n v="0.1128686024178059"/>
    <n v="737.58333333333337"/>
  </r>
  <r>
    <x v="507"/>
    <n v="544"/>
    <n v="272"/>
    <n v="2"/>
    <x v="0"/>
    <x v="3"/>
    <x v="1"/>
    <d v="2021-03-05T00:00:00"/>
    <x v="742"/>
    <x v="5"/>
    <s v="Houston"/>
    <s v="2021-03"/>
    <x v="6"/>
    <x v="2"/>
    <s v="Q1"/>
    <n v="0.5"/>
    <n v="272"/>
  </r>
  <r>
    <x v="507"/>
    <n v="544"/>
    <n v="272"/>
    <n v="2"/>
    <x v="0"/>
    <x v="3"/>
    <x v="1"/>
    <d v="2023-06-25T00:00:00"/>
    <x v="743"/>
    <x v="2"/>
    <s v="Buffalo"/>
    <s v="2023-06"/>
    <x v="0"/>
    <x v="0"/>
    <s v="Q2"/>
    <n v="0.5"/>
    <n v="272"/>
  </r>
  <r>
    <x v="508"/>
    <n v="537"/>
    <n v="142"/>
    <n v="20"/>
    <x v="1"/>
    <x v="6"/>
    <x v="2"/>
    <d v="2021-08-02T00:00:00"/>
    <x v="744"/>
    <x v="1"/>
    <s v="Peoria"/>
    <s v="2021-08"/>
    <x v="9"/>
    <x v="2"/>
    <s v="Q3"/>
    <n v="0.26443202979515829"/>
    <n v="26.85"/>
  </r>
  <r>
    <x v="509"/>
    <n v="5944"/>
    <n v="2661"/>
    <n v="7"/>
    <x v="0"/>
    <x v="3"/>
    <x v="2"/>
    <d v="2022-03-17T00:00:00"/>
    <x v="745"/>
    <x v="5"/>
    <s v="Austin"/>
    <s v="2022-03"/>
    <x v="6"/>
    <x v="3"/>
    <s v="Q1"/>
    <n v="0.44767833109017496"/>
    <n v="849.14285714285711"/>
  </r>
  <r>
    <x v="510"/>
    <n v="2258"/>
    <n v="135"/>
    <n v="18"/>
    <x v="0"/>
    <x v="1"/>
    <x v="3"/>
    <d v="2024-02-07T00:00:00"/>
    <x v="746"/>
    <x v="0"/>
    <s v="Miami"/>
    <s v="2024-02"/>
    <x v="7"/>
    <x v="1"/>
    <s v="Q1"/>
    <n v="5.9787422497785653E-2"/>
    <n v="125.44444444444444"/>
  </r>
  <r>
    <x v="510"/>
    <n v="2258"/>
    <n v="135"/>
    <n v="18"/>
    <x v="0"/>
    <x v="1"/>
    <x v="3"/>
    <d v="2022-08-19T00:00:00"/>
    <x v="747"/>
    <x v="3"/>
    <s v="San Diego"/>
    <s v="2022-08"/>
    <x v="9"/>
    <x v="3"/>
    <s v="Q3"/>
    <n v="5.9787422497785653E-2"/>
    <n v="125.44444444444444"/>
  </r>
  <r>
    <x v="511"/>
    <n v="9609"/>
    <n v="4339"/>
    <n v="3"/>
    <x v="2"/>
    <x v="7"/>
    <x v="1"/>
    <d v="2024-09-19T00:00:00"/>
    <x v="748"/>
    <x v="5"/>
    <s v="Houston"/>
    <s v="2024-09"/>
    <x v="10"/>
    <x v="1"/>
    <s v="Q3"/>
    <n v="0.45155583307316061"/>
    <n v="3203"/>
  </r>
  <r>
    <x v="511"/>
    <n v="9609"/>
    <n v="4339"/>
    <n v="3"/>
    <x v="2"/>
    <x v="7"/>
    <x v="1"/>
    <d v="2020-04-05T00:00:00"/>
    <x v="749"/>
    <x v="6"/>
    <s v="Cincinnati"/>
    <s v="2020-04"/>
    <x v="11"/>
    <x v="4"/>
    <s v="Q2"/>
    <n v="0.45155583307316061"/>
    <n v="3203"/>
  </r>
  <r>
    <x v="512"/>
    <n v="9952"/>
    <n v="3301"/>
    <n v="15"/>
    <x v="0"/>
    <x v="0"/>
    <x v="1"/>
    <d v="2023-03-10T00:00:00"/>
    <x v="750"/>
    <x v="5"/>
    <s v="Dallas"/>
    <s v="2023-03"/>
    <x v="6"/>
    <x v="0"/>
    <s v="Q1"/>
    <n v="0.33169212218649519"/>
    <n v="663.4666666666667"/>
  </r>
  <r>
    <x v="513"/>
    <n v="9873"/>
    <n v="4585"/>
    <n v="7"/>
    <x v="1"/>
    <x v="8"/>
    <x v="3"/>
    <d v="2020-08-10T00:00:00"/>
    <x v="751"/>
    <x v="6"/>
    <s v="Columbus"/>
    <s v="2020-08"/>
    <x v="9"/>
    <x v="4"/>
    <s v="Q3"/>
    <n v="0.46439785272966677"/>
    <n v="1410.4285714285713"/>
  </r>
  <r>
    <x v="514"/>
    <n v="3560"/>
    <n v="1335"/>
    <n v="15"/>
    <x v="0"/>
    <x v="0"/>
    <x v="4"/>
    <d v="2020-04-29T00:00:00"/>
    <x v="752"/>
    <x v="2"/>
    <s v="New York City"/>
    <s v="2020-04"/>
    <x v="11"/>
    <x v="4"/>
    <s v="Q2"/>
    <n v="0.375"/>
    <n v="237.33333333333334"/>
  </r>
  <r>
    <x v="514"/>
    <n v="3560"/>
    <n v="1335"/>
    <n v="15"/>
    <x v="0"/>
    <x v="0"/>
    <x v="4"/>
    <d v="2023-03-16T00:00:00"/>
    <x v="753"/>
    <x v="1"/>
    <s v="Springfield"/>
    <s v="2023-03"/>
    <x v="6"/>
    <x v="0"/>
    <s v="Q1"/>
    <n v="0.375"/>
    <n v="237.33333333333334"/>
  </r>
  <r>
    <x v="515"/>
    <n v="6528"/>
    <n v="76"/>
    <n v="9"/>
    <x v="0"/>
    <x v="10"/>
    <x v="1"/>
    <d v="2020-05-04T00:00:00"/>
    <x v="754"/>
    <x v="2"/>
    <s v="Buffalo"/>
    <s v="2020-05"/>
    <x v="3"/>
    <x v="4"/>
    <s v="Q2"/>
    <n v="1.1642156862745098E-2"/>
    <n v="725.33333333333337"/>
  </r>
  <r>
    <x v="515"/>
    <n v="8930"/>
    <n v="3374"/>
    <n v="12"/>
    <x v="2"/>
    <x v="7"/>
    <x v="1"/>
    <d v="2020-05-04T00:00:00"/>
    <x v="754"/>
    <x v="2"/>
    <s v="Buffalo"/>
    <s v="2020-05"/>
    <x v="3"/>
    <x v="4"/>
    <s v="Q2"/>
    <n v="0.37782754759238524"/>
    <n v="744.16666666666663"/>
  </r>
  <r>
    <x v="516"/>
    <n v="4521"/>
    <n v="1778"/>
    <n v="9"/>
    <x v="1"/>
    <x v="8"/>
    <x v="1"/>
    <d v="2024-10-15T00:00:00"/>
    <x v="755"/>
    <x v="0"/>
    <s v="Tampa"/>
    <s v="2024-10"/>
    <x v="4"/>
    <x v="1"/>
    <s v="Q4"/>
    <n v="0.39327582393275823"/>
    <n v="502.33333333333331"/>
  </r>
  <r>
    <x v="517"/>
    <n v="7091"/>
    <n v="2317"/>
    <n v="10"/>
    <x v="2"/>
    <x v="7"/>
    <x v="3"/>
    <d v="2022-06-09T00:00:00"/>
    <x v="756"/>
    <x v="3"/>
    <s v="San Diego"/>
    <s v="2022-06"/>
    <x v="0"/>
    <x v="3"/>
    <s v="Q2"/>
    <n v="0.32675222112537017"/>
    <n v="709.1"/>
  </r>
  <r>
    <x v="518"/>
    <n v="2101"/>
    <n v="287"/>
    <n v="8"/>
    <x v="1"/>
    <x v="2"/>
    <x v="4"/>
    <d v="2020-07-04T00:00:00"/>
    <x v="349"/>
    <x v="6"/>
    <s v="Cleveland"/>
    <s v="2020-07"/>
    <x v="2"/>
    <x v="4"/>
    <s v="Q3"/>
    <n v="0.13660161827701095"/>
    <n v="262.625"/>
  </r>
  <r>
    <x v="518"/>
    <n v="2101"/>
    <n v="287"/>
    <n v="8"/>
    <x v="1"/>
    <x v="2"/>
    <x v="4"/>
    <d v="2023-04-09T00:00:00"/>
    <x v="757"/>
    <x v="1"/>
    <s v="Chicago"/>
    <s v="2023-04"/>
    <x v="11"/>
    <x v="0"/>
    <s v="Q2"/>
    <n v="0.13660161827701095"/>
    <n v="262.625"/>
  </r>
  <r>
    <x v="519"/>
    <n v="8644"/>
    <n v="1968"/>
    <n v="9"/>
    <x v="1"/>
    <x v="8"/>
    <x v="1"/>
    <d v="2023-11-24T00:00:00"/>
    <x v="758"/>
    <x v="1"/>
    <s v="Chicago"/>
    <s v="2023-11"/>
    <x v="5"/>
    <x v="0"/>
    <s v="Q4"/>
    <n v="0.22767237390097178"/>
    <n v="960.44444444444446"/>
  </r>
  <r>
    <x v="520"/>
    <n v="6672"/>
    <n v="3319"/>
    <n v="4"/>
    <x v="2"/>
    <x v="4"/>
    <x v="0"/>
    <d v="2023-11-29T00:00:00"/>
    <x v="759"/>
    <x v="5"/>
    <s v="Dallas"/>
    <s v="2023-11"/>
    <x v="5"/>
    <x v="0"/>
    <s v="Q4"/>
    <n v="0.49745203836930457"/>
    <n v="1668"/>
  </r>
  <r>
    <x v="520"/>
    <n v="6672"/>
    <n v="3319"/>
    <n v="4"/>
    <x v="2"/>
    <x v="4"/>
    <x v="0"/>
    <d v="2024-05-20T00:00:00"/>
    <x v="760"/>
    <x v="3"/>
    <s v="San Diego"/>
    <s v="2024-05"/>
    <x v="3"/>
    <x v="1"/>
    <s v="Q2"/>
    <n v="0.49745203836930457"/>
    <n v="1668"/>
  </r>
  <r>
    <x v="521"/>
    <n v="4699"/>
    <n v="103"/>
    <n v="12"/>
    <x v="1"/>
    <x v="9"/>
    <x v="0"/>
    <d v="2024-05-21T00:00:00"/>
    <x v="761"/>
    <x v="6"/>
    <s v="Cincinnati"/>
    <s v="2024-05"/>
    <x v="3"/>
    <x v="1"/>
    <s v="Q2"/>
    <n v="2.1919557352628218E-2"/>
    <n v="391.58333333333331"/>
  </r>
  <r>
    <x v="522"/>
    <n v="4897"/>
    <n v="1001"/>
    <n v="14"/>
    <x v="2"/>
    <x v="7"/>
    <x v="1"/>
    <d v="2021-12-07T00:00:00"/>
    <x v="762"/>
    <x v="5"/>
    <s v="Houston"/>
    <s v="2021-12"/>
    <x v="1"/>
    <x v="2"/>
    <s v="Q4"/>
    <n v="0.20441086379415968"/>
    <n v="349.78571428571428"/>
  </r>
  <r>
    <x v="522"/>
    <n v="4897"/>
    <n v="1001"/>
    <n v="14"/>
    <x v="2"/>
    <x v="7"/>
    <x v="1"/>
    <d v="2025-01-06T00:00:00"/>
    <x v="763"/>
    <x v="6"/>
    <s v="Cincinnati"/>
    <s v="2025-01"/>
    <x v="8"/>
    <x v="5"/>
    <s v="Q1"/>
    <n v="0.20441086379415968"/>
    <n v="349.78571428571428"/>
  </r>
  <r>
    <x v="523"/>
    <n v="5460"/>
    <n v="2088"/>
    <n v="14"/>
    <x v="2"/>
    <x v="4"/>
    <x v="1"/>
    <d v="2022-07-13T00:00:00"/>
    <x v="764"/>
    <x v="2"/>
    <s v="Buffalo"/>
    <s v="2022-07"/>
    <x v="2"/>
    <x v="3"/>
    <s v="Q3"/>
    <n v="0.38241758241758239"/>
    <n v="390"/>
  </r>
  <r>
    <x v="523"/>
    <n v="5460"/>
    <n v="2088"/>
    <n v="14"/>
    <x v="2"/>
    <x v="4"/>
    <x v="1"/>
    <d v="2020-04-19T00:00:00"/>
    <x v="765"/>
    <x v="6"/>
    <s v="Cincinnati"/>
    <s v="2020-04"/>
    <x v="11"/>
    <x v="4"/>
    <s v="Q2"/>
    <n v="0.38241758241758239"/>
    <n v="390"/>
  </r>
  <r>
    <x v="524"/>
    <n v="9272"/>
    <n v="1771"/>
    <n v="19"/>
    <x v="1"/>
    <x v="6"/>
    <x v="0"/>
    <d v="2024-11-14T00:00:00"/>
    <x v="766"/>
    <x v="1"/>
    <s v="Springfield"/>
    <s v="2024-11"/>
    <x v="5"/>
    <x v="1"/>
    <s v="Q4"/>
    <n v="0.19100517687661778"/>
    <n v="488"/>
  </r>
  <r>
    <x v="524"/>
    <n v="9272"/>
    <n v="1771"/>
    <n v="19"/>
    <x v="1"/>
    <x v="6"/>
    <x v="0"/>
    <d v="2020-04-18T00:00:00"/>
    <x v="767"/>
    <x v="5"/>
    <s v="Dallas"/>
    <s v="2020-04"/>
    <x v="11"/>
    <x v="4"/>
    <s v="Q2"/>
    <n v="0.19100517687661778"/>
    <n v="488"/>
  </r>
  <r>
    <x v="525"/>
    <n v="7870"/>
    <n v="1057"/>
    <n v="15"/>
    <x v="1"/>
    <x v="2"/>
    <x v="3"/>
    <d v="2023-10-18T00:00:00"/>
    <x v="768"/>
    <x v="5"/>
    <s v="Houston"/>
    <s v="2023-10"/>
    <x v="4"/>
    <x v="0"/>
    <s v="Q4"/>
    <n v="0.13430749682337992"/>
    <n v="524.66666666666663"/>
  </r>
  <r>
    <x v="525"/>
    <n v="7870"/>
    <n v="1057"/>
    <n v="15"/>
    <x v="1"/>
    <x v="2"/>
    <x v="3"/>
    <d v="2021-03-21T00:00:00"/>
    <x v="769"/>
    <x v="6"/>
    <s v="Cleveland"/>
    <s v="2021-03"/>
    <x v="6"/>
    <x v="2"/>
    <s v="Q1"/>
    <n v="0.13430749682337992"/>
    <n v="524.66666666666663"/>
  </r>
  <r>
    <x v="526"/>
    <n v="7992"/>
    <n v="893"/>
    <n v="12"/>
    <x v="0"/>
    <x v="3"/>
    <x v="3"/>
    <d v="2024-09-13T00:00:00"/>
    <x v="770"/>
    <x v="6"/>
    <s v="Cleveland"/>
    <s v="2024-09"/>
    <x v="10"/>
    <x v="1"/>
    <s v="Q3"/>
    <n v="0.11173673673673673"/>
    <n v="666"/>
  </r>
  <r>
    <x v="526"/>
    <n v="7992"/>
    <n v="893"/>
    <n v="12"/>
    <x v="0"/>
    <x v="3"/>
    <x v="3"/>
    <d v="2023-05-04T00:00:00"/>
    <x v="771"/>
    <x v="2"/>
    <s v="New York City"/>
    <s v="2023-05"/>
    <x v="3"/>
    <x v="0"/>
    <s v="Q2"/>
    <n v="0.11173673673673673"/>
    <n v="666"/>
  </r>
  <r>
    <x v="526"/>
    <n v="7992"/>
    <n v="893"/>
    <n v="12"/>
    <x v="0"/>
    <x v="3"/>
    <x v="3"/>
    <d v="2023-05-31T00:00:00"/>
    <x v="772"/>
    <x v="1"/>
    <s v="Chicago"/>
    <s v="2023-05"/>
    <x v="3"/>
    <x v="0"/>
    <s v="Q2"/>
    <n v="0.11173673673673673"/>
    <n v="666"/>
  </r>
  <r>
    <x v="527"/>
    <n v="6499"/>
    <n v="2189"/>
    <n v="18"/>
    <x v="0"/>
    <x v="0"/>
    <x v="2"/>
    <d v="2024-06-15T00:00:00"/>
    <x v="773"/>
    <x v="2"/>
    <s v="New York City"/>
    <s v="2024-06"/>
    <x v="0"/>
    <x v="1"/>
    <s v="Q2"/>
    <n v="0.33682104939221419"/>
    <n v="361.05555555555554"/>
  </r>
  <r>
    <x v="527"/>
    <n v="6499"/>
    <n v="2189"/>
    <n v="18"/>
    <x v="0"/>
    <x v="0"/>
    <x v="2"/>
    <d v="2021-04-03T00:00:00"/>
    <x v="774"/>
    <x v="0"/>
    <s v="Orlando"/>
    <s v="2021-04"/>
    <x v="11"/>
    <x v="2"/>
    <s v="Q2"/>
    <n v="0.33682104939221419"/>
    <n v="361.05555555555554"/>
  </r>
  <r>
    <x v="528"/>
    <n v="8848"/>
    <n v="2090"/>
    <n v="9"/>
    <x v="1"/>
    <x v="2"/>
    <x v="1"/>
    <d v="2025-01-14T00:00:00"/>
    <x v="775"/>
    <x v="3"/>
    <s v="San Diego"/>
    <s v="2025-01"/>
    <x v="8"/>
    <x v="5"/>
    <s v="Q1"/>
    <n v="0.23621157323688968"/>
    <n v="983.11111111111109"/>
  </r>
  <r>
    <x v="529"/>
    <n v="8044"/>
    <n v="3634"/>
    <n v="3"/>
    <x v="1"/>
    <x v="6"/>
    <x v="4"/>
    <d v="2020-12-24T00:00:00"/>
    <x v="776"/>
    <x v="0"/>
    <s v="Orlando"/>
    <s v="2020-12"/>
    <x v="1"/>
    <x v="4"/>
    <s v="Q4"/>
    <n v="0.45176529090004974"/>
    <n v="2681.3333333333335"/>
  </r>
  <r>
    <x v="529"/>
    <n v="8044"/>
    <n v="3634"/>
    <n v="3"/>
    <x v="1"/>
    <x v="6"/>
    <x v="4"/>
    <d v="2022-10-07T00:00:00"/>
    <x v="777"/>
    <x v="3"/>
    <s v="San Diego"/>
    <s v="2022-10"/>
    <x v="4"/>
    <x v="3"/>
    <s v="Q4"/>
    <n v="0.45176529090004974"/>
    <n v="2681.3333333333335"/>
  </r>
  <r>
    <x v="530"/>
    <n v="7417"/>
    <n v="1334"/>
    <n v="16"/>
    <x v="2"/>
    <x v="11"/>
    <x v="4"/>
    <d v="2021-10-05T00:00:00"/>
    <x v="778"/>
    <x v="0"/>
    <s v="Tampa"/>
    <s v="2021-10"/>
    <x v="4"/>
    <x v="2"/>
    <s v="Q4"/>
    <n v="0.17985708507482809"/>
    <n v="463.5625"/>
  </r>
  <r>
    <x v="531"/>
    <n v="3451"/>
    <n v="658"/>
    <n v="3"/>
    <x v="1"/>
    <x v="6"/>
    <x v="0"/>
    <d v="2024-12-28T00:00:00"/>
    <x v="779"/>
    <x v="1"/>
    <s v="Chicago"/>
    <s v="2024-12"/>
    <x v="1"/>
    <x v="1"/>
    <s v="Q4"/>
    <n v="0.19066937119675456"/>
    <n v="1150.3333333333333"/>
  </r>
  <r>
    <x v="532"/>
    <n v="8531"/>
    <n v="2555"/>
    <n v="4"/>
    <x v="0"/>
    <x v="3"/>
    <x v="2"/>
    <d v="2022-05-14T00:00:00"/>
    <x v="780"/>
    <x v="5"/>
    <s v="Austin"/>
    <s v="2022-05"/>
    <x v="3"/>
    <x v="3"/>
    <s v="Q2"/>
    <n v="0.29949595592544836"/>
    <n v="2132.75"/>
  </r>
  <r>
    <x v="533"/>
    <n v="6646"/>
    <n v="848"/>
    <n v="15"/>
    <x v="2"/>
    <x v="7"/>
    <x v="1"/>
    <d v="2023-08-19T00:00:00"/>
    <x v="781"/>
    <x v="2"/>
    <s v="New York City"/>
    <s v="2023-08"/>
    <x v="9"/>
    <x v="0"/>
    <s v="Q3"/>
    <n v="0.12759554619319891"/>
    <n v="443.06666666666666"/>
  </r>
  <r>
    <x v="533"/>
    <n v="6646"/>
    <n v="848"/>
    <n v="15"/>
    <x v="2"/>
    <x v="7"/>
    <x v="1"/>
    <d v="2023-07-14T00:00:00"/>
    <x v="782"/>
    <x v="2"/>
    <s v="Buffalo"/>
    <s v="2023-07"/>
    <x v="2"/>
    <x v="0"/>
    <s v="Q3"/>
    <n v="0.12759554619319891"/>
    <n v="443.06666666666666"/>
  </r>
  <r>
    <x v="534"/>
    <n v="2553"/>
    <n v="907"/>
    <n v="6"/>
    <x v="0"/>
    <x v="3"/>
    <x v="3"/>
    <d v="2023-06-22T00:00:00"/>
    <x v="783"/>
    <x v="5"/>
    <s v="Dallas"/>
    <s v="2023-06"/>
    <x v="0"/>
    <x v="0"/>
    <s v="Q2"/>
    <n v="0.35526831179005092"/>
    <n v="425.5"/>
  </r>
  <r>
    <x v="535"/>
    <n v="8490"/>
    <n v="3485"/>
    <n v="3"/>
    <x v="0"/>
    <x v="10"/>
    <x v="3"/>
    <d v="2023-03-21T00:00:00"/>
    <x v="784"/>
    <x v="2"/>
    <s v="New York City"/>
    <s v="2023-03"/>
    <x v="6"/>
    <x v="0"/>
    <s v="Q1"/>
    <n v="0.41048292108362777"/>
    <n v="2830"/>
  </r>
  <r>
    <x v="536"/>
    <n v="2689"/>
    <n v="1330"/>
    <n v="3"/>
    <x v="2"/>
    <x v="4"/>
    <x v="0"/>
    <d v="2020-12-13T00:00:00"/>
    <x v="785"/>
    <x v="3"/>
    <s v="Los Angeles"/>
    <s v="2020-12"/>
    <x v="1"/>
    <x v="4"/>
    <s v="Q4"/>
    <n v="0.49460766084046115"/>
    <n v="896.33333333333337"/>
  </r>
  <r>
    <x v="536"/>
    <n v="2689"/>
    <n v="1330"/>
    <n v="3"/>
    <x v="2"/>
    <x v="4"/>
    <x v="0"/>
    <d v="2024-05-29T00:00:00"/>
    <x v="786"/>
    <x v="0"/>
    <s v="Miami"/>
    <s v="2024-05"/>
    <x v="3"/>
    <x v="1"/>
    <s v="Q2"/>
    <n v="0.49460766084046115"/>
    <n v="896.33333333333337"/>
  </r>
  <r>
    <x v="537"/>
    <n v="815"/>
    <n v="54"/>
    <n v="14"/>
    <x v="2"/>
    <x v="4"/>
    <x v="1"/>
    <d v="2021-05-25T00:00:00"/>
    <x v="787"/>
    <x v="3"/>
    <s v="San Francisco"/>
    <s v="2021-05"/>
    <x v="3"/>
    <x v="2"/>
    <s v="Q2"/>
    <n v="6.6257668711656448E-2"/>
    <n v="58.214285714285715"/>
  </r>
  <r>
    <x v="538"/>
    <n v="5024"/>
    <n v="379"/>
    <n v="2"/>
    <x v="1"/>
    <x v="8"/>
    <x v="0"/>
    <d v="2024-04-02T00:00:00"/>
    <x v="788"/>
    <x v="5"/>
    <s v="Dallas"/>
    <s v="2024-04"/>
    <x v="11"/>
    <x v="1"/>
    <s v="Q2"/>
    <n v="7.5437898089171979E-2"/>
    <n v="2512"/>
  </r>
  <r>
    <x v="538"/>
    <n v="5024"/>
    <n v="379"/>
    <n v="2"/>
    <x v="1"/>
    <x v="8"/>
    <x v="0"/>
    <d v="2022-12-03T00:00:00"/>
    <x v="789"/>
    <x v="1"/>
    <s v="Peoria"/>
    <s v="2022-12"/>
    <x v="1"/>
    <x v="3"/>
    <s v="Q4"/>
    <n v="7.5437898089171979E-2"/>
    <n v="2512"/>
  </r>
  <r>
    <x v="539"/>
    <n v="8962"/>
    <n v="2444"/>
    <n v="18"/>
    <x v="0"/>
    <x v="0"/>
    <x v="1"/>
    <d v="2021-07-12T00:00:00"/>
    <x v="790"/>
    <x v="6"/>
    <s v="Cleveland"/>
    <s v="2021-07"/>
    <x v="2"/>
    <x v="2"/>
    <s v="Q3"/>
    <n v="0.27270698504798035"/>
    <n v="497.88888888888891"/>
  </r>
  <r>
    <x v="539"/>
    <n v="8962"/>
    <n v="2444"/>
    <n v="18"/>
    <x v="0"/>
    <x v="0"/>
    <x v="1"/>
    <d v="2020-03-22T00:00:00"/>
    <x v="791"/>
    <x v="1"/>
    <s v="Peoria"/>
    <s v="2020-03"/>
    <x v="6"/>
    <x v="4"/>
    <s v="Q1"/>
    <n v="0.27270698504798035"/>
    <n v="497.88888888888891"/>
  </r>
  <r>
    <x v="540"/>
    <n v="1961"/>
    <n v="59"/>
    <n v="12"/>
    <x v="1"/>
    <x v="9"/>
    <x v="0"/>
    <d v="2020-08-09T00:00:00"/>
    <x v="792"/>
    <x v="0"/>
    <s v="Orlando"/>
    <s v="2020-08"/>
    <x v="9"/>
    <x v="4"/>
    <s v="Q3"/>
    <n v="3.0086690464048955E-2"/>
    <n v="163.41666666666666"/>
  </r>
  <r>
    <x v="541"/>
    <n v="526"/>
    <n v="83"/>
    <n v="4"/>
    <x v="2"/>
    <x v="7"/>
    <x v="3"/>
    <d v="2022-02-18T00:00:00"/>
    <x v="793"/>
    <x v="1"/>
    <s v="Chicago"/>
    <s v="2022-02"/>
    <x v="7"/>
    <x v="3"/>
    <s v="Q1"/>
    <n v="0.15779467680608364"/>
    <n v="131.5"/>
  </r>
  <r>
    <x v="542"/>
    <n v="6093"/>
    <n v="3042"/>
    <n v="9"/>
    <x v="2"/>
    <x v="11"/>
    <x v="1"/>
    <d v="2021-06-14T00:00:00"/>
    <x v="794"/>
    <x v="3"/>
    <s v="San Francisco"/>
    <s v="2021-06"/>
    <x v="0"/>
    <x v="2"/>
    <s v="Q2"/>
    <n v="0.49926144756277696"/>
    <n v="677"/>
  </r>
  <r>
    <x v="542"/>
    <n v="6093"/>
    <n v="3042"/>
    <n v="9"/>
    <x v="2"/>
    <x v="11"/>
    <x v="1"/>
    <d v="2021-03-01T00:00:00"/>
    <x v="795"/>
    <x v="3"/>
    <s v="San Diego"/>
    <s v="2021-03"/>
    <x v="6"/>
    <x v="2"/>
    <s v="Q1"/>
    <n v="0.49926144756277696"/>
    <n v="677"/>
  </r>
  <r>
    <x v="543"/>
    <n v="7699"/>
    <n v="246"/>
    <n v="5"/>
    <x v="0"/>
    <x v="0"/>
    <x v="1"/>
    <d v="2023-09-23T00:00:00"/>
    <x v="796"/>
    <x v="5"/>
    <s v="Austin"/>
    <s v="2023-09"/>
    <x v="10"/>
    <x v="0"/>
    <s v="Q3"/>
    <n v="3.1952201584621379E-2"/>
    <n v="1539.8"/>
  </r>
  <r>
    <x v="544"/>
    <n v="8825"/>
    <n v="3594"/>
    <n v="15"/>
    <x v="2"/>
    <x v="4"/>
    <x v="1"/>
    <d v="2024-07-31T00:00:00"/>
    <x v="797"/>
    <x v="2"/>
    <s v="New York City"/>
    <s v="2024-07"/>
    <x v="2"/>
    <x v="1"/>
    <s v="Q3"/>
    <n v="0.40725212464589233"/>
    <n v="588.33333333333337"/>
  </r>
  <r>
    <x v="545"/>
    <n v="2082"/>
    <n v="642"/>
    <n v="8"/>
    <x v="0"/>
    <x v="10"/>
    <x v="2"/>
    <d v="2020-06-02T00:00:00"/>
    <x v="798"/>
    <x v="2"/>
    <s v="Rochester"/>
    <s v="2020-06"/>
    <x v="0"/>
    <x v="4"/>
    <s v="Q2"/>
    <n v="0.30835734870317005"/>
    <n v="260.25"/>
  </r>
  <r>
    <x v="545"/>
    <n v="2082"/>
    <n v="642"/>
    <n v="8"/>
    <x v="0"/>
    <x v="10"/>
    <x v="2"/>
    <d v="2022-12-15T00:00:00"/>
    <x v="799"/>
    <x v="5"/>
    <s v="Austin"/>
    <s v="2022-12"/>
    <x v="1"/>
    <x v="3"/>
    <s v="Q4"/>
    <n v="0.30835734870317005"/>
    <n v="260.25"/>
  </r>
  <r>
    <x v="545"/>
    <n v="2082"/>
    <n v="642"/>
    <n v="8"/>
    <x v="0"/>
    <x v="10"/>
    <x v="2"/>
    <d v="2020-08-07T00:00:00"/>
    <x v="800"/>
    <x v="2"/>
    <s v="Buffalo"/>
    <s v="2020-08"/>
    <x v="9"/>
    <x v="4"/>
    <s v="Q3"/>
    <n v="0.30835734870317005"/>
    <n v="260.25"/>
  </r>
  <r>
    <x v="546"/>
    <n v="914"/>
    <n v="163"/>
    <n v="13"/>
    <x v="1"/>
    <x v="6"/>
    <x v="0"/>
    <d v="2024-10-26T00:00:00"/>
    <x v="801"/>
    <x v="1"/>
    <s v="Chicago"/>
    <s v="2024-10"/>
    <x v="4"/>
    <x v="1"/>
    <s v="Q4"/>
    <n v="0.17833698030634573"/>
    <n v="70.3076923076923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627657-ED41-4EEA-BFF4-25B91FDCA8B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7">
    <pivotField showAll="0"/>
    <pivotField showAll="0"/>
    <pivotField showAll="0"/>
    <pivotField dataField="1" showAll="0"/>
    <pivotField showAll="0">
      <items count="4">
        <item x="0"/>
        <item x="2"/>
        <item x="1"/>
        <item t="default"/>
      </items>
    </pivotField>
    <pivotField showAll="0"/>
    <pivotField showAll="0">
      <items count="6">
        <item x="4"/>
        <item x="3"/>
        <item x="1"/>
        <item x="2"/>
        <item x="0"/>
        <item t="default"/>
      </items>
    </pivotField>
    <pivotField numFmtId="14" showAll="0"/>
    <pivotField showAll="0"/>
    <pivotField showAll="0">
      <items count="8">
        <item x="3"/>
        <item x="0"/>
        <item x="1"/>
        <item x="2"/>
        <item x="4"/>
        <item x="6"/>
        <item x="5"/>
        <item t="default"/>
      </items>
    </pivotField>
    <pivotField showAll="0"/>
    <pivotField showAll="0"/>
    <pivotField showAll="0"/>
    <pivotField showAll="0">
      <items count="7">
        <item x="4"/>
        <item x="2"/>
        <item x="3"/>
        <item x="0"/>
        <item x="1"/>
        <item x="5"/>
        <item t="default"/>
      </items>
    </pivotField>
    <pivotField showAll="0"/>
    <pivotField numFmtId="10" showAll="0"/>
    <pivotField numFmtId="2" showAll="0"/>
  </pivotFields>
  <rowItems count="1">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9044AA-3E3B-4EDF-9017-1EDEC7DC2AC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7">
    <pivotField dataField="1" showAll="0" countASubtotal="1">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countA"/>
      </items>
    </pivotField>
    <pivotField showAll="0"/>
    <pivotField showAll="0"/>
    <pivotField showAll="0"/>
    <pivotField showAll="0">
      <items count="4">
        <item x="0"/>
        <item x="2"/>
        <item x="1"/>
        <item t="default"/>
      </items>
    </pivotField>
    <pivotField showAll="0"/>
    <pivotField showAll="0">
      <items count="6">
        <item x="4"/>
        <item x="3"/>
        <item x="1"/>
        <item x="2"/>
        <item x="0"/>
        <item t="default"/>
      </items>
    </pivotField>
    <pivotField numFmtId="14" showAll="0"/>
    <pivotField showAll="0"/>
    <pivotField showAll="0">
      <items count="8">
        <item x="3"/>
        <item x="0"/>
        <item x="1"/>
        <item x="2"/>
        <item x="4"/>
        <item x="6"/>
        <item x="5"/>
        <item t="default"/>
      </items>
    </pivotField>
    <pivotField showAll="0"/>
    <pivotField showAll="0"/>
    <pivotField showAll="0"/>
    <pivotField showAll="0">
      <items count="7">
        <item x="4"/>
        <item x="2"/>
        <item x="3"/>
        <item x="0"/>
        <item x="1"/>
        <item x="5"/>
        <item t="default"/>
      </items>
    </pivotField>
    <pivotField showAll="0"/>
    <pivotField numFmtId="10" showAll="0"/>
    <pivotField numFmtId="2"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F5F1E5-30A8-4755-BFC3-06018A4DCD9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17">
    <pivotField showAll="0"/>
    <pivotField showAll="0"/>
    <pivotField showAll="0"/>
    <pivotField showAll="0"/>
    <pivotField showAll="0">
      <items count="4">
        <item x="0"/>
        <item x="2"/>
        <item x="1"/>
        <item t="default"/>
      </items>
    </pivotField>
    <pivotField showAll="0"/>
    <pivotField showAll="0"/>
    <pivotField numFmtId="14" showAll="0"/>
    <pivotField showAll="0"/>
    <pivotField showAll="0">
      <items count="8">
        <item x="3"/>
        <item x="0"/>
        <item x="1"/>
        <item x="2"/>
        <item x="4"/>
        <item x="6"/>
        <item x="5"/>
        <item t="default"/>
      </items>
    </pivotField>
    <pivotField showAll="0"/>
    <pivotField showAll="0"/>
    <pivotField showAll="0"/>
    <pivotField showAll="0">
      <items count="7">
        <item x="4"/>
        <item x="2"/>
        <item x="3"/>
        <item x="0"/>
        <item x="1"/>
        <item x="5"/>
        <item t="default"/>
      </items>
    </pivotField>
    <pivotField showAll="0"/>
    <pivotField dataField="1" numFmtId="10" showAll="0"/>
    <pivotField numFmtId="2" showAll="0"/>
  </pivotFields>
  <rowItems count="1">
    <i/>
  </rowItems>
  <colItems count="1">
    <i/>
  </colItems>
  <dataFields count="1">
    <dataField name="Average of Profit Margin(%)" fld="15" subtotal="average" baseField="0" baseItem="0" numFmtId="1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D19706-8589-41FD-8856-9F2A0D8A645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7">
    <pivotField showAll="0"/>
    <pivotField showAll="0"/>
    <pivotField dataField="1" showAll="0"/>
    <pivotField showAll="0"/>
    <pivotField showAll="0">
      <items count="4">
        <item x="0"/>
        <item x="2"/>
        <item x="1"/>
        <item t="default"/>
      </items>
    </pivotField>
    <pivotField showAll="0"/>
    <pivotField showAll="0">
      <items count="6">
        <item x="4"/>
        <item x="3"/>
        <item x="1"/>
        <item x="2"/>
        <item x="0"/>
        <item t="default"/>
      </items>
    </pivotField>
    <pivotField numFmtId="14" showAll="0"/>
    <pivotField showAll="0"/>
    <pivotField showAll="0">
      <items count="8">
        <item x="3"/>
        <item x="0"/>
        <item x="1"/>
        <item x="2"/>
        <item x="4"/>
        <item x="6"/>
        <item x="5"/>
        <item t="default"/>
      </items>
    </pivotField>
    <pivotField showAll="0"/>
    <pivotField showAll="0"/>
    <pivotField showAll="0"/>
    <pivotField showAll="0">
      <items count="7">
        <item x="4"/>
        <item x="2"/>
        <item x="3"/>
        <item x="0"/>
        <item x="1"/>
        <item x="5"/>
        <item t="default"/>
      </items>
    </pivotField>
    <pivotField showAll="0"/>
    <pivotField numFmtId="10" showAll="0"/>
    <pivotField numFmtId="2" showAll="0"/>
  </pivotFields>
  <rowItems count="1">
    <i/>
  </rowItems>
  <colItems count="1">
    <i/>
  </colItems>
  <dataFields count="1">
    <dataField name="Sum of Profi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7D507F-6C92-4D18-829E-6877D63028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7">
    <pivotField showAll="0"/>
    <pivotField dataField="1" showAll="0"/>
    <pivotField showAll="0"/>
    <pivotField showAll="0"/>
    <pivotField showAll="0">
      <items count="4">
        <item x="0"/>
        <item x="2"/>
        <item x="1"/>
        <item t="default"/>
      </items>
    </pivotField>
    <pivotField showAll="0"/>
    <pivotField showAll="0">
      <items count="6">
        <item x="4"/>
        <item x="3"/>
        <item x="1"/>
        <item x="2"/>
        <item x="0"/>
        <item t="default"/>
      </items>
    </pivotField>
    <pivotField numFmtId="14" showAll="0"/>
    <pivotField showAll="0"/>
    <pivotField showAll="0">
      <items count="8">
        <item x="3"/>
        <item x="0"/>
        <item x="1"/>
        <item x="2"/>
        <item x="4"/>
        <item x="6"/>
        <item x="5"/>
        <item t="default"/>
      </items>
    </pivotField>
    <pivotField showAll="0"/>
    <pivotField showAll="0"/>
    <pivotField showAll="0"/>
    <pivotField showAll="0">
      <items count="7">
        <item x="4"/>
        <item x="2"/>
        <item x="3"/>
        <item x="0"/>
        <item x="1"/>
        <item x="5"/>
        <item t="default"/>
      </items>
    </pivotField>
    <pivotField showAll="0"/>
    <pivotField numFmtId="10" showAll="0"/>
    <pivotField numFmtId="2" showAll="0"/>
  </pivotFields>
  <rowItems count="1">
    <i/>
  </rowItems>
  <colItems count="1">
    <i/>
  </colItems>
  <dataFields count="1">
    <dataField name="Sum of Amoun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3322B6-B225-4039-9CD0-56C69B630FB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O3:P16" firstHeaderRow="1" firstDataRow="1" firstDataCol="1"/>
  <pivotFields count="17">
    <pivotField showAll="0"/>
    <pivotField showAll="0"/>
    <pivotField dataField="1" showAll="0"/>
    <pivotField showAll="0"/>
    <pivotField showAll="0">
      <items count="4">
        <item x="0"/>
        <item x="2"/>
        <item x="1"/>
        <item t="default"/>
      </items>
    </pivotField>
    <pivotField showAll="0"/>
    <pivotField showAll="0">
      <items count="6">
        <item x="4"/>
        <item x="3"/>
        <item x="1"/>
        <item x="2"/>
        <item x="0"/>
        <item t="default"/>
      </items>
    </pivotField>
    <pivotField numFmtId="14" showAll="0"/>
    <pivotField showAll="0"/>
    <pivotField showAll="0">
      <items count="8">
        <item x="3"/>
        <item x="0"/>
        <item x="1"/>
        <item x="2"/>
        <item x="4"/>
        <item x="6"/>
        <item x="5"/>
        <item t="default"/>
      </items>
    </pivotField>
    <pivotField showAll="0"/>
    <pivotField showAll="0"/>
    <pivotField axis="axisRow" showAll="0">
      <items count="13">
        <item x="8"/>
        <item x="7"/>
        <item x="6"/>
        <item x="11"/>
        <item x="3"/>
        <item x="0"/>
        <item x="2"/>
        <item x="9"/>
        <item x="10"/>
        <item x="4"/>
        <item x="5"/>
        <item x="1"/>
        <item t="default"/>
      </items>
    </pivotField>
    <pivotField showAll="0">
      <items count="7">
        <item x="4"/>
        <item x="2"/>
        <item x="3"/>
        <item x="0"/>
        <item x="1"/>
        <item x="5"/>
        <item t="default"/>
      </items>
    </pivotField>
    <pivotField showAll="0"/>
    <pivotField numFmtId="10" showAll="0"/>
    <pivotField numFmtId="2" showAll="0"/>
  </pivotFields>
  <rowFields count="1">
    <field x="12"/>
  </rowFields>
  <rowItems count="13">
    <i>
      <x/>
    </i>
    <i>
      <x v="1"/>
    </i>
    <i>
      <x v="2"/>
    </i>
    <i>
      <x v="3"/>
    </i>
    <i>
      <x v="4"/>
    </i>
    <i>
      <x v="5"/>
    </i>
    <i>
      <x v="6"/>
    </i>
    <i>
      <x v="7"/>
    </i>
    <i>
      <x v="8"/>
    </i>
    <i>
      <x v="9"/>
    </i>
    <i>
      <x v="10"/>
    </i>
    <i>
      <x v="11"/>
    </i>
    <i t="grand">
      <x/>
    </i>
  </rowItems>
  <colItems count="1">
    <i/>
  </colItems>
  <dataFields count="1">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F40FD9-F0D9-4BAC-8D9A-EF5792912B0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B53" firstHeaderRow="1" firstDataRow="1" firstDataCol="1"/>
  <pivotFields count="17">
    <pivotField showAll="0"/>
    <pivotField dataField="1" showAll="0"/>
    <pivotField showAll="0"/>
    <pivotField showAll="0"/>
    <pivotField showAll="0">
      <items count="4">
        <item x="0"/>
        <item x="2"/>
        <item x="1"/>
        <item t="default"/>
      </items>
    </pivotField>
    <pivotField showAll="0"/>
    <pivotField showAll="0">
      <items count="6">
        <item x="4"/>
        <item x="3"/>
        <item x="1"/>
        <item x="2"/>
        <item x="0"/>
        <item t="default"/>
      </items>
    </pivotField>
    <pivotField numFmtId="14" showAll="0"/>
    <pivotField showAll="0"/>
    <pivotField axis="axisRow" showAll="0">
      <items count="8">
        <item x="3"/>
        <item x="0"/>
        <item x="1"/>
        <item x="2"/>
        <item x="4"/>
        <item x="6"/>
        <item x="5"/>
        <item t="default"/>
      </items>
    </pivotField>
    <pivotField showAll="0"/>
    <pivotField showAll="0"/>
    <pivotField showAll="0"/>
    <pivotField showAll="0">
      <items count="7">
        <item x="4"/>
        <item x="2"/>
        <item x="3"/>
        <item x="0"/>
        <item x="1"/>
        <item x="5"/>
        <item t="default"/>
      </items>
    </pivotField>
    <pivotField showAll="0"/>
    <pivotField numFmtId="10" showAll="0"/>
    <pivotField numFmtId="2" showAll="0"/>
  </pivotFields>
  <rowFields count="1">
    <field x="9"/>
  </rowFields>
  <rowItems count="8">
    <i>
      <x/>
    </i>
    <i>
      <x v="1"/>
    </i>
    <i>
      <x v="2"/>
    </i>
    <i>
      <x v="3"/>
    </i>
    <i>
      <x v="4"/>
    </i>
    <i>
      <x v="5"/>
    </i>
    <i>
      <x v="6"/>
    </i>
    <i t="grand">
      <x/>
    </i>
  </rowItems>
  <colItems count="1">
    <i/>
  </colItems>
  <dataFields count="1">
    <dataField name="Sum of Amoun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DB8B5F-D5D6-4027-9F1E-21C5AB2BEC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8:B101" firstHeaderRow="1" firstDataRow="1" firstDataCol="1"/>
  <pivotFields count="17">
    <pivotField showAll="0"/>
    <pivotField showAll="0"/>
    <pivotField showAll="0"/>
    <pivotField dataField="1" showAll="0"/>
    <pivotField showAll="0">
      <items count="4">
        <item x="0"/>
        <item x="2"/>
        <item x="1"/>
        <item t="default"/>
      </items>
    </pivotField>
    <pivotField axis="axisRow" showAll="0">
      <items count="13">
        <item x="9"/>
        <item x="11"/>
        <item x="5"/>
        <item x="0"/>
        <item x="3"/>
        <item x="6"/>
        <item x="8"/>
        <item x="2"/>
        <item x="10"/>
        <item x="1"/>
        <item x="7"/>
        <item x="4"/>
        <item t="default"/>
      </items>
    </pivotField>
    <pivotField showAll="0">
      <items count="6">
        <item x="4"/>
        <item x="3"/>
        <item x="1"/>
        <item x="2"/>
        <item x="0"/>
        <item t="default"/>
      </items>
    </pivotField>
    <pivotField numFmtId="14" showAll="0"/>
    <pivotField showAll="0"/>
    <pivotField showAll="0">
      <items count="8">
        <item x="3"/>
        <item x="0"/>
        <item x="1"/>
        <item x="2"/>
        <item x="4"/>
        <item x="6"/>
        <item x="5"/>
        <item t="default"/>
      </items>
    </pivotField>
    <pivotField showAll="0"/>
    <pivotField showAll="0"/>
    <pivotField showAll="0"/>
    <pivotField showAll="0">
      <items count="7">
        <item x="4"/>
        <item x="2"/>
        <item x="3"/>
        <item x="0"/>
        <item x="1"/>
        <item x="5"/>
        <item t="default"/>
      </items>
    </pivotField>
    <pivotField showAll="0"/>
    <pivotField numFmtId="10" showAll="0"/>
    <pivotField numFmtId="2" showAll="0"/>
  </pivotFields>
  <rowFields count="1">
    <field x="5"/>
  </rowFields>
  <rowItems count="13">
    <i>
      <x/>
    </i>
    <i>
      <x v="1"/>
    </i>
    <i>
      <x v="2"/>
    </i>
    <i>
      <x v="3"/>
    </i>
    <i>
      <x v="4"/>
    </i>
    <i>
      <x v="5"/>
    </i>
    <i>
      <x v="6"/>
    </i>
    <i>
      <x v="7"/>
    </i>
    <i>
      <x v="8"/>
    </i>
    <i>
      <x v="9"/>
    </i>
    <i>
      <x v="10"/>
    </i>
    <i>
      <x v="11"/>
    </i>
    <i t="grand">
      <x/>
    </i>
  </rowItems>
  <colItems count="1">
    <i/>
  </colItems>
  <dataFields count="1">
    <dataField name="Sum of Quantity"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B23DC0-C78A-4AEF-9A85-9C06FD75CF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2:B83" firstHeaderRow="1" firstDataRow="1" firstDataCol="1"/>
  <pivotFields count="17">
    <pivotField showAll="0"/>
    <pivotField dataField="1" showAll="0"/>
    <pivotField showAll="0"/>
    <pivotField showAll="0"/>
    <pivotField showAll="0">
      <items count="4">
        <item x="0"/>
        <item x="2"/>
        <item x="1"/>
        <item t="default"/>
      </items>
    </pivotField>
    <pivotField showAll="0"/>
    <pivotField showAll="0">
      <items count="6">
        <item x="4"/>
        <item x="3"/>
        <item x="1"/>
        <item x="2"/>
        <item x="0"/>
        <item t="default"/>
      </items>
    </pivotField>
    <pivotField numFmtId="14" showAll="0"/>
    <pivotField axis="axisRow" showAll="0" measureFilter="1" sortType="ascending">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autoSortScope>
        <pivotArea dataOnly="0" outline="0" fieldPosition="0">
          <references count="1">
            <reference field="4294967294" count="1" selected="0">
              <x v="0"/>
            </reference>
          </references>
        </pivotArea>
      </autoSortScope>
    </pivotField>
    <pivotField showAll="0">
      <items count="8">
        <item x="3"/>
        <item x="0"/>
        <item x="1"/>
        <item x="2"/>
        <item x="4"/>
        <item x="6"/>
        <item x="5"/>
        <item t="default"/>
      </items>
    </pivotField>
    <pivotField showAll="0"/>
    <pivotField showAll="0"/>
    <pivotField showAll="0"/>
    <pivotField showAll="0">
      <items count="7">
        <item x="4"/>
        <item x="2"/>
        <item x="3"/>
        <item x="0"/>
        <item x="1"/>
        <item x="5"/>
        <item t="default"/>
      </items>
    </pivotField>
    <pivotField showAll="0"/>
    <pivotField numFmtId="10" showAll="0"/>
    <pivotField numFmtId="2" showAll="0"/>
  </pivotFields>
  <rowFields count="1">
    <field x="8"/>
  </rowFields>
  <rowItems count="11">
    <i>
      <x v="96"/>
    </i>
    <i>
      <x v="800"/>
    </i>
    <i>
      <x v="739"/>
    </i>
    <i>
      <x v="617"/>
    </i>
    <i>
      <x v="278"/>
    </i>
    <i>
      <x v="400"/>
    </i>
    <i>
      <x v="234"/>
    </i>
    <i>
      <x v="256"/>
    </i>
    <i>
      <x v="584"/>
    </i>
    <i>
      <x v="163"/>
    </i>
    <i t="grand">
      <x/>
    </i>
  </rowItems>
  <colItems count="1">
    <i/>
  </colItems>
  <dataFields count="1">
    <dataField name="Sum of Amount" fld="1"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278"/>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B6D0EB-2218-4FB9-8C9E-49D9E963D50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3:B37" firstHeaderRow="1" firstDataRow="1" firstDataCol="1"/>
  <pivotFields count="17">
    <pivotField showAll="0"/>
    <pivotField showAll="0"/>
    <pivotField dataField="1" showAll="0"/>
    <pivotField showAll="0"/>
    <pivotField axis="axisRow" showAll="0">
      <items count="4">
        <item x="0"/>
        <item x="2"/>
        <item x="1"/>
        <item t="default"/>
      </items>
    </pivotField>
    <pivotField showAll="0"/>
    <pivotField showAll="0">
      <items count="6">
        <item x="4"/>
        <item x="3"/>
        <item x="1"/>
        <item x="2"/>
        <item x="0"/>
        <item t="default"/>
      </items>
    </pivotField>
    <pivotField numFmtId="14" showAll="0"/>
    <pivotField showAll="0"/>
    <pivotField showAll="0">
      <items count="8">
        <item x="3"/>
        <item x="0"/>
        <item x="1"/>
        <item x="2"/>
        <item x="4"/>
        <item x="6"/>
        <item x="5"/>
        <item t="default"/>
      </items>
    </pivotField>
    <pivotField showAll="0"/>
    <pivotField showAll="0"/>
    <pivotField showAll="0"/>
    <pivotField showAll="0">
      <items count="7">
        <item x="4"/>
        <item x="2"/>
        <item x="3"/>
        <item x="0"/>
        <item x="1"/>
        <item x="5"/>
        <item t="default"/>
      </items>
    </pivotField>
    <pivotField showAll="0"/>
    <pivotField numFmtId="10" showAll="0"/>
    <pivotField numFmtId="2" showAll="0"/>
  </pivotFields>
  <rowFields count="1">
    <field x="4"/>
  </rowFields>
  <rowItems count="4">
    <i>
      <x/>
    </i>
    <i>
      <x v="1"/>
    </i>
    <i>
      <x v="2"/>
    </i>
    <i t="grand">
      <x/>
    </i>
  </rowItems>
  <colItems count="1">
    <i/>
  </colItems>
  <dataFields count="1">
    <dataField name="Sum of Profit"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4066B9-715D-464D-B2D6-D0A6E8FDF4E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6" firstHeaderRow="1" firstDataRow="1" firstDataCol="1"/>
  <pivotFields count="17">
    <pivotField showAll="0"/>
    <pivotField dataField="1" showAll="0"/>
    <pivotField showAll="0"/>
    <pivotField showAll="0"/>
    <pivotField showAll="0">
      <items count="4">
        <item x="0"/>
        <item x="2"/>
        <item x="1"/>
        <item t="default"/>
      </items>
    </pivotField>
    <pivotField showAll="0"/>
    <pivotField showAll="0">
      <items count="6">
        <item x="4"/>
        <item x="3"/>
        <item x="1"/>
        <item x="2"/>
        <item x="0"/>
        <item t="default"/>
      </items>
    </pivotField>
    <pivotField numFmtId="14" showAll="0"/>
    <pivotField showAll="0"/>
    <pivotField showAll="0">
      <items count="8">
        <item x="3"/>
        <item x="0"/>
        <item x="1"/>
        <item x="2"/>
        <item x="4"/>
        <item x="6"/>
        <item x="5"/>
        <item t="default"/>
      </items>
    </pivotField>
    <pivotField showAll="0"/>
    <pivotField showAll="0"/>
    <pivotField axis="axisRow" showAll="0">
      <items count="13">
        <item x="8"/>
        <item x="7"/>
        <item x="6"/>
        <item x="11"/>
        <item x="3"/>
        <item x="0"/>
        <item x="2"/>
        <item x="9"/>
        <item x="10"/>
        <item x="4"/>
        <item x="5"/>
        <item x="1"/>
        <item t="default"/>
      </items>
    </pivotField>
    <pivotField showAll="0">
      <items count="7">
        <item x="4"/>
        <item x="2"/>
        <item x="3"/>
        <item x="0"/>
        <item x="1"/>
        <item x="5"/>
        <item t="default"/>
      </items>
    </pivotField>
    <pivotField showAll="0"/>
    <pivotField numFmtId="10" showAll="0"/>
    <pivotField numFmtId="2" showAll="0"/>
  </pivotFields>
  <rowFields count="1">
    <field x="12"/>
  </rowFields>
  <rowItems count="13">
    <i>
      <x/>
    </i>
    <i>
      <x v="1"/>
    </i>
    <i>
      <x v="2"/>
    </i>
    <i>
      <x v="3"/>
    </i>
    <i>
      <x v="4"/>
    </i>
    <i>
      <x v="5"/>
    </i>
    <i>
      <x v="6"/>
    </i>
    <i>
      <x v="7"/>
    </i>
    <i>
      <x v="8"/>
    </i>
    <i>
      <x v="9"/>
    </i>
    <i>
      <x v="10"/>
    </i>
    <i>
      <x v="11"/>
    </i>
    <i t="grand">
      <x/>
    </i>
  </rowItems>
  <colItems count="1">
    <i/>
  </colItems>
  <dataFields count="1">
    <dataField name="Sum of Amount" fld="1"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73BEF61-B153-4761-BA27-D8B5D9AEE2A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B24" firstHeaderRow="1" firstDataRow="1" firstDataCol="1"/>
  <pivotFields count="17">
    <pivotField showAll="0"/>
    <pivotField dataField="1" showAll="0"/>
    <pivotField showAll="0"/>
    <pivotField showAll="0"/>
    <pivotField axis="axisRow" showAll="0">
      <items count="4">
        <item x="0"/>
        <item x="2"/>
        <item x="1"/>
        <item t="default"/>
      </items>
    </pivotField>
    <pivotField showAll="0"/>
    <pivotField showAll="0">
      <items count="6">
        <item x="4"/>
        <item x="3"/>
        <item x="1"/>
        <item x="2"/>
        <item x="0"/>
        <item t="default"/>
      </items>
    </pivotField>
    <pivotField numFmtId="14" showAll="0"/>
    <pivotField showAll="0"/>
    <pivotField showAll="0">
      <items count="8">
        <item x="3"/>
        <item x="0"/>
        <item x="1"/>
        <item x="2"/>
        <item x="4"/>
        <item x="6"/>
        <item x="5"/>
        <item t="default"/>
      </items>
    </pivotField>
    <pivotField showAll="0"/>
    <pivotField showAll="0"/>
    <pivotField showAll="0"/>
    <pivotField showAll="0">
      <items count="7">
        <item x="4"/>
        <item x="2"/>
        <item x="3"/>
        <item x="0"/>
        <item x="1"/>
        <item x="5"/>
        <item t="default"/>
      </items>
    </pivotField>
    <pivotField showAll="0"/>
    <pivotField numFmtId="10" showAll="0"/>
    <pivotField numFmtId="2" showAll="0"/>
  </pivotFields>
  <rowFields count="1">
    <field x="4"/>
  </rowFields>
  <rowItems count="4">
    <i>
      <x/>
    </i>
    <i>
      <x v="1"/>
    </i>
    <i>
      <x v="2"/>
    </i>
    <i t="grand">
      <x/>
    </i>
  </rowItems>
  <colItems count="1">
    <i/>
  </colItems>
  <dataFields count="1">
    <dataField name="Sum of Amount"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587283E-3F26-423A-9744-FD3A71E8DCD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9:B65" firstHeaderRow="1" firstDataRow="1" firstDataCol="1"/>
  <pivotFields count="17">
    <pivotField dataField="1"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showAll="0"/>
    <pivotField showAll="0"/>
    <pivotField showAll="0"/>
    <pivotField showAll="0">
      <items count="4">
        <item x="0"/>
        <item x="2"/>
        <item x="1"/>
        <item t="default"/>
      </items>
    </pivotField>
    <pivotField showAll="0"/>
    <pivotField axis="axisRow" showAll="0">
      <items count="6">
        <item x="4"/>
        <item x="3"/>
        <item x="1"/>
        <item x="2"/>
        <item x="0"/>
        <item t="default"/>
      </items>
    </pivotField>
    <pivotField numFmtId="14" showAll="0"/>
    <pivotField showAll="0"/>
    <pivotField showAll="0">
      <items count="8">
        <item x="3"/>
        <item x="0"/>
        <item x="1"/>
        <item x="2"/>
        <item x="4"/>
        <item x="6"/>
        <item x="5"/>
        <item t="default"/>
      </items>
    </pivotField>
    <pivotField showAll="0"/>
    <pivotField showAll="0"/>
    <pivotField showAll="0"/>
    <pivotField showAll="0">
      <items count="7">
        <item x="4"/>
        <item x="2"/>
        <item x="3"/>
        <item x="0"/>
        <item x="1"/>
        <item x="5"/>
        <item t="default"/>
      </items>
    </pivotField>
    <pivotField showAll="0"/>
    <pivotField numFmtId="10" showAll="0"/>
    <pivotField numFmtId="2" showAll="0"/>
  </pivotFields>
  <rowFields count="1">
    <field x="6"/>
  </rowFields>
  <rowItems count="6">
    <i>
      <x/>
    </i>
    <i>
      <x v="1"/>
    </i>
    <i>
      <x v="2"/>
    </i>
    <i>
      <x v="3"/>
    </i>
    <i>
      <x v="4"/>
    </i>
    <i t="grand">
      <x/>
    </i>
  </rowItems>
  <colItems count="1">
    <i/>
  </colItems>
  <dataFields count="1">
    <dataField name="Count of Order ID" fld="0" subtotal="count" baseField="0" baseItem="0"/>
  </dataField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6" count="1" selected="0">
            <x v="0"/>
          </reference>
        </references>
      </pivotArea>
    </chartFormat>
    <chartFormat chart="4" format="9">
      <pivotArea type="data" outline="0" fieldPosition="0">
        <references count="2">
          <reference field="4294967294" count="1" selected="0">
            <x v="0"/>
          </reference>
          <reference field="6" count="1" selected="0">
            <x v="1"/>
          </reference>
        </references>
      </pivotArea>
    </chartFormat>
    <chartFormat chart="4" format="10">
      <pivotArea type="data" outline="0" fieldPosition="0">
        <references count="2">
          <reference field="4294967294" count="1" selected="0">
            <x v="0"/>
          </reference>
          <reference field="6" count="1" selected="0">
            <x v="2"/>
          </reference>
        </references>
      </pivotArea>
    </chartFormat>
    <chartFormat chart="4" format="11">
      <pivotArea type="data" outline="0" fieldPosition="0">
        <references count="2">
          <reference field="4294967294" count="1" selected="0">
            <x v="0"/>
          </reference>
          <reference field="6" count="1" selected="0">
            <x v="3"/>
          </reference>
        </references>
      </pivotArea>
    </chartFormat>
    <chartFormat chart="4" format="12">
      <pivotArea type="data" outline="0" fieldPosition="0">
        <references count="2">
          <reference field="4294967294" count="1" selected="0">
            <x v="0"/>
          </reference>
          <reference field="6" count="1" selected="0">
            <x v="4"/>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D7BEE90-3BE4-4A67-B0ED-016556BB056D}" sourceName="Category">
  <pivotTables>
    <pivotTable tabId="7" name="PivotTable3"/>
    <pivotTable tabId="5" name="PivotTable3"/>
    <pivotTable tabId="5" name="PivotTable4"/>
    <pivotTable tabId="5" name="PivotTable5"/>
    <pivotTable tabId="5" name="PivotTable6"/>
    <pivotTable tabId="7" name="PivotTable1"/>
    <pivotTable tabId="7" name="PivotTable10"/>
    <pivotTable tabId="7" name="PivotTable11"/>
    <pivotTable tabId="7" name="PivotTable15"/>
    <pivotTable tabId="7" name="PivotTable2"/>
    <pivotTable tabId="7" name="PivotTable8"/>
    <pivotTable tabId="7" name="PivotTable9"/>
    <pivotTable tabId="5" name="PivotTable1"/>
  </pivotTables>
  <data>
    <tabular pivotCacheId="940250750">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209160C-C8C4-4F1E-BD07-E0E9983CC9A3}" sourceName="State">
  <pivotTables>
    <pivotTable tabId="7" name="PivotTable3"/>
    <pivotTable tabId="5" name="PivotTable3"/>
    <pivotTable tabId="5" name="PivotTable4"/>
    <pivotTable tabId="5" name="PivotTable5"/>
    <pivotTable tabId="5" name="PivotTable6"/>
    <pivotTable tabId="7" name="PivotTable1"/>
    <pivotTable tabId="7" name="PivotTable10"/>
    <pivotTable tabId="7" name="PivotTable11"/>
    <pivotTable tabId="7" name="PivotTable15"/>
    <pivotTable tabId="7" name="PivotTable8"/>
    <pivotTable tabId="7" name="PivotTable9"/>
    <pivotTable tabId="5" name="PivotTable1"/>
    <pivotTable tabId="7" name="PivotTable2"/>
  </pivotTables>
  <data>
    <tabular pivotCacheId="940250750">
      <items count="7">
        <i x="3" s="1"/>
        <i x="0" s="1"/>
        <i x="1" s="1"/>
        <i x="2" s="1"/>
        <i x="4"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9EA7EAB-174E-4885-B445-CA3F69322508}" sourceName="Year">
  <pivotTables>
    <pivotTable tabId="7" name="PivotTable3"/>
    <pivotTable tabId="5" name="PivotTable3"/>
    <pivotTable tabId="5" name="PivotTable4"/>
    <pivotTable tabId="5" name="PivotTable5"/>
    <pivotTable tabId="5" name="PivotTable6"/>
    <pivotTable tabId="7" name="PivotTable1"/>
    <pivotTable tabId="7" name="PivotTable10"/>
    <pivotTable tabId="7" name="PivotTable15"/>
    <pivotTable tabId="7" name="PivotTable2"/>
    <pivotTable tabId="7" name="PivotTable8"/>
    <pivotTable tabId="7" name="PivotTable9"/>
    <pivotTable tabId="7" name="PivotTable11"/>
    <pivotTable tabId="5" name="PivotTable1"/>
  </pivotTables>
  <data>
    <tabular pivotCacheId="940250750">
      <items count="6">
        <i x="4" s="1"/>
        <i x="2" s="1"/>
        <i x="3" s="1"/>
        <i x="0" s="1"/>
        <i x="1"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1C2298B-5FD4-4EC9-837D-DB6BDE2B3E29}" cache="Slicer_Category" caption="Category" style="sales" rowHeight="234950"/>
  <slicer name="State" xr10:uid="{7292D1A9-52A4-478E-BD68-2496349B4925}" cache="Slicer_State" caption="State" style="sales" rowHeight="234950"/>
  <slicer name="Year" xr10:uid="{687042A0-2DEA-4B89-9008-DF1AEDC3EE2A}" cache="Slicer_Year" caption="Year" style="sale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A959A5D-AC2C-4ED4-B158-FF9BFE87739B}" cache="Slicer_Category" caption="Category" style="sales" rowHeight="234950"/>
  <slicer name="State 1" xr10:uid="{7E29CB62-1F6A-4E04-A030-F3BAD9E27155}" cache="Slicer_State" caption="State" style="sales" rowHeight="234950"/>
  <slicer name="Year 1" xr10:uid="{0DB6EA9E-1061-402E-9BD0-BEC88244425F}" cache="Slicer_Year" caption="Year" style="sale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8C4C4C-2C48-44B6-80C7-D0F92DC4EC86}" name="Table1" displayName="Table1" ref="A1:L1195" totalsRowShown="0">
  <autoFilter ref="A1:L1195" xr:uid="{0C8C4C4C-2C48-44B6-80C7-D0F92DC4EC86}"/>
  <tableColumns count="12">
    <tableColumn id="1" xr3:uid="{A9C6278D-87BA-411C-951D-C5C1E59A2DAE}" name="Order ID"/>
    <tableColumn id="2" xr3:uid="{324A8D09-F942-44BE-B865-AC9B217207DE}" name="Amount"/>
    <tableColumn id="3" xr3:uid="{0599857C-E3F4-405F-8181-3043EA0849BE}" name="Profit"/>
    <tableColumn id="4" xr3:uid="{6F87D1E2-1180-4A9E-9410-9D2C0D6417B4}" name="Quantity"/>
    <tableColumn id="5" xr3:uid="{4EB97791-D7DB-474B-95D3-CF5721EE6E78}" name="Category"/>
    <tableColumn id="6" xr3:uid="{4D21A5BD-B4E0-4E2A-AB8D-9754AB76617B}" name="Sub-Category"/>
    <tableColumn id="7" xr3:uid="{B73C4B0C-F720-482A-92A9-F1FFBE007DBC}" name="PaymentMode"/>
    <tableColumn id="8" xr3:uid="{830CF893-3C0D-4F90-A6F2-AA8955EE5EA5}" name="Order Date" dataDxfId="9"/>
    <tableColumn id="9" xr3:uid="{F5F56CC9-5564-4916-A329-74E39BD7AEAC}" name="CustomerName"/>
    <tableColumn id="10" xr3:uid="{315BEC16-971E-42B1-8D71-0F9C41227D93}" name="State"/>
    <tableColumn id="11" xr3:uid="{9B47F6A6-D2AF-404E-B2DA-521E93A95D1E}" name="City"/>
    <tableColumn id="12" xr3:uid="{9DDD46D2-431E-450A-B7AF-90D66BCEAB19}" name="Year-Month" dataDxfId="8"/>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4E0772-F059-4F7A-9E4C-B4C2D4D6DAD9}" name="Table13" displayName="Table13" ref="A1:Q1195" totalsRowShown="0">
  <autoFilter ref="A1:Q1195" xr:uid="{0C8C4C4C-2C48-44B6-80C7-D0F92DC4EC86}"/>
  <tableColumns count="17">
    <tableColumn id="1" xr3:uid="{1319C8C9-A283-4EA2-8E17-39B7A15395C6}" name="Order ID"/>
    <tableColumn id="2" xr3:uid="{DF503B6F-06E0-40DD-A3E8-D264EB70C8BF}" name="Amount"/>
    <tableColumn id="3" xr3:uid="{B2F1CB49-1BE5-4507-9223-DE4502F78398}" name="Profit"/>
    <tableColumn id="4" xr3:uid="{93F091E1-4A81-4D60-967B-98CE76A78A2C}" name="Quantity"/>
    <tableColumn id="5" xr3:uid="{30AE7AAB-28B2-4F46-ADE5-0E3574860874}" name="Category"/>
    <tableColumn id="6" xr3:uid="{1F0AFA24-3F03-4AAC-AEB4-8BBE62390AEF}" name="Sub-Category"/>
    <tableColumn id="7" xr3:uid="{E4E49A43-31C4-47CF-AAE1-06D98CEF68BA}" name="PaymentMode"/>
    <tableColumn id="8" xr3:uid="{75B883F5-F1FF-405A-A177-DCD35A3A3A90}" name="Order Date" dataDxfId="7"/>
    <tableColumn id="9" xr3:uid="{FAB00EF1-1AF1-4ED8-B7B2-677BB94F97F2}" name="CustomerName"/>
    <tableColumn id="10" xr3:uid="{971ACB94-DB9F-4D90-B934-EFAB81951866}" name="State"/>
    <tableColumn id="11" xr3:uid="{9329BFC2-8AC5-4FB4-A593-8D3A221F8CF1}" name="City"/>
    <tableColumn id="12" xr3:uid="{D78A56D5-D3AF-4675-9A16-5B72A53705F0}" name="Year-Month" dataDxfId="6"/>
    <tableColumn id="13" xr3:uid="{636386DE-3C97-464D-AF3B-60DA14A23002}" name="Month" dataDxfId="5">
      <calculatedColumnFormula>TEXT(Table13[[#This Row],[Order Date]],"MMM")</calculatedColumnFormula>
    </tableColumn>
    <tableColumn id="14" xr3:uid="{712D6DA6-A873-44CA-877B-602C0546A23B}" name="Year" dataDxfId="4">
      <calculatedColumnFormula>YEAR(Table13[[#This Row],[Order Date]])</calculatedColumnFormula>
    </tableColumn>
    <tableColumn id="15" xr3:uid="{F4F3DB27-C3AE-41AF-8886-F55CA91A12E7}" name="Quarter" dataDxfId="3">
      <calculatedColumnFormula>"Q"&amp;ROUNDUP(MONTH(Table13[[#This Row],[Order Date]])/3,0)</calculatedColumnFormula>
    </tableColumn>
    <tableColumn id="16" xr3:uid="{2165A0EA-21BC-4509-860E-45F5D8B66113}" name="Profit Margin(%)" dataDxfId="2">
      <calculatedColumnFormula>Table13[[#This Row],[Profit]]/Table13[[#This Row],[Amount]]</calculatedColumnFormula>
    </tableColumn>
    <tableColumn id="17" xr3:uid="{EBE27E32-4FBE-4175-B648-E2508D983243}" name="Average Selling Price" dataDxfId="1">
      <calculatedColumnFormula>Table13[[#This Row],[Amount]]/Table13[[#This Row],[Quantity]]</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10" Type="http://schemas.microsoft.com/office/2007/relationships/slicer" Target="../slicers/slicer1.xml"/><Relationship Id="rId4" Type="http://schemas.openxmlformats.org/officeDocument/2006/relationships/pivotTable" Target="../pivotTables/pivotTable9.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B4C15-9764-45B7-9DBE-558A64A644CD}">
  <dimension ref="A1:L1195"/>
  <sheetViews>
    <sheetView workbookViewId="0">
      <selection activeCell="N13" sqref="N13"/>
    </sheetView>
  </sheetViews>
  <sheetFormatPr defaultRowHeight="14.4" x14ac:dyDescent="0.3"/>
  <cols>
    <col min="1" max="1" width="9.88671875" customWidth="1"/>
    <col min="2" max="2" width="9.77734375" customWidth="1"/>
    <col min="3" max="3" width="7.5546875" customWidth="1"/>
    <col min="4" max="4" width="10.21875" customWidth="1"/>
    <col min="5" max="5" width="13.109375" bestFit="1" customWidth="1"/>
    <col min="6" max="6" width="15.21875" bestFit="1" customWidth="1"/>
    <col min="7" max="7" width="15.44140625" customWidth="1"/>
    <col min="8" max="8" width="12" customWidth="1"/>
    <col min="9" max="9" width="21.44140625" bestFit="1" customWidth="1"/>
    <col min="11" max="11" width="12.44140625" bestFit="1" customWidth="1"/>
    <col min="12" max="12" width="13"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v>9726</v>
      </c>
      <c r="C2">
        <v>1275</v>
      </c>
      <c r="D2">
        <v>5</v>
      </c>
      <c r="E2" t="s">
        <v>13</v>
      </c>
      <c r="F2" t="s">
        <v>14</v>
      </c>
      <c r="G2" t="s">
        <v>15</v>
      </c>
      <c r="H2" s="1">
        <v>45104</v>
      </c>
      <c r="I2" t="s">
        <v>16</v>
      </c>
      <c r="J2" t="s">
        <v>17</v>
      </c>
      <c r="K2" t="s">
        <v>18</v>
      </c>
      <c r="L2" s="2" t="s">
        <v>19</v>
      </c>
    </row>
    <row r="3" spans="1:12" x14ac:dyDescent="0.3">
      <c r="A3" t="s">
        <v>12</v>
      </c>
      <c r="B3">
        <v>9726</v>
      </c>
      <c r="C3">
        <v>1275</v>
      </c>
      <c r="D3">
        <v>5</v>
      </c>
      <c r="E3" t="s">
        <v>13</v>
      </c>
      <c r="F3" t="s">
        <v>14</v>
      </c>
      <c r="G3" t="s">
        <v>15</v>
      </c>
      <c r="H3" s="1">
        <v>45653</v>
      </c>
      <c r="I3" t="s">
        <v>20</v>
      </c>
      <c r="J3" t="s">
        <v>21</v>
      </c>
      <c r="K3" t="s">
        <v>22</v>
      </c>
      <c r="L3" s="2" t="s">
        <v>23</v>
      </c>
    </row>
    <row r="4" spans="1:12" x14ac:dyDescent="0.3">
      <c r="A4" t="s">
        <v>12</v>
      </c>
      <c r="B4">
        <v>9726</v>
      </c>
      <c r="C4">
        <v>1275</v>
      </c>
      <c r="D4">
        <v>5</v>
      </c>
      <c r="E4" t="s">
        <v>13</v>
      </c>
      <c r="F4" t="s">
        <v>14</v>
      </c>
      <c r="G4" t="s">
        <v>15</v>
      </c>
      <c r="H4" s="1">
        <v>44402</v>
      </c>
      <c r="I4" t="s">
        <v>24</v>
      </c>
      <c r="J4" t="s">
        <v>25</v>
      </c>
      <c r="K4" t="s">
        <v>26</v>
      </c>
      <c r="L4" s="2" t="s">
        <v>27</v>
      </c>
    </row>
    <row r="5" spans="1:12" x14ac:dyDescent="0.3">
      <c r="A5" t="s">
        <v>12</v>
      </c>
      <c r="B5">
        <v>4975</v>
      </c>
      <c r="C5">
        <v>1330</v>
      </c>
      <c r="D5">
        <v>14</v>
      </c>
      <c r="E5" t="s">
        <v>13</v>
      </c>
      <c r="F5" t="s">
        <v>28</v>
      </c>
      <c r="G5" t="s">
        <v>15</v>
      </c>
      <c r="H5" s="1">
        <v>45104</v>
      </c>
      <c r="I5" t="s">
        <v>16</v>
      </c>
      <c r="J5" t="s">
        <v>17</v>
      </c>
      <c r="K5" t="s">
        <v>18</v>
      </c>
      <c r="L5" s="2" t="s">
        <v>19</v>
      </c>
    </row>
    <row r="6" spans="1:12" x14ac:dyDescent="0.3">
      <c r="A6" t="s">
        <v>12</v>
      </c>
      <c r="B6">
        <v>4975</v>
      </c>
      <c r="C6">
        <v>1330</v>
      </c>
      <c r="D6">
        <v>14</v>
      </c>
      <c r="E6" t="s">
        <v>13</v>
      </c>
      <c r="F6" t="s">
        <v>28</v>
      </c>
      <c r="G6" t="s">
        <v>15</v>
      </c>
      <c r="H6" s="1">
        <v>45653</v>
      </c>
      <c r="I6" t="s">
        <v>20</v>
      </c>
      <c r="J6" t="s">
        <v>21</v>
      </c>
      <c r="K6" t="s">
        <v>22</v>
      </c>
      <c r="L6" s="2" t="s">
        <v>23</v>
      </c>
    </row>
    <row r="7" spans="1:12" x14ac:dyDescent="0.3">
      <c r="A7" t="s">
        <v>12</v>
      </c>
      <c r="B7">
        <v>4975</v>
      </c>
      <c r="C7">
        <v>1330</v>
      </c>
      <c r="D7">
        <v>14</v>
      </c>
      <c r="E7" t="s">
        <v>13</v>
      </c>
      <c r="F7" t="s">
        <v>28</v>
      </c>
      <c r="G7" t="s">
        <v>15</v>
      </c>
      <c r="H7" s="1">
        <v>44402</v>
      </c>
      <c r="I7" t="s">
        <v>24</v>
      </c>
      <c r="J7" t="s">
        <v>25</v>
      </c>
      <c r="K7" t="s">
        <v>26</v>
      </c>
      <c r="L7" s="2" t="s">
        <v>27</v>
      </c>
    </row>
    <row r="8" spans="1:12" x14ac:dyDescent="0.3">
      <c r="A8" t="s">
        <v>29</v>
      </c>
      <c r="B8">
        <v>1525</v>
      </c>
      <c r="C8">
        <v>185</v>
      </c>
      <c r="D8">
        <v>12</v>
      </c>
      <c r="E8" t="s">
        <v>30</v>
      </c>
      <c r="F8" t="s">
        <v>31</v>
      </c>
      <c r="G8" t="s">
        <v>32</v>
      </c>
      <c r="H8" s="1">
        <v>45423</v>
      </c>
      <c r="I8" t="s">
        <v>33</v>
      </c>
      <c r="J8" t="s">
        <v>17</v>
      </c>
      <c r="K8" t="s">
        <v>34</v>
      </c>
      <c r="L8" s="2" t="s">
        <v>35</v>
      </c>
    </row>
    <row r="9" spans="1:12" x14ac:dyDescent="0.3">
      <c r="A9" t="s">
        <v>29</v>
      </c>
      <c r="B9">
        <v>1525</v>
      </c>
      <c r="C9">
        <v>185</v>
      </c>
      <c r="D9">
        <v>12</v>
      </c>
      <c r="E9" t="s">
        <v>30</v>
      </c>
      <c r="F9" t="s">
        <v>31</v>
      </c>
      <c r="G9" t="s">
        <v>32</v>
      </c>
      <c r="H9" s="1">
        <v>44478</v>
      </c>
      <c r="I9" t="s">
        <v>36</v>
      </c>
      <c r="J9" t="s">
        <v>17</v>
      </c>
      <c r="K9" t="s">
        <v>18</v>
      </c>
      <c r="L9" s="2" t="s">
        <v>37</v>
      </c>
    </row>
    <row r="10" spans="1:12" x14ac:dyDescent="0.3">
      <c r="A10" t="s">
        <v>38</v>
      </c>
      <c r="B10">
        <v>883</v>
      </c>
      <c r="C10">
        <v>117</v>
      </c>
      <c r="D10">
        <v>10</v>
      </c>
      <c r="E10" t="s">
        <v>13</v>
      </c>
      <c r="F10" t="s">
        <v>39</v>
      </c>
      <c r="G10" t="s">
        <v>40</v>
      </c>
      <c r="H10" s="1">
        <v>44883</v>
      </c>
      <c r="I10" t="s">
        <v>41</v>
      </c>
      <c r="J10" t="s">
        <v>42</v>
      </c>
      <c r="K10" t="s">
        <v>43</v>
      </c>
      <c r="L10" s="2" t="s">
        <v>44</v>
      </c>
    </row>
    <row r="11" spans="1:12" x14ac:dyDescent="0.3">
      <c r="A11" t="s">
        <v>38</v>
      </c>
      <c r="B11">
        <v>8127</v>
      </c>
      <c r="C11">
        <v>3551</v>
      </c>
      <c r="D11">
        <v>16</v>
      </c>
      <c r="E11" t="s">
        <v>45</v>
      </c>
      <c r="F11" t="s">
        <v>46</v>
      </c>
      <c r="G11" t="s">
        <v>47</v>
      </c>
      <c r="H11" s="1">
        <v>44883</v>
      </c>
      <c r="I11" t="s">
        <v>41</v>
      </c>
      <c r="J11" t="s">
        <v>42</v>
      </c>
      <c r="K11" t="s">
        <v>43</v>
      </c>
      <c r="L11" s="2" t="s">
        <v>44</v>
      </c>
    </row>
    <row r="12" spans="1:12" x14ac:dyDescent="0.3">
      <c r="A12" t="s">
        <v>48</v>
      </c>
      <c r="B12">
        <v>2516</v>
      </c>
      <c r="C12">
        <v>734</v>
      </c>
      <c r="D12">
        <v>19</v>
      </c>
      <c r="E12" t="s">
        <v>45</v>
      </c>
      <c r="F12" t="s">
        <v>49</v>
      </c>
      <c r="G12" t="s">
        <v>15</v>
      </c>
      <c r="H12" s="1">
        <v>45242</v>
      </c>
      <c r="I12" t="s">
        <v>50</v>
      </c>
      <c r="J12" t="s">
        <v>25</v>
      </c>
      <c r="K12" t="s">
        <v>51</v>
      </c>
      <c r="L12" s="2" t="s">
        <v>52</v>
      </c>
    </row>
    <row r="13" spans="1:12" x14ac:dyDescent="0.3">
      <c r="A13" t="s">
        <v>53</v>
      </c>
      <c r="B13">
        <v>2975</v>
      </c>
      <c r="C13">
        <v>462</v>
      </c>
      <c r="D13">
        <v>14</v>
      </c>
      <c r="E13" t="s">
        <v>30</v>
      </c>
      <c r="F13" t="s">
        <v>31</v>
      </c>
      <c r="G13" t="s">
        <v>47</v>
      </c>
      <c r="H13" s="1">
        <v>43913</v>
      </c>
      <c r="I13" t="s">
        <v>54</v>
      </c>
      <c r="J13" t="s">
        <v>25</v>
      </c>
      <c r="K13" t="s">
        <v>51</v>
      </c>
      <c r="L13" s="2" t="s">
        <v>55</v>
      </c>
    </row>
    <row r="14" spans="1:12" x14ac:dyDescent="0.3">
      <c r="A14" t="s">
        <v>56</v>
      </c>
      <c r="B14">
        <v>6851</v>
      </c>
      <c r="C14">
        <v>2812</v>
      </c>
      <c r="D14">
        <v>1</v>
      </c>
      <c r="E14" t="s">
        <v>30</v>
      </c>
      <c r="F14" t="s">
        <v>57</v>
      </c>
      <c r="G14" t="s">
        <v>32</v>
      </c>
      <c r="H14" s="1">
        <v>43955</v>
      </c>
      <c r="I14" t="s">
        <v>58</v>
      </c>
      <c r="J14" t="s">
        <v>17</v>
      </c>
      <c r="K14" t="s">
        <v>34</v>
      </c>
      <c r="L14" s="2" t="s">
        <v>59</v>
      </c>
    </row>
    <row r="15" spans="1:12" x14ac:dyDescent="0.3">
      <c r="A15" t="s">
        <v>56</v>
      </c>
      <c r="B15">
        <v>7626</v>
      </c>
      <c r="C15">
        <v>1046</v>
      </c>
      <c r="D15">
        <v>15</v>
      </c>
      <c r="E15" t="s">
        <v>45</v>
      </c>
      <c r="F15" t="s">
        <v>60</v>
      </c>
      <c r="G15" t="s">
        <v>47</v>
      </c>
      <c r="H15" s="1">
        <v>43955</v>
      </c>
      <c r="I15" t="s">
        <v>58</v>
      </c>
      <c r="J15" t="s">
        <v>17</v>
      </c>
      <c r="K15" t="s">
        <v>34</v>
      </c>
      <c r="L15" s="2" t="s">
        <v>59</v>
      </c>
    </row>
    <row r="16" spans="1:12" x14ac:dyDescent="0.3">
      <c r="A16" t="s">
        <v>56</v>
      </c>
      <c r="B16">
        <v>1023</v>
      </c>
      <c r="C16">
        <v>78</v>
      </c>
      <c r="D16">
        <v>9</v>
      </c>
      <c r="E16" t="s">
        <v>45</v>
      </c>
      <c r="F16" t="s">
        <v>46</v>
      </c>
      <c r="G16" t="s">
        <v>15</v>
      </c>
      <c r="H16" s="1">
        <v>43955</v>
      </c>
      <c r="I16" t="s">
        <v>58</v>
      </c>
      <c r="J16" t="s">
        <v>17</v>
      </c>
      <c r="K16" t="s">
        <v>34</v>
      </c>
      <c r="L16" s="2" t="s">
        <v>59</v>
      </c>
    </row>
    <row r="17" spans="1:12" x14ac:dyDescent="0.3">
      <c r="A17" t="s">
        <v>61</v>
      </c>
      <c r="B17">
        <v>7600</v>
      </c>
      <c r="C17">
        <v>1098</v>
      </c>
      <c r="D17">
        <v>10</v>
      </c>
      <c r="E17" t="s">
        <v>30</v>
      </c>
      <c r="F17" t="s">
        <v>31</v>
      </c>
      <c r="G17" t="s">
        <v>15</v>
      </c>
      <c r="H17" s="1">
        <v>45239</v>
      </c>
      <c r="I17" t="s">
        <v>62</v>
      </c>
      <c r="J17" t="s">
        <v>21</v>
      </c>
      <c r="K17" t="s">
        <v>63</v>
      </c>
      <c r="L17" s="2" t="s">
        <v>52</v>
      </c>
    </row>
    <row r="18" spans="1:12" x14ac:dyDescent="0.3">
      <c r="A18" t="s">
        <v>61</v>
      </c>
      <c r="B18">
        <v>7501</v>
      </c>
      <c r="C18">
        <v>262</v>
      </c>
      <c r="D18">
        <v>18</v>
      </c>
      <c r="E18" t="s">
        <v>30</v>
      </c>
      <c r="F18" t="s">
        <v>64</v>
      </c>
      <c r="G18" t="s">
        <v>65</v>
      </c>
      <c r="H18" s="1">
        <v>45239</v>
      </c>
      <c r="I18" t="s">
        <v>62</v>
      </c>
      <c r="J18" t="s">
        <v>21</v>
      </c>
      <c r="K18" t="s">
        <v>63</v>
      </c>
      <c r="L18" s="2" t="s">
        <v>52</v>
      </c>
    </row>
    <row r="19" spans="1:12" x14ac:dyDescent="0.3">
      <c r="A19" t="s">
        <v>66</v>
      </c>
      <c r="B19">
        <v>725</v>
      </c>
      <c r="C19">
        <v>133</v>
      </c>
      <c r="D19">
        <v>6</v>
      </c>
      <c r="E19" t="s">
        <v>30</v>
      </c>
      <c r="F19" t="s">
        <v>64</v>
      </c>
      <c r="G19" t="s">
        <v>47</v>
      </c>
      <c r="H19" s="1">
        <v>45656</v>
      </c>
      <c r="I19" t="s">
        <v>67</v>
      </c>
      <c r="J19" t="s">
        <v>25</v>
      </c>
      <c r="K19" t="s">
        <v>68</v>
      </c>
      <c r="L19" s="2" t="s">
        <v>23</v>
      </c>
    </row>
    <row r="20" spans="1:12" x14ac:dyDescent="0.3">
      <c r="A20" t="s">
        <v>66</v>
      </c>
      <c r="B20">
        <v>7201</v>
      </c>
      <c r="C20">
        <v>2685</v>
      </c>
      <c r="D20">
        <v>2</v>
      </c>
      <c r="E20" t="s">
        <v>45</v>
      </c>
      <c r="F20" t="s">
        <v>46</v>
      </c>
      <c r="G20" t="s">
        <v>47</v>
      </c>
      <c r="H20" s="1">
        <v>45656</v>
      </c>
      <c r="I20" t="s">
        <v>67</v>
      </c>
      <c r="J20" t="s">
        <v>25</v>
      </c>
      <c r="K20" t="s">
        <v>68</v>
      </c>
      <c r="L20" s="2" t="s">
        <v>23</v>
      </c>
    </row>
    <row r="21" spans="1:12" x14ac:dyDescent="0.3">
      <c r="A21" t="s">
        <v>69</v>
      </c>
      <c r="B21">
        <v>1629</v>
      </c>
      <c r="C21">
        <v>265</v>
      </c>
      <c r="D21">
        <v>1</v>
      </c>
      <c r="E21" t="s">
        <v>30</v>
      </c>
      <c r="F21" t="s">
        <v>64</v>
      </c>
      <c r="G21" t="s">
        <v>15</v>
      </c>
      <c r="H21" s="1">
        <v>45699</v>
      </c>
      <c r="I21" t="s">
        <v>70</v>
      </c>
      <c r="J21" t="s">
        <v>71</v>
      </c>
      <c r="K21" t="s">
        <v>72</v>
      </c>
      <c r="L21" s="2" t="s">
        <v>73</v>
      </c>
    </row>
    <row r="22" spans="1:12" x14ac:dyDescent="0.3">
      <c r="A22" t="s">
        <v>69</v>
      </c>
      <c r="B22">
        <v>1629</v>
      </c>
      <c r="C22">
        <v>265</v>
      </c>
      <c r="D22">
        <v>1</v>
      </c>
      <c r="E22" t="s">
        <v>30</v>
      </c>
      <c r="F22" t="s">
        <v>64</v>
      </c>
      <c r="G22" t="s">
        <v>15</v>
      </c>
      <c r="H22" s="1">
        <v>45314</v>
      </c>
      <c r="I22" t="s">
        <v>74</v>
      </c>
      <c r="J22" t="s">
        <v>42</v>
      </c>
      <c r="K22" t="s">
        <v>75</v>
      </c>
      <c r="L22" s="2" t="s">
        <v>76</v>
      </c>
    </row>
    <row r="23" spans="1:12" x14ac:dyDescent="0.3">
      <c r="A23" t="s">
        <v>77</v>
      </c>
      <c r="B23">
        <v>8971</v>
      </c>
      <c r="C23">
        <v>2971</v>
      </c>
      <c r="D23">
        <v>19</v>
      </c>
      <c r="E23" t="s">
        <v>30</v>
      </c>
      <c r="F23" t="s">
        <v>78</v>
      </c>
      <c r="G23" t="s">
        <v>32</v>
      </c>
      <c r="H23" s="1">
        <v>44163</v>
      </c>
      <c r="I23" t="s">
        <v>79</v>
      </c>
      <c r="J23" t="s">
        <v>42</v>
      </c>
      <c r="K23" t="s">
        <v>75</v>
      </c>
      <c r="L23" s="2" t="s">
        <v>80</v>
      </c>
    </row>
    <row r="24" spans="1:12" x14ac:dyDescent="0.3">
      <c r="A24" t="s">
        <v>77</v>
      </c>
      <c r="B24">
        <v>2939</v>
      </c>
      <c r="C24">
        <v>894</v>
      </c>
      <c r="D24">
        <v>20</v>
      </c>
      <c r="E24" t="s">
        <v>30</v>
      </c>
      <c r="F24" t="s">
        <v>78</v>
      </c>
      <c r="G24" t="s">
        <v>65</v>
      </c>
      <c r="H24" s="1">
        <v>44163</v>
      </c>
      <c r="I24" t="s">
        <v>79</v>
      </c>
      <c r="J24" t="s">
        <v>42</v>
      </c>
      <c r="K24" t="s">
        <v>75</v>
      </c>
      <c r="L24" s="2" t="s">
        <v>80</v>
      </c>
    </row>
    <row r="25" spans="1:12" x14ac:dyDescent="0.3">
      <c r="A25" t="s">
        <v>81</v>
      </c>
      <c r="B25">
        <v>9380</v>
      </c>
      <c r="C25">
        <v>414</v>
      </c>
      <c r="D25">
        <v>11</v>
      </c>
      <c r="E25" t="s">
        <v>13</v>
      </c>
      <c r="F25" t="s">
        <v>82</v>
      </c>
      <c r="G25" t="s">
        <v>15</v>
      </c>
      <c r="H25" s="1">
        <v>45442</v>
      </c>
      <c r="I25" t="s">
        <v>83</v>
      </c>
      <c r="J25" t="s">
        <v>25</v>
      </c>
      <c r="K25" t="s">
        <v>68</v>
      </c>
      <c r="L25" s="2" t="s">
        <v>35</v>
      </c>
    </row>
    <row r="26" spans="1:12" x14ac:dyDescent="0.3">
      <c r="A26" t="s">
        <v>81</v>
      </c>
      <c r="B26">
        <v>8558</v>
      </c>
      <c r="C26">
        <v>1644</v>
      </c>
      <c r="D26">
        <v>18</v>
      </c>
      <c r="E26" t="s">
        <v>30</v>
      </c>
      <c r="F26" t="s">
        <v>78</v>
      </c>
      <c r="G26" t="s">
        <v>47</v>
      </c>
      <c r="H26" s="1">
        <v>45442</v>
      </c>
      <c r="I26" t="s">
        <v>83</v>
      </c>
      <c r="J26" t="s">
        <v>25</v>
      </c>
      <c r="K26" t="s">
        <v>68</v>
      </c>
      <c r="L26" s="2" t="s">
        <v>35</v>
      </c>
    </row>
    <row r="27" spans="1:12" x14ac:dyDescent="0.3">
      <c r="A27" t="s">
        <v>81</v>
      </c>
      <c r="B27">
        <v>4080</v>
      </c>
      <c r="C27">
        <v>72</v>
      </c>
      <c r="D27">
        <v>17</v>
      </c>
      <c r="E27" t="s">
        <v>30</v>
      </c>
      <c r="F27" t="s">
        <v>64</v>
      </c>
      <c r="G27" t="s">
        <v>65</v>
      </c>
      <c r="H27" s="1">
        <v>45442</v>
      </c>
      <c r="I27" t="s">
        <v>83</v>
      </c>
      <c r="J27" t="s">
        <v>25</v>
      </c>
      <c r="K27" t="s">
        <v>68</v>
      </c>
      <c r="L27" s="2" t="s">
        <v>35</v>
      </c>
    </row>
    <row r="28" spans="1:12" x14ac:dyDescent="0.3">
      <c r="A28" t="s">
        <v>84</v>
      </c>
      <c r="B28">
        <v>4206</v>
      </c>
      <c r="C28">
        <v>1821</v>
      </c>
      <c r="D28">
        <v>17</v>
      </c>
      <c r="E28" t="s">
        <v>13</v>
      </c>
      <c r="F28" t="s">
        <v>14</v>
      </c>
      <c r="G28" t="s">
        <v>40</v>
      </c>
      <c r="H28" s="1">
        <v>44584</v>
      </c>
      <c r="I28" t="s">
        <v>85</v>
      </c>
      <c r="J28" t="s">
        <v>71</v>
      </c>
      <c r="K28" t="s">
        <v>86</v>
      </c>
      <c r="L28" s="2" t="s">
        <v>87</v>
      </c>
    </row>
    <row r="29" spans="1:12" x14ac:dyDescent="0.3">
      <c r="A29" t="s">
        <v>88</v>
      </c>
      <c r="B29">
        <v>5219</v>
      </c>
      <c r="C29">
        <v>1180</v>
      </c>
      <c r="D29">
        <v>20</v>
      </c>
      <c r="E29" t="s">
        <v>30</v>
      </c>
      <c r="F29" t="s">
        <v>78</v>
      </c>
      <c r="G29" t="s">
        <v>65</v>
      </c>
      <c r="H29" s="1">
        <v>44547</v>
      </c>
      <c r="I29" t="s">
        <v>89</v>
      </c>
      <c r="J29" t="s">
        <v>25</v>
      </c>
      <c r="K29" t="s">
        <v>51</v>
      </c>
      <c r="L29" s="2" t="s">
        <v>90</v>
      </c>
    </row>
    <row r="30" spans="1:12" x14ac:dyDescent="0.3">
      <c r="A30" t="s">
        <v>88</v>
      </c>
      <c r="B30">
        <v>5219</v>
      </c>
      <c r="C30">
        <v>1180</v>
      </c>
      <c r="D30">
        <v>20</v>
      </c>
      <c r="E30" t="s">
        <v>30</v>
      </c>
      <c r="F30" t="s">
        <v>78</v>
      </c>
      <c r="G30" t="s">
        <v>65</v>
      </c>
      <c r="H30" s="1">
        <v>44960</v>
      </c>
      <c r="I30" t="s">
        <v>91</v>
      </c>
      <c r="J30" t="s">
        <v>42</v>
      </c>
      <c r="K30" t="s">
        <v>92</v>
      </c>
      <c r="L30" s="2" t="s">
        <v>93</v>
      </c>
    </row>
    <row r="31" spans="1:12" x14ac:dyDescent="0.3">
      <c r="A31" t="s">
        <v>94</v>
      </c>
      <c r="B31">
        <v>3686</v>
      </c>
      <c r="C31">
        <v>760</v>
      </c>
      <c r="D31">
        <v>20</v>
      </c>
      <c r="E31" t="s">
        <v>30</v>
      </c>
      <c r="F31" t="s">
        <v>31</v>
      </c>
      <c r="G31" t="s">
        <v>32</v>
      </c>
      <c r="H31" s="1">
        <v>44864</v>
      </c>
      <c r="I31" t="s">
        <v>95</v>
      </c>
      <c r="J31" t="s">
        <v>42</v>
      </c>
      <c r="K31" t="s">
        <v>92</v>
      </c>
      <c r="L31" s="2" t="s">
        <v>96</v>
      </c>
    </row>
    <row r="32" spans="1:12" x14ac:dyDescent="0.3">
      <c r="A32" t="s">
        <v>94</v>
      </c>
      <c r="B32">
        <v>3686</v>
      </c>
      <c r="C32">
        <v>760</v>
      </c>
      <c r="D32">
        <v>20</v>
      </c>
      <c r="E32" t="s">
        <v>30</v>
      </c>
      <c r="F32" t="s">
        <v>31</v>
      </c>
      <c r="G32" t="s">
        <v>32</v>
      </c>
      <c r="H32" s="1">
        <v>44576</v>
      </c>
      <c r="I32" t="s">
        <v>97</v>
      </c>
      <c r="J32" t="s">
        <v>98</v>
      </c>
      <c r="K32" t="s">
        <v>99</v>
      </c>
      <c r="L32" s="2" t="s">
        <v>87</v>
      </c>
    </row>
    <row r="33" spans="1:12" x14ac:dyDescent="0.3">
      <c r="A33" t="s">
        <v>100</v>
      </c>
      <c r="B33">
        <v>6045</v>
      </c>
      <c r="C33">
        <v>1606</v>
      </c>
      <c r="D33">
        <v>4</v>
      </c>
      <c r="E33" t="s">
        <v>30</v>
      </c>
      <c r="F33" t="s">
        <v>64</v>
      </c>
      <c r="G33" t="s">
        <v>65</v>
      </c>
      <c r="H33" s="1">
        <v>45274</v>
      </c>
      <c r="I33" t="s">
        <v>101</v>
      </c>
      <c r="J33" t="s">
        <v>17</v>
      </c>
      <c r="K33" t="s">
        <v>34</v>
      </c>
      <c r="L33" s="2" t="s">
        <v>102</v>
      </c>
    </row>
    <row r="34" spans="1:12" x14ac:dyDescent="0.3">
      <c r="A34" t="s">
        <v>100</v>
      </c>
      <c r="B34">
        <v>9337</v>
      </c>
      <c r="C34">
        <v>554</v>
      </c>
      <c r="D34">
        <v>11</v>
      </c>
      <c r="E34" t="s">
        <v>30</v>
      </c>
      <c r="F34" t="s">
        <v>31</v>
      </c>
      <c r="G34" t="s">
        <v>65</v>
      </c>
      <c r="H34" s="1">
        <v>45274</v>
      </c>
      <c r="I34" t="s">
        <v>101</v>
      </c>
      <c r="J34" t="s">
        <v>17</v>
      </c>
      <c r="K34" t="s">
        <v>34</v>
      </c>
      <c r="L34" s="2" t="s">
        <v>102</v>
      </c>
    </row>
    <row r="35" spans="1:12" x14ac:dyDescent="0.3">
      <c r="A35" t="s">
        <v>103</v>
      </c>
      <c r="B35">
        <v>4051</v>
      </c>
      <c r="C35">
        <v>1848</v>
      </c>
      <c r="D35">
        <v>12</v>
      </c>
      <c r="E35" t="s">
        <v>13</v>
      </c>
      <c r="F35" t="s">
        <v>82</v>
      </c>
      <c r="G35" t="s">
        <v>47</v>
      </c>
      <c r="H35" s="1">
        <v>45110</v>
      </c>
      <c r="I35" t="s">
        <v>104</v>
      </c>
      <c r="J35" t="s">
        <v>42</v>
      </c>
      <c r="K35" t="s">
        <v>75</v>
      </c>
      <c r="L35" s="2" t="s">
        <v>105</v>
      </c>
    </row>
    <row r="36" spans="1:12" x14ac:dyDescent="0.3">
      <c r="A36" t="s">
        <v>103</v>
      </c>
      <c r="B36">
        <v>4051</v>
      </c>
      <c r="C36">
        <v>1848</v>
      </c>
      <c r="D36">
        <v>12</v>
      </c>
      <c r="E36" t="s">
        <v>13</v>
      </c>
      <c r="F36" t="s">
        <v>82</v>
      </c>
      <c r="G36" t="s">
        <v>47</v>
      </c>
      <c r="H36" s="1">
        <v>44324</v>
      </c>
      <c r="I36" t="s">
        <v>106</v>
      </c>
      <c r="J36" t="s">
        <v>98</v>
      </c>
      <c r="K36" t="s">
        <v>107</v>
      </c>
      <c r="L36" s="2" t="s">
        <v>108</v>
      </c>
    </row>
    <row r="37" spans="1:12" x14ac:dyDescent="0.3">
      <c r="A37" t="s">
        <v>103</v>
      </c>
      <c r="B37">
        <v>5011</v>
      </c>
      <c r="C37">
        <v>866</v>
      </c>
      <c r="D37">
        <v>11</v>
      </c>
      <c r="E37" t="s">
        <v>45</v>
      </c>
      <c r="F37" t="s">
        <v>109</v>
      </c>
      <c r="G37" t="s">
        <v>47</v>
      </c>
      <c r="H37" s="1">
        <v>45110</v>
      </c>
      <c r="I37" t="s">
        <v>104</v>
      </c>
      <c r="J37" t="s">
        <v>42</v>
      </c>
      <c r="K37" t="s">
        <v>75</v>
      </c>
      <c r="L37" s="2" t="s">
        <v>105</v>
      </c>
    </row>
    <row r="38" spans="1:12" x14ac:dyDescent="0.3">
      <c r="A38" t="s">
        <v>103</v>
      </c>
      <c r="B38">
        <v>5011</v>
      </c>
      <c r="C38">
        <v>866</v>
      </c>
      <c r="D38">
        <v>11</v>
      </c>
      <c r="E38" t="s">
        <v>45</v>
      </c>
      <c r="F38" t="s">
        <v>109</v>
      </c>
      <c r="G38" t="s">
        <v>47</v>
      </c>
      <c r="H38" s="1">
        <v>44324</v>
      </c>
      <c r="I38" t="s">
        <v>106</v>
      </c>
      <c r="J38" t="s">
        <v>98</v>
      </c>
      <c r="K38" t="s">
        <v>107</v>
      </c>
      <c r="L38" s="2" t="s">
        <v>108</v>
      </c>
    </row>
    <row r="39" spans="1:12" x14ac:dyDescent="0.3">
      <c r="A39" t="s">
        <v>110</v>
      </c>
      <c r="B39">
        <v>3958</v>
      </c>
      <c r="C39">
        <v>630</v>
      </c>
      <c r="D39">
        <v>15</v>
      </c>
      <c r="E39" t="s">
        <v>45</v>
      </c>
      <c r="F39" t="s">
        <v>60</v>
      </c>
      <c r="G39" t="s">
        <v>40</v>
      </c>
      <c r="H39" s="1">
        <v>44841</v>
      </c>
      <c r="I39" t="s">
        <v>111</v>
      </c>
      <c r="J39" t="s">
        <v>17</v>
      </c>
      <c r="K39" t="s">
        <v>34</v>
      </c>
      <c r="L39" s="2" t="s">
        <v>96</v>
      </c>
    </row>
    <row r="40" spans="1:12" x14ac:dyDescent="0.3">
      <c r="A40" t="s">
        <v>110</v>
      </c>
      <c r="B40">
        <v>3132</v>
      </c>
      <c r="C40">
        <v>963</v>
      </c>
      <c r="D40">
        <v>1</v>
      </c>
      <c r="E40" t="s">
        <v>45</v>
      </c>
      <c r="F40" t="s">
        <v>46</v>
      </c>
      <c r="G40" t="s">
        <v>32</v>
      </c>
      <c r="H40" s="1">
        <v>44841</v>
      </c>
      <c r="I40" t="s">
        <v>111</v>
      </c>
      <c r="J40" t="s">
        <v>17</v>
      </c>
      <c r="K40" t="s">
        <v>34</v>
      </c>
      <c r="L40" s="2" t="s">
        <v>96</v>
      </c>
    </row>
    <row r="41" spans="1:12" x14ac:dyDescent="0.3">
      <c r="A41" t="s">
        <v>112</v>
      </c>
      <c r="B41">
        <v>7784</v>
      </c>
      <c r="C41">
        <v>2937</v>
      </c>
      <c r="D41">
        <v>12</v>
      </c>
      <c r="E41" t="s">
        <v>30</v>
      </c>
      <c r="F41" t="s">
        <v>57</v>
      </c>
      <c r="G41" t="s">
        <v>15</v>
      </c>
      <c r="H41" s="1">
        <v>45510</v>
      </c>
      <c r="I41" t="s">
        <v>113</v>
      </c>
      <c r="J41" t="s">
        <v>42</v>
      </c>
      <c r="K41" t="s">
        <v>92</v>
      </c>
      <c r="L41" s="2" t="s">
        <v>114</v>
      </c>
    </row>
    <row r="42" spans="1:12" x14ac:dyDescent="0.3">
      <c r="A42" t="s">
        <v>112</v>
      </c>
      <c r="B42">
        <v>5591</v>
      </c>
      <c r="C42">
        <v>1696</v>
      </c>
      <c r="D42">
        <v>3</v>
      </c>
      <c r="E42" t="s">
        <v>30</v>
      </c>
      <c r="F42" t="s">
        <v>31</v>
      </c>
      <c r="G42" t="s">
        <v>65</v>
      </c>
      <c r="H42" s="1">
        <v>45510</v>
      </c>
      <c r="I42" t="s">
        <v>113</v>
      </c>
      <c r="J42" t="s">
        <v>42</v>
      </c>
      <c r="K42" t="s">
        <v>92</v>
      </c>
      <c r="L42" s="2" t="s">
        <v>114</v>
      </c>
    </row>
    <row r="43" spans="1:12" x14ac:dyDescent="0.3">
      <c r="A43" t="s">
        <v>112</v>
      </c>
      <c r="B43">
        <v>5122</v>
      </c>
      <c r="C43">
        <v>2413</v>
      </c>
      <c r="D43">
        <v>12</v>
      </c>
      <c r="E43" t="s">
        <v>13</v>
      </c>
      <c r="F43" t="s">
        <v>14</v>
      </c>
      <c r="G43" t="s">
        <v>65</v>
      </c>
      <c r="H43" s="1">
        <v>45510</v>
      </c>
      <c r="I43" t="s">
        <v>113</v>
      </c>
      <c r="J43" t="s">
        <v>42</v>
      </c>
      <c r="K43" t="s">
        <v>92</v>
      </c>
      <c r="L43" s="2" t="s">
        <v>114</v>
      </c>
    </row>
    <row r="44" spans="1:12" x14ac:dyDescent="0.3">
      <c r="A44" t="s">
        <v>115</v>
      </c>
      <c r="B44">
        <v>8293</v>
      </c>
      <c r="C44">
        <v>2632</v>
      </c>
      <c r="D44">
        <v>8</v>
      </c>
      <c r="E44" t="s">
        <v>30</v>
      </c>
      <c r="F44" t="s">
        <v>78</v>
      </c>
      <c r="G44" t="s">
        <v>65</v>
      </c>
      <c r="H44" s="1">
        <v>44566</v>
      </c>
      <c r="I44" t="s">
        <v>116</v>
      </c>
      <c r="J44" t="s">
        <v>98</v>
      </c>
      <c r="K44" t="s">
        <v>117</v>
      </c>
      <c r="L44" s="2" t="s">
        <v>87</v>
      </c>
    </row>
    <row r="45" spans="1:12" x14ac:dyDescent="0.3">
      <c r="A45" t="s">
        <v>115</v>
      </c>
      <c r="B45">
        <v>8293</v>
      </c>
      <c r="C45">
        <v>2632</v>
      </c>
      <c r="D45">
        <v>8</v>
      </c>
      <c r="E45" t="s">
        <v>30</v>
      </c>
      <c r="F45" t="s">
        <v>78</v>
      </c>
      <c r="G45" t="s">
        <v>65</v>
      </c>
      <c r="H45" s="1">
        <v>44121</v>
      </c>
      <c r="I45" t="s">
        <v>118</v>
      </c>
      <c r="J45" t="s">
        <v>25</v>
      </c>
      <c r="K45" t="s">
        <v>68</v>
      </c>
      <c r="L45" s="2" t="s">
        <v>119</v>
      </c>
    </row>
    <row r="46" spans="1:12" x14ac:dyDescent="0.3">
      <c r="A46" t="s">
        <v>115</v>
      </c>
      <c r="B46">
        <v>8293</v>
      </c>
      <c r="C46">
        <v>2632</v>
      </c>
      <c r="D46">
        <v>8</v>
      </c>
      <c r="E46" t="s">
        <v>30</v>
      </c>
      <c r="F46" t="s">
        <v>78</v>
      </c>
      <c r="G46" t="s">
        <v>65</v>
      </c>
      <c r="H46" s="1">
        <v>45159</v>
      </c>
      <c r="I46" t="s">
        <v>120</v>
      </c>
      <c r="J46" t="s">
        <v>42</v>
      </c>
      <c r="K46" t="s">
        <v>43</v>
      </c>
      <c r="L46" s="2" t="s">
        <v>121</v>
      </c>
    </row>
    <row r="47" spans="1:12" x14ac:dyDescent="0.3">
      <c r="A47" t="s">
        <v>115</v>
      </c>
      <c r="B47">
        <v>2863</v>
      </c>
      <c r="C47">
        <v>205</v>
      </c>
      <c r="D47">
        <v>17</v>
      </c>
      <c r="E47" t="s">
        <v>13</v>
      </c>
      <c r="F47" t="s">
        <v>82</v>
      </c>
      <c r="G47" t="s">
        <v>15</v>
      </c>
      <c r="H47" s="1">
        <v>44566</v>
      </c>
      <c r="I47" t="s">
        <v>116</v>
      </c>
      <c r="J47" t="s">
        <v>98</v>
      </c>
      <c r="K47" t="s">
        <v>117</v>
      </c>
      <c r="L47" s="2" t="s">
        <v>87</v>
      </c>
    </row>
    <row r="48" spans="1:12" x14ac:dyDescent="0.3">
      <c r="A48" t="s">
        <v>115</v>
      </c>
      <c r="B48">
        <v>2863</v>
      </c>
      <c r="C48">
        <v>205</v>
      </c>
      <c r="D48">
        <v>17</v>
      </c>
      <c r="E48" t="s">
        <v>13</v>
      </c>
      <c r="F48" t="s">
        <v>82</v>
      </c>
      <c r="G48" t="s">
        <v>15</v>
      </c>
      <c r="H48" s="1">
        <v>44121</v>
      </c>
      <c r="I48" t="s">
        <v>118</v>
      </c>
      <c r="J48" t="s">
        <v>25</v>
      </c>
      <c r="K48" t="s">
        <v>68</v>
      </c>
      <c r="L48" s="2" t="s">
        <v>119</v>
      </c>
    </row>
    <row r="49" spans="1:12" x14ac:dyDescent="0.3">
      <c r="A49" t="s">
        <v>115</v>
      </c>
      <c r="B49">
        <v>2863</v>
      </c>
      <c r="C49">
        <v>205</v>
      </c>
      <c r="D49">
        <v>17</v>
      </c>
      <c r="E49" t="s">
        <v>13</v>
      </c>
      <c r="F49" t="s">
        <v>82</v>
      </c>
      <c r="G49" t="s">
        <v>15</v>
      </c>
      <c r="H49" s="1">
        <v>45159</v>
      </c>
      <c r="I49" t="s">
        <v>120</v>
      </c>
      <c r="J49" t="s">
        <v>42</v>
      </c>
      <c r="K49" t="s">
        <v>43</v>
      </c>
      <c r="L49" s="2" t="s">
        <v>121</v>
      </c>
    </row>
    <row r="50" spans="1:12" x14ac:dyDescent="0.3">
      <c r="A50" t="s">
        <v>122</v>
      </c>
      <c r="B50">
        <v>3090</v>
      </c>
      <c r="C50">
        <v>573</v>
      </c>
      <c r="D50">
        <v>6</v>
      </c>
      <c r="E50" t="s">
        <v>45</v>
      </c>
      <c r="F50" t="s">
        <v>46</v>
      </c>
      <c r="G50" t="s">
        <v>40</v>
      </c>
      <c r="H50" s="1">
        <v>45653</v>
      </c>
      <c r="I50" t="s">
        <v>123</v>
      </c>
      <c r="J50" t="s">
        <v>42</v>
      </c>
      <c r="K50" t="s">
        <v>75</v>
      </c>
      <c r="L50" s="2" t="s">
        <v>23</v>
      </c>
    </row>
    <row r="51" spans="1:12" x14ac:dyDescent="0.3">
      <c r="A51" t="s">
        <v>122</v>
      </c>
      <c r="B51">
        <v>3090</v>
      </c>
      <c r="C51">
        <v>573</v>
      </c>
      <c r="D51">
        <v>6</v>
      </c>
      <c r="E51" t="s">
        <v>45</v>
      </c>
      <c r="F51" t="s">
        <v>46</v>
      </c>
      <c r="G51" t="s">
        <v>40</v>
      </c>
      <c r="H51" s="1">
        <v>44365</v>
      </c>
      <c r="I51" t="s">
        <v>124</v>
      </c>
      <c r="J51" t="s">
        <v>98</v>
      </c>
      <c r="K51" t="s">
        <v>107</v>
      </c>
      <c r="L51" s="2" t="s">
        <v>125</v>
      </c>
    </row>
    <row r="52" spans="1:12" x14ac:dyDescent="0.3">
      <c r="A52" t="s">
        <v>122</v>
      </c>
      <c r="B52">
        <v>3090</v>
      </c>
      <c r="C52">
        <v>573</v>
      </c>
      <c r="D52">
        <v>6</v>
      </c>
      <c r="E52" t="s">
        <v>45</v>
      </c>
      <c r="F52" t="s">
        <v>46</v>
      </c>
      <c r="G52" t="s">
        <v>40</v>
      </c>
      <c r="H52" s="1">
        <v>45073</v>
      </c>
      <c r="I52" t="s">
        <v>126</v>
      </c>
      <c r="J52" t="s">
        <v>71</v>
      </c>
      <c r="K52" t="s">
        <v>86</v>
      </c>
      <c r="L52" s="2" t="s">
        <v>127</v>
      </c>
    </row>
    <row r="53" spans="1:12" x14ac:dyDescent="0.3">
      <c r="A53" t="s">
        <v>122</v>
      </c>
      <c r="B53">
        <v>3090</v>
      </c>
      <c r="C53">
        <v>573</v>
      </c>
      <c r="D53">
        <v>6</v>
      </c>
      <c r="E53" t="s">
        <v>45</v>
      </c>
      <c r="F53" t="s">
        <v>46</v>
      </c>
      <c r="G53" t="s">
        <v>40</v>
      </c>
      <c r="H53" s="1">
        <v>44481</v>
      </c>
      <c r="I53" t="s">
        <v>128</v>
      </c>
      <c r="J53" t="s">
        <v>71</v>
      </c>
      <c r="K53" t="s">
        <v>72</v>
      </c>
      <c r="L53" s="2" t="s">
        <v>37</v>
      </c>
    </row>
    <row r="54" spans="1:12" x14ac:dyDescent="0.3">
      <c r="A54" t="s">
        <v>122</v>
      </c>
      <c r="B54">
        <v>9683</v>
      </c>
      <c r="C54">
        <v>1014</v>
      </c>
      <c r="D54">
        <v>5</v>
      </c>
      <c r="E54" t="s">
        <v>13</v>
      </c>
      <c r="F54" t="s">
        <v>28</v>
      </c>
      <c r="G54" t="s">
        <v>15</v>
      </c>
      <c r="H54" s="1">
        <v>45653</v>
      </c>
      <c r="I54" t="s">
        <v>123</v>
      </c>
      <c r="J54" t="s">
        <v>42</v>
      </c>
      <c r="K54" t="s">
        <v>75</v>
      </c>
      <c r="L54" s="2" t="s">
        <v>23</v>
      </c>
    </row>
    <row r="55" spans="1:12" x14ac:dyDescent="0.3">
      <c r="A55" t="s">
        <v>122</v>
      </c>
      <c r="B55">
        <v>9683</v>
      </c>
      <c r="C55">
        <v>1014</v>
      </c>
      <c r="D55">
        <v>5</v>
      </c>
      <c r="E55" t="s">
        <v>13</v>
      </c>
      <c r="F55" t="s">
        <v>28</v>
      </c>
      <c r="G55" t="s">
        <v>15</v>
      </c>
      <c r="H55" s="1">
        <v>44365</v>
      </c>
      <c r="I55" t="s">
        <v>124</v>
      </c>
      <c r="J55" t="s">
        <v>98</v>
      </c>
      <c r="K55" t="s">
        <v>107</v>
      </c>
      <c r="L55" s="2" t="s">
        <v>125</v>
      </c>
    </row>
    <row r="56" spans="1:12" x14ac:dyDescent="0.3">
      <c r="A56" t="s">
        <v>122</v>
      </c>
      <c r="B56">
        <v>9683</v>
      </c>
      <c r="C56">
        <v>1014</v>
      </c>
      <c r="D56">
        <v>5</v>
      </c>
      <c r="E56" t="s">
        <v>13</v>
      </c>
      <c r="F56" t="s">
        <v>28</v>
      </c>
      <c r="G56" t="s">
        <v>15</v>
      </c>
      <c r="H56" s="1">
        <v>45073</v>
      </c>
      <c r="I56" t="s">
        <v>126</v>
      </c>
      <c r="J56" t="s">
        <v>71</v>
      </c>
      <c r="K56" t="s">
        <v>86</v>
      </c>
      <c r="L56" s="2" t="s">
        <v>127</v>
      </c>
    </row>
    <row r="57" spans="1:12" x14ac:dyDescent="0.3">
      <c r="A57" t="s">
        <v>122</v>
      </c>
      <c r="B57">
        <v>9683</v>
      </c>
      <c r="C57">
        <v>1014</v>
      </c>
      <c r="D57">
        <v>5</v>
      </c>
      <c r="E57" t="s">
        <v>13</v>
      </c>
      <c r="F57" t="s">
        <v>28</v>
      </c>
      <c r="G57" t="s">
        <v>15</v>
      </c>
      <c r="H57" s="1">
        <v>44481</v>
      </c>
      <c r="I57" t="s">
        <v>128</v>
      </c>
      <c r="J57" t="s">
        <v>71</v>
      </c>
      <c r="K57" t="s">
        <v>72</v>
      </c>
      <c r="L57" s="2" t="s">
        <v>37</v>
      </c>
    </row>
    <row r="58" spans="1:12" x14ac:dyDescent="0.3">
      <c r="A58" t="s">
        <v>129</v>
      </c>
      <c r="B58">
        <v>2463</v>
      </c>
      <c r="C58">
        <v>648</v>
      </c>
      <c r="D58">
        <v>18</v>
      </c>
      <c r="E58" t="s">
        <v>45</v>
      </c>
      <c r="F58" t="s">
        <v>46</v>
      </c>
      <c r="G58" t="s">
        <v>40</v>
      </c>
      <c r="H58" s="1">
        <v>44823</v>
      </c>
      <c r="I58" t="s">
        <v>130</v>
      </c>
      <c r="J58" t="s">
        <v>98</v>
      </c>
      <c r="K58" t="s">
        <v>107</v>
      </c>
      <c r="L58" s="2" t="s">
        <v>131</v>
      </c>
    </row>
    <row r="59" spans="1:12" x14ac:dyDescent="0.3">
      <c r="A59" t="s">
        <v>132</v>
      </c>
      <c r="B59">
        <v>7811</v>
      </c>
      <c r="C59">
        <v>1538</v>
      </c>
      <c r="D59">
        <v>12</v>
      </c>
      <c r="E59" t="s">
        <v>45</v>
      </c>
      <c r="F59" t="s">
        <v>60</v>
      </c>
      <c r="G59" t="s">
        <v>65</v>
      </c>
      <c r="H59" s="1">
        <v>44645</v>
      </c>
      <c r="I59" t="s">
        <v>133</v>
      </c>
      <c r="J59" t="s">
        <v>17</v>
      </c>
      <c r="K59" t="s">
        <v>18</v>
      </c>
      <c r="L59" s="2" t="s">
        <v>134</v>
      </c>
    </row>
    <row r="60" spans="1:12" x14ac:dyDescent="0.3">
      <c r="A60" t="s">
        <v>135</v>
      </c>
      <c r="B60">
        <v>6139</v>
      </c>
      <c r="C60">
        <v>451</v>
      </c>
      <c r="D60">
        <v>10</v>
      </c>
      <c r="E60" t="s">
        <v>45</v>
      </c>
      <c r="F60" t="s">
        <v>46</v>
      </c>
      <c r="G60" t="s">
        <v>32</v>
      </c>
      <c r="H60" s="1">
        <v>44618</v>
      </c>
      <c r="I60" t="s">
        <v>136</v>
      </c>
      <c r="J60" t="s">
        <v>17</v>
      </c>
      <c r="K60" t="s">
        <v>34</v>
      </c>
      <c r="L60" s="2" t="s">
        <v>137</v>
      </c>
    </row>
    <row r="61" spans="1:12" x14ac:dyDescent="0.3">
      <c r="A61" t="s">
        <v>135</v>
      </c>
      <c r="B61">
        <v>6139</v>
      </c>
      <c r="C61">
        <v>451</v>
      </c>
      <c r="D61">
        <v>10</v>
      </c>
      <c r="E61" t="s">
        <v>45</v>
      </c>
      <c r="F61" t="s">
        <v>46</v>
      </c>
      <c r="G61" t="s">
        <v>32</v>
      </c>
      <c r="H61" s="1">
        <v>44291</v>
      </c>
      <c r="I61" t="s">
        <v>91</v>
      </c>
      <c r="J61" t="s">
        <v>71</v>
      </c>
      <c r="K61" t="s">
        <v>138</v>
      </c>
      <c r="L61" s="2" t="s">
        <v>139</v>
      </c>
    </row>
    <row r="62" spans="1:12" x14ac:dyDescent="0.3">
      <c r="A62" t="s">
        <v>135</v>
      </c>
      <c r="B62">
        <v>8636</v>
      </c>
      <c r="C62">
        <v>3192</v>
      </c>
      <c r="D62">
        <v>3</v>
      </c>
      <c r="E62" t="s">
        <v>45</v>
      </c>
      <c r="F62" t="s">
        <v>49</v>
      </c>
      <c r="G62" t="s">
        <v>65</v>
      </c>
      <c r="H62" s="1">
        <v>44618</v>
      </c>
      <c r="I62" t="s">
        <v>136</v>
      </c>
      <c r="J62" t="s">
        <v>17</v>
      </c>
      <c r="K62" t="s">
        <v>34</v>
      </c>
      <c r="L62" s="2" t="s">
        <v>137</v>
      </c>
    </row>
    <row r="63" spans="1:12" x14ac:dyDescent="0.3">
      <c r="A63" t="s">
        <v>135</v>
      </c>
      <c r="B63">
        <v>8636</v>
      </c>
      <c r="C63">
        <v>3192</v>
      </c>
      <c r="D63">
        <v>3</v>
      </c>
      <c r="E63" t="s">
        <v>45</v>
      </c>
      <c r="F63" t="s">
        <v>49</v>
      </c>
      <c r="G63" t="s">
        <v>65</v>
      </c>
      <c r="H63" s="1">
        <v>44291</v>
      </c>
      <c r="I63" t="s">
        <v>91</v>
      </c>
      <c r="J63" t="s">
        <v>71</v>
      </c>
      <c r="K63" t="s">
        <v>138</v>
      </c>
      <c r="L63" s="2" t="s">
        <v>139</v>
      </c>
    </row>
    <row r="64" spans="1:12" x14ac:dyDescent="0.3">
      <c r="A64" t="s">
        <v>135</v>
      </c>
      <c r="B64">
        <v>4439</v>
      </c>
      <c r="C64">
        <v>1712</v>
      </c>
      <c r="D64">
        <v>19</v>
      </c>
      <c r="E64" t="s">
        <v>45</v>
      </c>
      <c r="F64" t="s">
        <v>60</v>
      </c>
      <c r="G64" t="s">
        <v>47</v>
      </c>
      <c r="H64" s="1">
        <v>44618</v>
      </c>
      <c r="I64" t="s">
        <v>136</v>
      </c>
      <c r="J64" t="s">
        <v>17</v>
      </c>
      <c r="K64" t="s">
        <v>34</v>
      </c>
      <c r="L64" s="2" t="s">
        <v>137</v>
      </c>
    </row>
    <row r="65" spans="1:12" x14ac:dyDescent="0.3">
      <c r="A65" t="s">
        <v>135</v>
      </c>
      <c r="B65">
        <v>4439</v>
      </c>
      <c r="C65">
        <v>1712</v>
      </c>
      <c r="D65">
        <v>19</v>
      </c>
      <c r="E65" t="s">
        <v>45</v>
      </c>
      <c r="F65" t="s">
        <v>60</v>
      </c>
      <c r="G65" t="s">
        <v>47</v>
      </c>
      <c r="H65" s="1">
        <v>44291</v>
      </c>
      <c r="I65" t="s">
        <v>91</v>
      </c>
      <c r="J65" t="s">
        <v>71</v>
      </c>
      <c r="K65" t="s">
        <v>138</v>
      </c>
      <c r="L65" s="2" t="s">
        <v>139</v>
      </c>
    </row>
    <row r="66" spans="1:12" x14ac:dyDescent="0.3">
      <c r="A66" t="s">
        <v>140</v>
      </c>
      <c r="B66">
        <v>1016</v>
      </c>
      <c r="C66">
        <v>172</v>
      </c>
      <c r="D66">
        <v>20</v>
      </c>
      <c r="E66" t="s">
        <v>45</v>
      </c>
      <c r="F66" t="s">
        <v>46</v>
      </c>
      <c r="G66" t="s">
        <v>32</v>
      </c>
      <c r="H66" s="1">
        <v>44151</v>
      </c>
      <c r="I66" t="s">
        <v>141</v>
      </c>
      <c r="J66" t="s">
        <v>25</v>
      </c>
      <c r="K66" t="s">
        <v>26</v>
      </c>
      <c r="L66" s="2" t="s">
        <v>80</v>
      </c>
    </row>
    <row r="67" spans="1:12" x14ac:dyDescent="0.3">
      <c r="A67" t="s">
        <v>140</v>
      </c>
      <c r="B67">
        <v>5768</v>
      </c>
      <c r="C67">
        <v>2059</v>
      </c>
      <c r="D67">
        <v>14</v>
      </c>
      <c r="E67" t="s">
        <v>45</v>
      </c>
      <c r="F67" t="s">
        <v>46</v>
      </c>
      <c r="G67" t="s">
        <v>15</v>
      </c>
      <c r="H67" s="1">
        <v>44151</v>
      </c>
      <c r="I67" t="s">
        <v>141</v>
      </c>
      <c r="J67" t="s">
        <v>25</v>
      </c>
      <c r="K67" t="s">
        <v>26</v>
      </c>
      <c r="L67" s="2" t="s">
        <v>80</v>
      </c>
    </row>
    <row r="68" spans="1:12" x14ac:dyDescent="0.3">
      <c r="A68" t="s">
        <v>140</v>
      </c>
      <c r="B68">
        <v>1217</v>
      </c>
      <c r="C68">
        <v>151</v>
      </c>
      <c r="D68">
        <v>3</v>
      </c>
      <c r="E68" t="s">
        <v>45</v>
      </c>
      <c r="F68" t="s">
        <v>46</v>
      </c>
      <c r="G68" t="s">
        <v>47</v>
      </c>
      <c r="H68" s="1">
        <v>44151</v>
      </c>
      <c r="I68" t="s">
        <v>141</v>
      </c>
      <c r="J68" t="s">
        <v>25</v>
      </c>
      <c r="K68" t="s">
        <v>26</v>
      </c>
      <c r="L68" s="2" t="s">
        <v>80</v>
      </c>
    </row>
    <row r="69" spans="1:12" x14ac:dyDescent="0.3">
      <c r="A69" t="s">
        <v>142</v>
      </c>
      <c r="B69">
        <v>953</v>
      </c>
      <c r="C69">
        <v>93</v>
      </c>
      <c r="D69">
        <v>2</v>
      </c>
      <c r="E69" t="s">
        <v>30</v>
      </c>
      <c r="F69" t="s">
        <v>64</v>
      </c>
      <c r="G69" t="s">
        <v>32</v>
      </c>
      <c r="H69" s="1">
        <v>45638</v>
      </c>
      <c r="I69" t="s">
        <v>143</v>
      </c>
      <c r="J69" t="s">
        <v>98</v>
      </c>
      <c r="K69" t="s">
        <v>117</v>
      </c>
      <c r="L69" s="2" t="s">
        <v>23</v>
      </c>
    </row>
    <row r="70" spans="1:12" x14ac:dyDescent="0.3">
      <c r="A70" t="s">
        <v>142</v>
      </c>
      <c r="B70">
        <v>953</v>
      </c>
      <c r="C70">
        <v>93</v>
      </c>
      <c r="D70">
        <v>2</v>
      </c>
      <c r="E70" t="s">
        <v>30</v>
      </c>
      <c r="F70" t="s">
        <v>64</v>
      </c>
      <c r="G70" t="s">
        <v>32</v>
      </c>
      <c r="H70" s="1">
        <v>45022</v>
      </c>
      <c r="I70" t="s">
        <v>144</v>
      </c>
      <c r="J70" t="s">
        <v>42</v>
      </c>
      <c r="K70" t="s">
        <v>43</v>
      </c>
      <c r="L70" s="2" t="s">
        <v>145</v>
      </c>
    </row>
    <row r="71" spans="1:12" x14ac:dyDescent="0.3">
      <c r="A71" t="s">
        <v>142</v>
      </c>
      <c r="B71">
        <v>7355</v>
      </c>
      <c r="C71">
        <v>1034</v>
      </c>
      <c r="D71">
        <v>3</v>
      </c>
      <c r="E71" t="s">
        <v>45</v>
      </c>
      <c r="F71" t="s">
        <v>60</v>
      </c>
      <c r="G71" t="s">
        <v>65</v>
      </c>
      <c r="H71" s="1">
        <v>45638</v>
      </c>
      <c r="I71" t="s">
        <v>143</v>
      </c>
      <c r="J71" t="s">
        <v>98</v>
      </c>
      <c r="K71" t="s">
        <v>117</v>
      </c>
      <c r="L71" s="2" t="s">
        <v>23</v>
      </c>
    </row>
    <row r="72" spans="1:12" x14ac:dyDescent="0.3">
      <c r="A72" t="s">
        <v>142</v>
      </c>
      <c r="B72">
        <v>7355</v>
      </c>
      <c r="C72">
        <v>1034</v>
      </c>
      <c r="D72">
        <v>3</v>
      </c>
      <c r="E72" t="s">
        <v>45</v>
      </c>
      <c r="F72" t="s">
        <v>60</v>
      </c>
      <c r="G72" t="s">
        <v>65</v>
      </c>
      <c r="H72" s="1">
        <v>45022</v>
      </c>
      <c r="I72" t="s">
        <v>144</v>
      </c>
      <c r="J72" t="s">
        <v>42</v>
      </c>
      <c r="K72" t="s">
        <v>43</v>
      </c>
      <c r="L72" s="2" t="s">
        <v>145</v>
      </c>
    </row>
    <row r="73" spans="1:12" x14ac:dyDescent="0.3">
      <c r="A73" t="s">
        <v>142</v>
      </c>
      <c r="B73">
        <v>1843</v>
      </c>
      <c r="C73">
        <v>248</v>
      </c>
      <c r="D73">
        <v>3</v>
      </c>
      <c r="E73" t="s">
        <v>13</v>
      </c>
      <c r="F73" t="s">
        <v>82</v>
      </c>
      <c r="G73" t="s">
        <v>47</v>
      </c>
      <c r="H73" s="1">
        <v>45638</v>
      </c>
      <c r="I73" t="s">
        <v>143</v>
      </c>
      <c r="J73" t="s">
        <v>98</v>
      </c>
      <c r="K73" t="s">
        <v>117</v>
      </c>
      <c r="L73" s="2" t="s">
        <v>23</v>
      </c>
    </row>
    <row r="74" spans="1:12" x14ac:dyDescent="0.3">
      <c r="A74" t="s">
        <v>142</v>
      </c>
      <c r="B74">
        <v>1843</v>
      </c>
      <c r="C74">
        <v>248</v>
      </c>
      <c r="D74">
        <v>3</v>
      </c>
      <c r="E74" t="s">
        <v>13</v>
      </c>
      <c r="F74" t="s">
        <v>82</v>
      </c>
      <c r="G74" t="s">
        <v>47</v>
      </c>
      <c r="H74" s="1">
        <v>45022</v>
      </c>
      <c r="I74" t="s">
        <v>144</v>
      </c>
      <c r="J74" t="s">
        <v>42</v>
      </c>
      <c r="K74" t="s">
        <v>43</v>
      </c>
      <c r="L74" s="2" t="s">
        <v>145</v>
      </c>
    </row>
    <row r="75" spans="1:12" x14ac:dyDescent="0.3">
      <c r="A75" t="s">
        <v>142</v>
      </c>
      <c r="B75">
        <v>1603</v>
      </c>
      <c r="C75">
        <v>361</v>
      </c>
      <c r="D75">
        <v>10</v>
      </c>
      <c r="E75" t="s">
        <v>30</v>
      </c>
      <c r="F75" t="s">
        <v>31</v>
      </c>
      <c r="G75" t="s">
        <v>32</v>
      </c>
      <c r="H75" s="1">
        <v>45638</v>
      </c>
      <c r="I75" t="s">
        <v>143</v>
      </c>
      <c r="J75" t="s">
        <v>98</v>
      </c>
      <c r="K75" t="s">
        <v>117</v>
      </c>
      <c r="L75" s="2" t="s">
        <v>23</v>
      </c>
    </row>
    <row r="76" spans="1:12" x14ac:dyDescent="0.3">
      <c r="A76" t="s">
        <v>142</v>
      </c>
      <c r="B76">
        <v>1603</v>
      </c>
      <c r="C76">
        <v>361</v>
      </c>
      <c r="D76">
        <v>10</v>
      </c>
      <c r="E76" t="s">
        <v>30</v>
      </c>
      <c r="F76" t="s">
        <v>31</v>
      </c>
      <c r="G76" t="s">
        <v>32</v>
      </c>
      <c r="H76" s="1">
        <v>45022</v>
      </c>
      <c r="I76" t="s">
        <v>144</v>
      </c>
      <c r="J76" t="s">
        <v>42</v>
      </c>
      <c r="K76" t="s">
        <v>43</v>
      </c>
      <c r="L76" s="2" t="s">
        <v>145</v>
      </c>
    </row>
    <row r="77" spans="1:12" x14ac:dyDescent="0.3">
      <c r="A77" t="s">
        <v>146</v>
      </c>
      <c r="B77">
        <v>2025</v>
      </c>
      <c r="C77">
        <v>528</v>
      </c>
      <c r="D77">
        <v>1</v>
      </c>
      <c r="E77" t="s">
        <v>30</v>
      </c>
      <c r="F77" t="s">
        <v>31</v>
      </c>
      <c r="G77" t="s">
        <v>47</v>
      </c>
      <c r="H77" s="1">
        <v>45319</v>
      </c>
      <c r="I77" t="s">
        <v>147</v>
      </c>
      <c r="J77" t="s">
        <v>17</v>
      </c>
      <c r="K77" t="s">
        <v>18</v>
      </c>
      <c r="L77" s="2" t="s">
        <v>76</v>
      </c>
    </row>
    <row r="78" spans="1:12" x14ac:dyDescent="0.3">
      <c r="A78" t="s">
        <v>146</v>
      </c>
      <c r="B78">
        <v>6800</v>
      </c>
      <c r="C78">
        <v>167</v>
      </c>
      <c r="D78">
        <v>16</v>
      </c>
      <c r="E78" t="s">
        <v>30</v>
      </c>
      <c r="F78" t="s">
        <v>78</v>
      </c>
      <c r="G78" t="s">
        <v>40</v>
      </c>
      <c r="H78" s="1">
        <v>45319</v>
      </c>
      <c r="I78" t="s">
        <v>147</v>
      </c>
      <c r="J78" t="s">
        <v>17</v>
      </c>
      <c r="K78" t="s">
        <v>18</v>
      </c>
      <c r="L78" s="2" t="s">
        <v>76</v>
      </c>
    </row>
    <row r="79" spans="1:12" x14ac:dyDescent="0.3">
      <c r="A79" t="s">
        <v>148</v>
      </c>
      <c r="B79">
        <v>1126</v>
      </c>
      <c r="C79">
        <v>55</v>
      </c>
      <c r="D79">
        <v>1</v>
      </c>
      <c r="E79" t="s">
        <v>45</v>
      </c>
      <c r="F79" t="s">
        <v>109</v>
      </c>
      <c r="G79" t="s">
        <v>15</v>
      </c>
      <c r="H79" s="1">
        <v>44577</v>
      </c>
      <c r="I79" t="s">
        <v>149</v>
      </c>
      <c r="J79" t="s">
        <v>17</v>
      </c>
      <c r="K79" t="s">
        <v>150</v>
      </c>
      <c r="L79" s="2" t="s">
        <v>87</v>
      </c>
    </row>
    <row r="80" spans="1:12" x14ac:dyDescent="0.3">
      <c r="A80" t="s">
        <v>148</v>
      </c>
      <c r="B80">
        <v>1126</v>
      </c>
      <c r="C80">
        <v>55</v>
      </c>
      <c r="D80">
        <v>1</v>
      </c>
      <c r="E80" t="s">
        <v>45</v>
      </c>
      <c r="F80" t="s">
        <v>109</v>
      </c>
      <c r="G80" t="s">
        <v>15</v>
      </c>
      <c r="H80" s="1">
        <v>44911</v>
      </c>
      <c r="I80" t="s">
        <v>151</v>
      </c>
      <c r="J80" t="s">
        <v>25</v>
      </c>
      <c r="K80" t="s">
        <v>26</v>
      </c>
      <c r="L80" s="2" t="s">
        <v>152</v>
      </c>
    </row>
    <row r="81" spans="1:12" x14ac:dyDescent="0.3">
      <c r="A81" t="s">
        <v>153</v>
      </c>
      <c r="B81">
        <v>7533</v>
      </c>
      <c r="C81">
        <v>3508</v>
      </c>
      <c r="D81">
        <v>12</v>
      </c>
      <c r="E81" t="s">
        <v>45</v>
      </c>
      <c r="F81" t="s">
        <v>46</v>
      </c>
      <c r="G81" t="s">
        <v>15</v>
      </c>
      <c r="H81" s="1">
        <v>45120</v>
      </c>
      <c r="I81" t="s">
        <v>154</v>
      </c>
      <c r="J81" t="s">
        <v>42</v>
      </c>
      <c r="K81" t="s">
        <v>75</v>
      </c>
      <c r="L81" s="2" t="s">
        <v>105</v>
      </c>
    </row>
    <row r="82" spans="1:12" x14ac:dyDescent="0.3">
      <c r="A82" t="s">
        <v>153</v>
      </c>
      <c r="B82">
        <v>4734</v>
      </c>
      <c r="C82">
        <v>1178</v>
      </c>
      <c r="D82">
        <v>16</v>
      </c>
      <c r="E82" t="s">
        <v>30</v>
      </c>
      <c r="F82" t="s">
        <v>78</v>
      </c>
      <c r="G82" t="s">
        <v>47</v>
      </c>
      <c r="H82" s="1">
        <v>45120</v>
      </c>
      <c r="I82" t="s">
        <v>154</v>
      </c>
      <c r="J82" t="s">
        <v>42</v>
      </c>
      <c r="K82" t="s">
        <v>75</v>
      </c>
      <c r="L82" s="2" t="s">
        <v>105</v>
      </c>
    </row>
    <row r="83" spans="1:12" x14ac:dyDescent="0.3">
      <c r="A83" t="s">
        <v>153</v>
      </c>
      <c r="B83">
        <v>4074</v>
      </c>
      <c r="C83">
        <v>1175</v>
      </c>
      <c r="D83">
        <v>6</v>
      </c>
      <c r="E83" t="s">
        <v>13</v>
      </c>
      <c r="F83" t="s">
        <v>14</v>
      </c>
      <c r="G83" t="s">
        <v>32</v>
      </c>
      <c r="H83" s="1">
        <v>45120</v>
      </c>
      <c r="I83" t="s">
        <v>154</v>
      </c>
      <c r="J83" t="s">
        <v>42</v>
      </c>
      <c r="K83" t="s">
        <v>75</v>
      </c>
      <c r="L83" s="2" t="s">
        <v>105</v>
      </c>
    </row>
    <row r="84" spans="1:12" x14ac:dyDescent="0.3">
      <c r="A84" t="s">
        <v>153</v>
      </c>
      <c r="B84">
        <v>2334</v>
      </c>
      <c r="C84">
        <v>484</v>
      </c>
      <c r="D84">
        <v>3</v>
      </c>
      <c r="E84" t="s">
        <v>45</v>
      </c>
      <c r="F84" t="s">
        <v>60</v>
      </c>
      <c r="G84" t="s">
        <v>47</v>
      </c>
      <c r="H84" s="1">
        <v>45120</v>
      </c>
      <c r="I84" t="s">
        <v>154</v>
      </c>
      <c r="J84" t="s">
        <v>42</v>
      </c>
      <c r="K84" t="s">
        <v>75</v>
      </c>
      <c r="L84" s="2" t="s">
        <v>105</v>
      </c>
    </row>
    <row r="85" spans="1:12" x14ac:dyDescent="0.3">
      <c r="A85" t="s">
        <v>155</v>
      </c>
      <c r="B85">
        <v>2750</v>
      </c>
      <c r="C85">
        <v>1239</v>
      </c>
      <c r="D85">
        <v>11</v>
      </c>
      <c r="E85" t="s">
        <v>13</v>
      </c>
      <c r="F85" t="s">
        <v>82</v>
      </c>
      <c r="G85" t="s">
        <v>32</v>
      </c>
      <c r="H85" s="1">
        <v>45726</v>
      </c>
      <c r="I85" t="s">
        <v>156</v>
      </c>
      <c r="J85" t="s">
        <v>25</v>
      </c>
      <c r="K85" t="s">
        <v>26</v>
      </c>
      <c r="L85" s="2" t="s">
        <v>157</v>
      </c>
    </row>
    <row r="86" spans="1:12" x14ac:dyDescent="0.3">
      <c r="A86" t="s">
        <v>155</v>
      </c>
      <c r="B86">
        <v>2750</v>
      </c>
      <c r="C86">
        <v>1239</v>
      </c>
      <c r="D86">
        <v>11</v>
      </c>
      <c r="E86" t="s">
        <v>13</v>
      </c>
      <c r="F86" t="s">
        <v>82</v>
      </c>
      <c r="G86" t="s">
        <v>32</v>
      </c>
      <c r="H86" s="1">
        <v>45559</v>
      </c>
      <c r="I86" t="s">
        <v>158</v>
      </c>
      <c r="J86" t="s">
        <v>98</v>
      </c>
      <c r="K86" t="s">
        <v>117</v>
      </c>
      <c r="L86" s="2" t="s">
        <v>159</v>
      </c>
    </row>
    <row r="87" spans="1:12" x14ac:dyDescent="0.3">
      <c r="A87" t="s">
        <v>155</v>
      </c>
      <c r="B87">
        <v>8639</v>
      </c>
      <c r="C87">
        <v>3104</v>
      </c>
      <c r="D87">
        <v>19</v>
      </c>
      <c r="E87" t="s">
        <v>30</v>
      </c>
      <c r="F87" t="s">
        <v>31</v>
      </c>
      <c r="G87" t="s">
        <v>40</v>
      </c>
      <c r="H87" s="1">
        <v>45726</v>
      </c>
      <c r="I87" t="s">
        <v>156</v>
      </c>
      <c r="J87" t="s">
        <v>25</v>
      </c>
      <c r="K87" t="s">
        <v>26</v>
      </c>
      <c r="L87" s="2" t="s">
        <v>157</v>
      </c>
    </row>
    <row r="88" spans="1:12" x14ac:dyDescent="0.3">
      <c r="A88" t="s">
        <v>155</v>
      </c>
      <c r="B88">
        <v>8639</v>
      </c>
      <c r="C88">
        <v>3104</v>
      </c>
      <c r="D88">
        <v>19</v>
      </c>
      <c r="E88" t="s">
        <v>30</v>
      </c>
      <c r="F88" t="s">
        <v>31</v>
      </c>
      <c r="G88" t="s">
        <v>40</v>
      </c>
      <c r="H88" s="1">
        <v>45559</v>
      </c>
      <c r="I88" t="s">
        <v>158</v>
      </c>
      <c r="J88" t="s">
        <v>98</v>
      </c>
      <c r="K88" t="s">
        <v>117</v>
      </c>
      <c r="L88" s="2" t="s">
        <v>159</v>
      </c>
    </row>
    <row r="89" spans="1:12" x14ac:dyDescent="0.3">
      <c r="A89" t="s">
        <v>160</v>
      </c>
      <c r="B89">
        <v>3808</v>
      </c>
      <c r="C89">
        <v>1192</v>
      </c>
      <c r="D89">
        <v>4</v>
      </c>
      <c r="E89" t="s">
        <v>30</v>
      </c>
      <c r="F89" t="s">
        <v>57</v>
      </c>
      <c r="G89" t="s">
        <v>15</v>
      </c>
      <c r="H89" s="1">
        <v>43934</v>
      </c>
      <c r="I89" t="s">
        <v>161</v>
      </c>
      <c r="J89" t="s">
        <v>25</v>
      </c>
      <c r="K89" t="s">
        <v>51</v>
      </c>
      <c r="L89" s="2" t="s">
        <v>162</v>
      </c>
    </row>
    <row r="90" spans="1:12" x14ac:dyDescent="0.3">
      <c r="A90" t="s">
        <v>160</v>
      </c>
      <c r="B90">
        <v>2588</v>
      </c>
      <c r="C90">
        <v>705</v>
      </c>
      <c r="D90">
        <v>16</v>
      </c>
      <c r="E90" t="s">
        <v>30</v>
      </c>
      <c r="F90" t="s">
        <v>31</v>
      </c>
      <c r="G90" t="s">
        <v>47</v>
      </c>
      <c r="H90" s="1">
        <v>43934</v>
      </c>
      <c r="I90" t="s">
        <v>161</v>
      </c>
      <c r="J90" t="s">
        <v>25</v>
      </c>
      <c r="K90" t="s">
        <v>51</v>
      </c>
      <c r="L90" s="2" t="s">
        <v>162</v>
      </c>
    </row>
    <row r="91" spans="1:12" x14ac:dyDescent="0.3">
      <c r="A91" t="s">
        <v>163</v>
      </c>
      <c r="B91">
        <v>1591</v>
      </c>
      <c r="C91">
        <v>727</v>
      </c>
      <c r="D91">
        <v>5</v>
      </c>
      <c r="E91" t="s">
        <v>13</v>
      </c>
      <c r="F91" t="s">
        <v>14</v>
      </c>
      <c r="G91" t="s">
        <v>47</v>
      </c>
      <c r="H91" s="1">
        <v>44739</v>
      </c>
      <c r="I91" t="s">
        <v>164</v>
      </c>
      <c r="J91" t="s">
        <v>21</v>
      </c>
      <c r="K91" t="s">
        <v>63</v>
      </c>
      <c r="L91" s="2" t="s">
        <v>165</v>
      </c>
    </row>
    <row r="92" spans="1:12" x14ac:dyDescent="0.3">
      <c r="A92" t="s">
        <v>163</v>
      </c>
      <c r="B92">
        <v>1591</v>
      </c>
      <c r="C92">
        <v>727</v>
      </c>
      <c r="D92">
        <v>5</v>
      </c>
      <c r="E92" t="s">
        <v>13</v>
      </c>
      <c r="F92" t="s">
        <v>14</v>
      </c>
      <c r="G92" t="s">
        <v>47</v>
      </c>
      <c r="H92" s="1">
        <v>44269</v>
      </c>
      <c r="I92" t="s">
        <v>166</v>
      </c>
      <c r="J92" t="s">
        <v>17</v>
      </c>
      <c r="K92" t="s">
        <v>150</v>
      </c>
      <c r="L92" s="2" t="s">
        <v>167</v>
      </c>
    </row>
    <row r="93" spans="1:12" x14ac:dyDescent="0.3">
      <c r="A93" t="s">
        <v>163</v>
      </c>
      <c r="B93">
        <v>1591</v>
      </c>
      <c r="C93">
        <v>727</v>
      </c>
      <c r="D93">
        <v>5</v>
      </c>
      <c r="E93" t="s">
        <v>13</v>
      </c>
      <c r="F93" t="s">
        <v>14</v>
      </c>
      <c r="G93" t="s">
        <v>47</v>
      </c>
      <c r="H93" s="1">
        <v>44615</v>
      </c>
      <c r="I93" t="s">
        <v>168</v>
      </c>
      <c r="J93" t="s">
        <v>98</v>
      </c>
      <c r="K93" t="s">
        <v>107</v>
      </c>
      <c r="L93" s="2" t="s">
        <v>137</v>
      </c>
    </row>
    <row r="94" spans="1:12" x14ac:dyDescent="0.3">
      <c r="A94" t="s">
        <v>169</v>
      </c>
      <c r="B94">
        <v>1757</v>
      </c>
      <c r="C94">
        <v>622</v>
      </c>
      <c r="D94">
        <v>10</v>
      </c>
      <c r="E94" t="s">
        <v>45</v>
      </c>
      <c r="F94" t="s">
        <v>49</v>
      </c>
      <c r="G94" t="s">
        <v>15</v>
      </c>
      <c r="H94" s="1">
        <v>44649</v>
      </c>
      <c r="I94" t="s">
        <v>170</v>
      </c>
      <c r="J94" t="s">
        <v>98</v>
      </c>
      <c r="K94" t="s">
        <v>117</v>
      </c>
      <c r="L94" s="2" t="s">
        <v>134</v>
      </c>
    </row>
    <row r="95" spans="1:12" x14ac:dyDescent="0.3">
      <c r="A95" t="s">
        <v>169</v>
      </c>
      <c r="B95">
        <v>1757</v>
      </c>
      <c r="C95">
        <v>622</v>
      </c>
      <c r="D95">
        <v>10</v>
      </c>
      <c r="E95" t="s">
        <v>45</v>
      </c>
      <c r="F95" t="s">
        <v>49</v>
      </c>
      <c r="G95" t="s">
        <v>15</v>
      </c>
      <c r="H95" s="1">
        <v>44885</v>
      </c>
      <c r="I95" t="s">
        <v>171</v>
      </c>
      <c r="J95" t="s">
        <v>21</v>
      </c>
      <c r="K95" t="s">
        <v>172</v>
      </c>
      <c r="L95" s="2" t="s">
        <v>44</v>
      </c>
    </row>
    <row r="96" spans="1:12" x14ac:dyDescent="0.3">
      <c r="A96" t="s">
        <v>173</v>
      </c>
      <c r="B96">
        <v>6940</v>
      </c>
      <c r="C96">
        <v>253</v>
      </c>
      <c r="D96">
        <v>15</v>
      </c>
      <c r="E96" t="s">
        <v>45</v>
      </c>
      <c r="F96" t="s">
        <v>109</v>
      </c>
      <c r="G96" t="s">
        <v>32</v>
      </c>
      <c r="H96" s="1">
        <v>44512</v>
      </c>
      <c r="I96" t="s">
        <v>174</v>
      </c>
      <c r="J96" t="s">
        <v>17</v>
      </c>
      <c r="K96" t="s">
        <v>34</v>
      </c>
      <c r="L96" s="2" t="s">
        <v>175</v>
      </c>
    </row>
    <row r="97" spans="1:12" x14ac:dyDescent="0.3">
      <c r="A97" t="s">
        <v>173</v>
      </c>
      <c r="B97">
        <v>5105</v>
      </c>
      <c r="C97">
        <v>465</v>
      </c>
      <c r="D97">
        <v>5</v>
      </c>
      <c r="E97" t="s">
        <v>13</v>
      </c>
      <c r="F97" t="s">
        <v>28</v>
      </c>
      <c r="G97" t="s">
        <v>15</v>
      </c>
      <c r="H97" s="1">
        <v>44512</v>
      </c>
      <c r="I97" t="s">
        <v>174</v>
      </c>
      <c r="J97" t="s">
        <v>17</v>
      </c>
      <c r="K97" t="s">
        <v>34</v>
      </c>
      <c r="L97" s="2" t="s">
        <v>175</v>
      </c>
    </row>
    <row r="98" spans="1:12" x14ac:dyDescent="0.3">
      <c r="A98" t="s">
        <v>176</v>
      </c>
      <c r="B98">
        <v>5578</v>
      </c>
      <c r="C98">
        <v>277</v>
      </c>
      <c r="D98">
        <v>16</v>
      </c>
      <c r="E98" t="s">
        <v>45</v>
      </c>
      <c r="F98" t="s">
        <v>46</v>
      </c>
      <c r="G98" t="s">
        <v>65</v>
      </c>
      <c r="H98" s="1">
        <v>44425</v>
      </c>
      <c r="I98" t="s">
        <v>177</v>
      </c>
      <c r="J98" t="s">
        <v>17</v>
      </c>
      <c r="K98" t="s">
        <v>18</v>
      </c>
      <c r="L98" s="2" t="s">
        <v>178</v>
      </c>
    </row>
    <row r="99" spans="1:12" x14ac:dyDescent="0.3">
      <c r="A99" t="s">
        <v>176</v>
      </c>
      <c r="B99">
        <v>5578</v>
      </c>
      <c r="C99">
        <v>277</v>
      </c>
      <c r="D99">
        <v>16</v>
      </c>
      <c r="E99" t="s">
        <v>45</v>
      </c>
      <c r="F99" t="s">
        <v>46</v>
      </c>
      <c r="G99" t="s">
        <v>65</v>
      </c>
      <c r="H99" s="1">
        <v>44697</v>
      </c>
      <c r="I99" t="s">
        <v>179</v>
      </c>
      <c r="J99" t="s">
        <v>98</v>
      </c>
      <c r="K99" t="s">
        <v>99</v>
      </c>
      <c r="L99" s="2" t="s">
        <v>180</v>
      </c>
    </row>
    <row r="100" spans="1:12" x14ac:dyDescent="0.3">
      <c r="A100" t="s">
        <v>181</v>
      </c>
      <c r="B100">
        <v>5224</v>
      </c>
      <c r="C100">
        <v>1958</v>
      </c>
      <c r="D100">
        <v>16</v>
      </c>
      <c r="E100" t="s">
        <v>45</v>
      </c>
      <c r="F100" t="s">
        <v>49</v>
      </c>
      <c r="G100" t="s">
        <v>47</v>
      </c>
      <c r="H100" s="1">
        <v>45123</v>
      </c>
      <c r="I100" t="s">
        <v>182</v>
      </c>
      <c r="J100" t="s">
        <v>71</v>
      </c>
      <c r="K100" t="s">
        <v>138</v>
      </c>
      <c r="L100" s="2" t="s">
        <v>105</v>
      </c>
    </row>
    <row r="101" spans="1:12" x14ac:dyDescent="0.3">
      <c r="A101" t="s">
        <v>181</v>
      </c>
      <c r="B101">
        <v>5002</v>
      </c>
      <c r="C101">
        <v>1801</v>
      </c>
      <c r="D101">
        <v>11</v>
      </c>
      <c r="E101" t="s">
        <v>30</v>
      </c>
      <c r="F101" t="s">
        <v>57</v>
      </c>
      <c r="G101" t="s">
        <v>47</v>
      </c>
      <c r="H101" s="1">
        <v>45123</v>
      </c>
      <c r="I101" t="s">
        <v>182</v>
      </c>
      <c r="J101" t="s">
        <v>71</v>
      </c>
      <c r="K101" t="s">
        <v>138</v>
      </c>
      <c r="L101" s="2" t="s">
        <v>105</v>
      </c>
    </row>
    <row r="102" spans="1:12" x14ac:dyDescent="0.3">
      <c r="A102" t="s">
        <v>181</v>
      </c>
      <c r="B102">
        <v>7380</v>
      </c>
      <c r="C102">
        <v>1673</v>
      </c>
      <c r="D102">
        <v>18</v>
      </c>
      <c r="E102" t="s">
        <v>30</v>
      </c>
      <c r="F102" t="s">
        <v>57</v>
      </c>
      <c r="G102" t="s">
        <v>65</v>
      </c>
      <c r="H102" s="1">
        <v>45123</v>
      </c>
      <c r="I102" t="s">
        <v>182</v>
      </c>
      <c r="J102" t="s">
        <v>71</v>
      </c>
      <c r="K102" t="s">
        <v>138</v>
      </c>
      <c r="L102" s="2" t="s">
        <v>105</v>
      </c>
    </row>
    <row r="103" spans="1:12" x14ac:dyDescent="0.3">
      <c r="A103" t="s">
        <v>183</v>
      </c>
      <c r="B103">
        <v>7595</v>
      </c>
      <c r="C103">
        <v>2873</v>
      </c>
      <c r="D103">
        <v>4</v>
      </c>
      <c r="E103" t="s">
        <v>45</v>
      </c>
      <c r="F103" t="s">
        <v>49</v>
      </c>
      <c r="G103" t="s">
        <v>32</v>
      </c>
      <c r="H103" s="1">
        <v>44061</v>
      </c>
      <c r="I103" t="s">
        <v>184</v>
      </c>
      <c r="J103" t="s">
        <v>42</v>
      </c>
      <c r="K103" t="s">
        <v>43</v>
      </c>
      <c r="L103" s="2" t="s">
        <v>185</v>
      </c>
    </row>
    <row r="104" spans="1:12" x14ac:dyDescent="0.3">
      <c r="A104" t="s">
        <v>183</v>
      </c>
      <c r="B104">
        <v>7595</v>
      </c>
      <c r="C104">
        <v>2873</v>
      </c>
      <c r="D104">
        <v>4</v>
      </c>
      <c r="E104" t="s">
        <v>45</v>
      </c>
      <c r="F104" t="s">
        <v>49</v>
      </c>
      <c r="G104" t="s">
        <v>32</v>
      </c>
      <c r="H104" s="1">
        <v>44670</v>
      </c>
      <c r="I104" t="s">
        <v>186</v>
      </c>
      <c r="J104" t="s">
        <v>25</v>
      </c>
      <c r="K104" t="s">
        <v>68</v>
      </c>
      <c r="L104" s="2" t="s">
        <v>187</v>
      </c>
    </row>
    <row r="105" spans="1:12" x14ac:dyDescent="0.3">
      <c r="A105" t="s">
        <v>188</v>
      </c>
      <c r="B105">
        <v>1954</v>
      </c>
      <c r="C105">
        <v>294</v>
      </c>
      <c r="D105">
        <v>7</v>
      </c>
      <c r="E105" t="s">
        <v>45</v>
      </c>
      <c r="F105" t="s">
        <v>60</v>
      </c>
      <c r="G105" t="s">
        <v>32</v>
      </c>
      <c r="H105" s="1">
        <v>44918</v>
      </c>
      <c r="I105" t="s">
        <v>189</v>
      </c>
      <c r="J105" t="s">
        <v>71</v>
      </c>
      <c r="K105" t="s">
        <v>86</v>
      </c>
      <c r="L105" s="2" t="s">
        <v>152</v>
      </c>
    </row>
    <row r="106" spans="1:12" x14ac:dyDescent="0.3">
      <c r="A106" t="s">
        <v>190</v>
      </c>
      <c r="B106">
        <v>523</v>
      </c>
      <c r="C106">
        <v>95</v>
      </c>
      <c r="D106">
        <v>20</v>
      </c>
      <c r="E106" t="s">
        <v>13</v>
      </c>
      <c r="F106" t="s">
        <v>28</v>
      </c>
      <c r="G106" t="s">
        <v>40</v>
      </c>
      <c r="H106" s="1">
        <v>45633</v>
      </c>
      <c r="I106" t="s">
        <v>191</v>
      </c>
      <c r="J106" t="s">
        <v>71</v>
      </c>
      <c r="K106" t="s">
        <v>72</v>
      </c>
      <c r="L106" s="2" t="s">
        <v>23</v>
      </c>
    </row>
    <row r="107" spans="1:12" x14ac:dyDescent="0.3">
      <c r="A107" t="s">
        <v>192</v>
      </c>
      <c r="B107">
        <v>5704</v>
      </c>
      <c r="C107">
        <v>714</v>
      </c>
      <c r="D107">
        <v>13</v>
      </c>
      <c r="E107" t="s">
        <v>13</v>
      </c>
      <c r="F107" t="s">
        <v>39</v>
      </c>
      <c r="G107" t="s">
        <v>40</v>
      </c>
      <c r="H107" s="1">
        <v>44595</v>
      </c>
      <c r="I107" t="s">
        <v>193</v>
      </c>
      <c r="J107" t="s">
        <v>71</v>
      </c>
      <c r="K107" t="s">
        <v>86</v>
      </c>
      <c r="L107" s="2" t="s">
        <v>137</v>
      </c>
    </row>
    <row r="108" spans="1:12" x14ac:dyDescent="0.3">
      <c r="A108" t="s">
        <v>192</v>
      </c>
      <c r="B108">
        <v>5704</v>
      </c>
      <c r="C108">
        <v>714</v>
      </c>
      <c r="D108">
        <v>13</v>
      </c>
      <c r="E108" t="s">
        <v>13</v>
      </c>
      <c r="F108" t="s">
        <v>39</v>
      </c>
      <c r="G108" t="s">
        <v>40</v>
      </c>
      <c r="H108" s="1">
        <v>44542</v>
      </c>
      <c r="I108" t="s">
        <v>194</v>
      </c>
      <c r="J108" t="s">
        <v>42</v>
      </c>
      <c r="K108" t="s">
        <v>75</v>
      </c>
      <c r="L108" s="2" t="s">
        <v>90</v>
      </c>
    </row>
    <row r="109" spans="1:12" x14ac:dyDescent="0.3">
      <c r="A109" t="s">
        <v>192</v>
      </c>
      <c r="B109">
        <v>8797</v>
      </c>
      <c r="C109">
        <v>1010</v>
      </c>
      <c r="D109">
        <v>8</v>
      </c>
      <c r="E109" t="s">
        <v>45</v>
      </c>
      <c r="F109" t="s">
        <v>46</v>
      </c>
      <c r="G109" t="s">
        <v>15</v>
      </c>
      <c r="H109" s="1">
        <v>44595</v>
      </c>
      <c r="I109" t="s">
        <v>193</v>
      </c>
      <c r="J109" t="s">
        <v>71</v>
      </c>
      <c r="K109" t="s">
        <v>86</v>
      </c>
      <c r="L109" s="2" t="s">
        <v>137</v>
      </c>
    </row>
    <row r="110" spans="1:12" x14ac:dyDescent="0.3">
      <c r="A110" t="s">
        <v>192</v>
      </c>
      <c r="B110">
        <v>8797</v>
      </c>
      <c r="C110">
        <v>1010</v>
      </c>
      <c r="D110">
        <v>8</v>
      </c>
      <c r="E110" t="s">
        <v>45</v>
      </c>
      <c r="F110" t="s">
        <v>46</v>
      </c>
      <c r="G110" t="s">
        <v>15</v>
      </c>
      <c r="H110" s="1">
        <v>44542</v>
      </c>
      <c r="I110" t="s">
        <v>194</v>
      </c>
      <c r="J110" t="s">
        <v>42</v>
      </c>
      <c r="K110" t="s">
        <v>75</v>
      </c>
      <c r="L110" s="2" t="s">
        <v>90</v>
      </c>
    </row>
    <row r="111" spans="1:12" x14ac:dyDescent="0.3">
      <c r="A111" t="s">
        <v>192</v>
      </c>
      <c r="B111">
        <v>9236</v>
      </c>
      <c r="C111">
        <v>2899</v>
      </c>
      <c r="D111">
        <v>5</v>
      </c>
      <c r="E111" t="s">
        <v>13</v>
      </c>
      <c r="F111" t="s">
        <v>39</v>
      </c>
      <c r="G111" t="s">
        <v>32</v>
      </c>
      <c r="H111" s="1">
        <v>44595</v>
      </c>
      <c r="I111" t="s">
        <v>193</v>
      </c>
      <c r="J111" t="s">
        <v>71</v>
      </c>
      <c r="K111" t="s">
        <v>86</v>
      </c>
      <c r="L111" s="2" t="s">
        <v>137</v>
      </c>
    </row>
    <row r="112" spans="1:12" x14ac:dyDescent="0.3">
      <c r="A112" t="s">
        <v>192</v>
      </c>
      <c r="B112">
        <v>9236</v>
      </c>
      <c r="C112">
        <v>2899</v>
      </c>
      <c r="D112">
        <v>5</v>
      </c>
      <c r="E112" t="s">
        <v>13</v>
      </c>
      <c r="F112" t="s">
        <v>39</v>
      </c>
      <c r="G112" t="s">
        <v>32</v>
      </c>
      <c r="H112" s="1">
        <v>44542</v>
      </c>
      <c r="I112" t="s">
        <v>194</v>
      </c>
      <c r="J112" t="s">
        <v>42</v>
      </c>
      <c r="K112" t="s">
        <v>75</v>
      </c>
      <c r="L112" s="2" t="s">
        <v>90</v>
      </c>
    </row>
    <row r="113" spans="1:12" x14ac:dyDescent="0.3">
      <c r="A113" t="s">
        <v>195</v>
      </c>
      <c r="B113">
        <v>9109</v>
      </c>
      <c r="C113">
        <v>586</v>
      </c>
      <c r="D113">
        <v>17</v>
      </c>
      <c r="E113" t="s">
        <v>45</v>
      </c>
      <c r="F113" t="s">
        <v>60</v>
      </c>
      <c r="G113" t="s">
        <v>40</v>
      </c>
      <c r="H113" s="1">
        <v>43968</v>
      </c>
      <c r="I113" t="s">
        <v>196</v>
      </c>
      <c r="J113" t="s">
        <v>17</v>
      </c>
      <c r="K113" t="s">
        <v>18</v>
      </c>
      <c r="L113" s="2" t="s">
        <v>59</v>
      </c>
    </row>
    <row r="114" spans="1:12" x14ac:dyDescent="0.3">
      <c r="A114" t="s">
        <v>197</v>
      </c>
      <c r="B114">
        <v>4358</v>
      </c>
      <c r="C114">
        <v>526</v>
      </c>
      <c r="D114">
        <v>19</v>
      </c>
      <c r="E114" t="s">
        <v>13</v>
      </c>
      <c r="F114" t="s">
        <v>82</v>
      </c>
      <c r="G114" t="s">
        <v>47</v>
      </c>
      <c r="H114" s="1">
        <v>44900</v>
      </c>
      <c r="I114" t="s">
        <v>198</v>
      </c>
      <c r="J114" t="s">
        <v>71</v>
      </c>
      <c r="K114" t="s">
        <v>72</v>
      </c>
      <c r="L114" s="2" t="s">
        <v>152</v>
      </c>
    </row>
    <row r="115" spans="1:12" x14ac:dyDescent="0.3">
      <c r="A115" t="s">
        <v>197</v>
      </c>
      <c r="B115">
        <v>4358</v>
      </c>
      <c r="C115">
        <v>526</v>
      </c>
      <c r="D115">
        <v>19</v>
      </c>
      <c r="E115" t="s">
        <v>13</v>
      </c>
      <c r="F115" t="s">
        <v>82</v>
      </c>
      <c r="G115" t="s">
        <v>47</v>
      </c>
      <c r="H115" s="1">
        <v>45552</v>
      </c>
      <c r="I115" t="s">
        <v>199</v>
      </c>
      <c r="J115" t="s">
        <v>42</v>
      </c>
      <c r="K115" t="s">
        <v>92</v>
      </c>
      <c r="L115" s="2" t="s">
        <v>159</v>
      </c>
    </row>
    <row r="116" spans="1:12" x14ac:dyDescent="0.3">
      <c r="A116" t="s">
        <v>197</v>
      </c>
      <c r="B116">
        <v>6459</v>
      </c>
      <c r="C116">
        <v>825</v>
      </c>
      <c r="D116">
        <v>8</v>
      </c>
      <c r="E116" t="s">
        <v>13</v>
      </c>
      <c r="F116" t="s">
        <v>82</v>
      </c>
      <c r="G116" t="s">
        <v>47</v>
      </c>
      <c r="H116" s="1">
        <v>44900</v>
      </c>
      <c r="I116" t="s">
        <v>198</v>
      </c>
      <c r="J116" t="s">
        <v>71</v>
      </c>
      <c r="K116" t="s">
        <v>72</v>
      </c>
      <c r="L116" s="2" t="s">
        <v>152</v>
      </c>
    </row>
    <row r="117" spans="1:12" x14ac:dyDescent="0.3">
      <c r="A117" t="s">
        <v>197</v>
      </c>
      <c r="B117">
        <v>6459</v>
      </c>
      <c r="C117">
        <v>825</v>
      </c>
      <c r="D117">
        <v>8</v>
      </c>
      <c r="E117" t="s">
        <v>13</v>
      </c>
      <c r="F117" t="s">
        <v>82</v>
      </c>
      <c r="G117" t="s">
        <v>47</v>
      </c>
      <c r="H117" s="1">
        <v>45552</v>
      </c>
      <c r="I117" t="s">
        <v>199</v>
      </c>
      <c r="J117" t="s">
        <v>42</v>
      </c>
      <c r="K117" t="s">
        <v>92</v>
      </c>
      <c r="L117" s="2" t="s">
        <v>159</v>
      </c>
    </row>
    <row r="118" spans="1:12" x14ac:dyDescent="0.3">
      <c r="A118" t="s">
        <v>200</v>
      </c>
      <c r="B118">
        <v>2478</v>
      </c>
      <c r="C118">
        <v>92</v>
      </c>
      <c r="D118">
        <v>12</v>
      </c>
      <c r="E118" t="s">
        <v>45</v>
      </c>
      <c r="F118" t="s">
        <v>109</v>
      </c>
      <c r="G118" t="s">
        <v>65</v>
      </c>
      <c r="H118" s="1">
        <v>45054</v>
      </c>
      <c r="I118" t="s">
        <v>201</v>
      </c>
      <c r="J118" t="s">
        <v>42</v>
      </c>
      <c r="K118" t="s">
        <v>92</v>
      </c>
      <c r="L118" s="2" t="s">
        <v>127</v>
      </c>
    </row>
    <row r="119" spans="1:12" x14ac:dyDescent="0.3">
      <c r="A119" t="s">
        <v>200</v>
      </c>
      <c r="B119">
        <v>2478</v>
      </c>
      <c r="C119">
        <v>92</v>
      </c>
      <c r="D119">
        <v>12</v>
      </c>
      <c r="E119" t="s">
        <v>45</v>
      </c>
      <c r="F119" t="s">
        <v>109</v>
      </c>
      <c r="G119" t="s">
        <v>65</v>
      </c>
      <c r="H119" s="1">
        <v>44258</v>
      </c>
      <c r="I119" t="s">
        <v>202</v>
      </c>
      <c r="J119" t="s">
        <v>25</v>
      </c>
      <c r="K119" t="s">
        <v>51</v>
      </c>
      <c r="L119" s="2" t="s">
        <v>167</v>
      </c>
    </row>
    <row r="120" spans="1:12" x14ac:dyDescent="0.3">
      <c r="A120" t="s">
        <v>200</v>
      </c>
      <c r="B120">
        <v>2478</v>
      </c>
      <c r="C120">
        <v>92</v>
      </c>
      <c r="D120">
        <v>12</v>
      </c>
      <c r="E120" t="s">
        <v>45</v>
      </c>
      <c r="F120" t="s">
        <v>109</v>
      </c>
      <c r="G120" t="s">
        <v>65</v>
      </c>
      <c r="H120" s="1">
        <v>44273</v>
      </c>
      <c r="I120" t="s">
        <v>203</v>
      </c>
      <c r="J120" t="s">
        <v>42</v>
      </c>
      <c r="K120" t="s">
        <v>92</v>
      </c>
      <c r="L120" s="2" t="s">
        <v>167</v>
      </c>
    </row>
    <row r="121" spans="1:12" x14ac:dyDescent="0.3">
      <c r="A121" t="s">
        <v>200</v>
      </c>
      <c r="B121">
        <v>2478</v>
      </c>
      <c r="C121">
        <v>92</v>
      </c>
      <c r="D121">
        <v>12</v>
      </c>
      <c r="E121" t="s">
        <v>45</v>
      </c>
      <c r="F121" t="s">
        <v>109</v>
      </c>
      <c r="G121" t="s">
        <v>65</v>
      </c>
      <c r="H121" s="1">
        <v>45040</v>
      </c>
      <c r="I121" t="s">
        <v>204</v>
      </c>
      <c r="J121" t="s">
        <v>98</v>
      </c>
      <c r="K121" t="s">
        <v>117</v>
      </c>
      <c r="L121" s="2" t="s">
        <v>145</v>
      </c>
    </row>
    <row r="122" spans="1:12" x14ac:dyDescent="0.3">
      <c r="A122" t="s">
        <v>205</v>
      </c>
      <c r="B122">
        <v>9992</v>
      </c>
      <c r="C122">
        <v>3696</v>
      </c>
      <c r="D122">
        <v>20</v>
      </c>
      <c r="E122" t="s">
        <v>30</v>
      </c>
      <c r="F122" t="s">
        <v>31</v>
      </c>
      <c r="G122" t="s">
        <v>32</v>
      </c>
      <c r="H122" s="1">
        <v>44478</v>
      </c>
      <c r="I122" t="s">
        <v>206</v>
      </c>
      <c r="J122" t="s">
        <v>25</v>
      </c>
      <c r="K122" t="s">
        <v>68</v>
      </c>
      <c r="L122" s="2" t="s">
        <v>37</v>
      </c>
    </row>
    <row r="123" spans="1:12" x14ac:dyDescent="0.3">
      <c r="A123" t="s">
        <v>205</v>
      </c>
      <c r="B123">
        <v>9992</v>
      </c>
      <c r="C123">
        <v>3696</v>
      </c>
      <c r="D123">
        <v>20</v>
      </c>
      <c r="E123" t="s">
        <v>30</v>
      </c>
      <c r="F123" t="s">
        <v>31</v>
      </c>
      <c r="G123" t="s">
        <v>32</v>
      </c>
      <c r="H123" s="1">
        <v>44666</v>
      </c>
      <c r="I123" t="s">
        <v>207</v>
      </c>
      <c r="J123" t="s">
        <v>71</v>
      </c>
      <c r="K123" t="s">
        <v>86</v>
      </c>
      <c r="L123" s="2" t="s">
        <v>187</v>
      </c>
    </row>
    <row r="124" spans="1:12" x14ac:dyDescent="0.3">
      <c r="A124" t="s">
        <v>205</v>
      </c>
      <c r="B124">
        <v>9992</v>
      </c>
      <c r="C124">
        <v>3696</v>
      </c>
      <c r="D124">
        <v>20</v>
      </c>
      <c r="E124" t="s">
        <v>30</v>
      </c>
      <c r="F124" t="s">
        <v>31</v>
      </c>
      <c r="G124" t="s">
        <v>32</v>
      </c>
      <c r="H124" s="1">
        <v>44802</v>
      </c>
      <c r="I124" t="s">
        <v>208</v>
      </c>
      <c r="J124" t="s">
        <v>25</v>
      </c>
      <c r="K124" t="s">
        <v>68</v>
      </c>
      <c r="L124" s="2" t="s">
        <v>209</v>
      </c>
    </row>
    <row r="125" spans="1:12" x14ac:dyDescent="0.3">
      <c r="A125" t="s">
        <v>205</v>
      </c>
      <c r="B125">
        <v>9619</v>
      </c>
      <c r="C125">
        <v>3420</v>
      </c>
      <c r="D125">
        <v>7</v>
      </c>
      <c r="E125" t="s">
        <v>30</v>
      </c>
      <c r="F125" t="s">
        <v>78</v>
      </c>
      <c r="G125" t="s">
        <v>15</v>
      </c>
      <c r="H125" s="1">
        <v>44478</v>
      </c>
      <c r="I125" t="s">
        <v>206</v>
      </c>
      <c r="J125" t="s">
        <v>25</v>
      </c>
      <c r="K125" t="s">
        <v>68</v>
      </c>
      <c r="L125" s="2" t="s">
        <v>37</v>
      </c>
    </row>
    <row r="126" spans="1:12" x14ac:dyDescent="0.3">
      <c r="A126" t="s">
        <v>205</v>
      </c>
      <c r="B126">
        <v>9619</v>
      </c>
      <c r="C126">
        <v>3420</v>
      </c>
      <c r="D126">
        <v>7</v>
      </c>
      <c r="E126" t="s">
        <v>30</v>
      </c>
      <c r="F126" t="s">
        <v>78</v>
      </c>
      <c r="G126" t="s">
        <v>15</v>
      </c>
      <c r="H126" s="1">
        <v>44666</v>
      </c>
      <c r="I126" t="s">
        <v>207</v>
      </c>
      <c r="J126" t="s">
        <v>71</v>
      </c>
      <c r="K126" t="s">
        <v>86</v>
      </c>
      <c r="L126" s="2" t="s">
        <v>187</v>
      </c>
    </row>
    <row r="127" spans="1:12" x14ac:dyDescent="0.3">
      <c r="A127" t="s">
        <v>205</v>
      </c>
      <c r="B127">
        <v>9619</v>
      </c>
      <c r="C127">
        <v>3420</v>
      </c>
      <c r="D127">
        <v>7</v>
      </c>
      <c r="E127" t="s">
        <v>30</v>
      </c>
      <c r="F127" t="s">
        <v>78</v>
      </c>
      <c r="G127" t="s">
        <v>15</v>
      </c>
      <c r="H127" s="1">
        <v>44802</v>
      </c>
      <c r="I127" t="s">
        <v>208</v>
      </c>
      <c r="J127" t="s">
        <v>25</v>
      </c>
      <c r="K127" t="s">
        <v>68</v>
      </c>
      <c r="L127" s="2" t="s">
        <v>209</v>
      </c>
    </row>
    <row r="128" spans="1:12" x14ac:dyDescent="0.3">
      <c r="A128" t="s">
        <v>210</v>
      </c>
      <c r="B128">
        <v>9538</v>
      </c>
      <c r="C128">
        <v>3158</v>
      </c>
      <c r="D128">
        <v>20</v>
      </c>
      <c r="E128" t="s">
        <v>13</v>
      </c>
      <c r="F128" t="s">
        <v>28</v>
      </c>
      <c r="G128" t="s">
        <v>47</v>
      </c>
      <c r="H128" s="1">
        <v>45539</v>
      </c>
      <c r="I128" t="s">
        <v>211</v>
      </c>
      <c r="J128" t="s">
        <v>42</v>
      </c>
      <c r="K128" t="s">
        <v>92</v>
      </c>
      <c r="L128" s="2" t="s">
        <v>159</v>
      </c>
    </row>
    <row r="129" spans="1:12" x14ac:dyDescent="0.3">
      <c r="A129" t="s">
        <v>210</v>
      </c>
      <c r="B129">
        <v>9538</v>
      </c>
      <c r="C129">
        <v>3158</v>
      </c>
      <c r="D129">
        <v>20</v>
      </c>
      <c r="E129" t="s">
        <v>13</v>
      </c>
      <c r="F129" t="s">
        <v>28</v>
      </c>
      <c r="G129" t="s">
        <v>47</v>
      </c>
      <c r="H129" s="1">
        <v>44334</v>
      </c>
      <c r="I129" t="s">
        <v>212</v>
      </c>
      <c r="J129" t="s">
        <v>98</v>
      </c>
      <c r="K129" t="s">
        <v>117</v>
      </c>
      <c r="L129" s="2" t="s">
        <v>108</v>
      </c>
    </row>
    <row r="130" spans="1:12" x14ac:dyDescent="0.3">
      <c r="A130" t="s">
        <v>210</v>
      </c>
      <c r="B130">
        <v>9035</v>
      </c>
      <c r="C130">
        <v>1227</v>
      </c>
      <c r="D130">
        <v>14</v>
      </c>
      <c r="E130" t="s">
        <v>45</v>
      </c>
      <c r="F130" t="s">
        <v>49</v>
      </c>
      <c r="G130" t="s">
        <v>40</v>
      </c>
      <c r="H130" s="1">
        <v>45539</v>
      </c>
      <c r="I130" t="s">
        <v>211</v>
      </c>
      <c r="J130" t="s">
        <v>42</v>
      </c>
      <c r="K130" t="s">
        <v>92</v>
      </c>
      <c r="L130" s="2" t="s">
        <v>159</v>
      </c>
    </row>
    <row r="131" spans="1:12" x14ac:dyDescent="0.3">
      <c r="A131" t="s">
        <v>210</v>
      </c>
      <c r="B131">
        <v>9035</v>
      </c>
      <c r="C131">
        <v>1227</v>
      </c>
      <c r="D131">
        <v>14</v>
      </c>
      <c r="E131" t="s">
        <v>45</v>
      </c>
      <c r="F131" t="s">
        <v>49</v>
      </c>
      <c r="G131" t="s">
        <v>40</v>
      </c>
      <c r="H131" s="1">
        <v>44334</v>
      </c>
      <c r="I131" t="s">
        <v>212</v>
      </c>
      <c r="J131" t="s">
        <v>98</v>
      </c>
      <c r="K131" t="s">
        <v>117</v>
      </c>
      <c r="L131" s="2" t="s">
        <v>108</v>
      </c>
    </row>
    <row r="132" spans="1:12" x14ac:dyDescent="0.3">
      <c r="A132" t="s">
        <v>213</v>
      </c>
      <c r="B132">
        <v>2684</v>
      </c>
      <c r="C132">
        <v>670</v>
      </c>
      <c r="D132">
        <v>2</v>
      </c>
      <c r="E132" t="s">
        <v>30</v>
      </c>
      <c r="F132" t="s">
        <v>64</v>
      </c>
      <c r="G132" t="s">
        <v>65</v>
      </c>
      <c r="H132" s="1">
        <v>45475</v>
      </c>
      <c r="I132" t="s">
        <v>214</v>
      </c>
      <c r="J132" t="s">
        <v>17</v>
      </c>
      <c r="K132" t="s">
        <v>150</v>
      </c>
      <c r="L132" s="2" t="s">
        <v>215</v>
      </c>
    </row>
    <row r="133" spans="1:12" x14ac:dyDescent="0.3">
      <c r="A133" t="s">
        <v>213</v>
      </c>
      <c r="B133">
        <v>822</v>
      </c>
      <c r="C133">
        <v>147</v>
      </c>
      <c r="D133">
        <v>5</v>
      </c>
      <c r="E133" t="s">
        <v>45</v>
      </c>
      <c r="F133" t="s">
        <v>60</v>
      </c>
      <c r="G133" t="s">
        <v>47</v>
      </c>
      <c r="H133" s="1">
        <v>45475</v>
      </c>
      <c r="I133" t="s">
        <v>214</v>
      </c>
      <c r="J133" t="s">
        <v>17</v>
      </c>
      <c r="K133" t="s">
        <v>150</v>
      </c>
      <c r="L133" s="2" t="s">
        <v>215</v>
      </c>
    </row>
    <row r="134" spans="1:12" x14ac:dyDescent="0.3">
      <c r="A134" t="s">
        <v>213</v>
      </c>
      <c r="B134">
        <v>9730</v>
      </c>
      <c r="C134">
        <v>2341</v>
      </c>
      <c r="D134">
        <v>2</v>
      </c>
      <c r="E134" t="s">
        <v>45</v>
      </c>
      <c r="F134" t="s">
        <v>49</v>
      </c>
      <c r="G134" t="s">
        <v>40</v>
      </c>
      <c r="H134" s="1">
        <v>45475</v>
      </c>
      <c r="I134" t="s">
        <v>214</v>
      </c>
      <c r="J134" t="s">
        <v>17</v>
      </c>
      <c r="K134" t="s">
        <v>150</v>
      </c>
      <c r="L134" s="2" t="s">
        <v>215</v>
      </c>
    </row>
    <row r="135" spans="1:12" x14ac:dyDescent="0.3">
      <c r="A135" t="s">
        <v>213</v>
      </c>
      <c r="B135">
        <v>2483</v>
      </c>
      <c r="C135">
        <v>236</v>
      </c>
      <c r="D135">
        <v>2</v>
      </c>
      <c r="E135" t="s">
        <v>13</v>
      </c>
      <c r="F135" t="s">
        <v>14</v>
      </c>
      <c r="G135" t="s">
        <v>65</v>
      </c>
      <c r="H135" s="1">
        <v>45475</v>
      </c>
      <c r="I135" t="s">
        <v>214</v>
      </c>
      <c r="J135" t="s">
        <v>17</v>
      </c>
      <c r="K135" t="s">
        <v>150</v>
      </c>
      <c r="L135" s="2" t="s">
        <v>215</v>
      </c>
    </row>
    <row r="136" spans="1:12" x14ac:dyDescent="0.3">
      <c r="A136" t="s">
        <v>216</v>
      </c>
      <c r="B136">
        <v>1297</v>
      </c>
      <c r="C136">
        <v>600</v>
      </c>
      <c r="D136">
        <v>7</v>
      </c>
      <c r="E136" t="s">
        <v>30</v>
      </c>
      <c r="F136" t="s">
        <v>78</v>
      </c>
      <c r="G136" t="s">
        <v>47</v>
      </c>
      <c r="H136" s="1">
        <v>45338</v>
      </c>
      <c r="I136" t="s">
        <v>217</v>
      </c>
      <c r="J136" t="s">
        <v>17</v>
      </c>
      <c r="K136" t="s">
        <v>34</v>
      </c>
      <c r="L136" s="2" t="s">
        <v>218</v>
      </c>
    </row>
    <row r="137" spans="1:12" x14ac:dyDescent="0.3">
      <c r="A137" t="s">
        <v>216</v>
      </c>
      <c r="B137">
        <v>7909</v>
      </c>
      <c r="C137">
        <v>1942</v>
      </c>
      <c r="D137">
        <v>19</v>
      </c>
      <c r="E137" t="s">
        <v>13</v>
      </c>
      <c r="F137" t="s">
        <v>82</v>
      </c>
      <c r="G137" t="s">
        <v>65</v>
      </c>
      <c r="H137" s="1">
        <v>45338</v>
      </c>
      <c r="I137" t="s">
        <v>217</v>
      </c>
      <c r="J137" t="s">
        <v>17</v>
      </c>
      <c r="K137" t="s">
        <v>34</v>
      </c>
      <c r="L137" s="2" t="s">
        <v>218</v>
      </c>
    </row>
    <row r="138" spans="1:12" x14ac:dyDescent="0.3">
      <c r="A138" t="s">
        <v>219</v>
      </c>
      <c r="B138">
        <v>9768</v>
      </c>
      <c r="C138">
        <v>4518</v>
      </c>
      <c r="D138">
        <v>8</v>
      </c>
      <c r="E138" t="s">
        <v>45</v>
      </c>
      <c r="F138" t="s">
        <v>46</v>
      </c>
      <c r="G138" t="s">
        <v>47</v>
      </c>
      <c r="H138" s="1">
        <v>44526</v>
      </c>
      <c r="I138" t="s">
        <v>220</v>
      </c>
      <c r="J138" t="s">
        <v>71</v>
      </c>
      <c r="K138" t="s">
        <v>72</v>
      </c>
      <c r="L138" s="2" t="s">
        <v>175</v>
      </c>
    </row>
    <row r="139" spans="1:12" x14ac:dyDescent="0.3">
      <c r="A139" t="s">
        <v>219</v>
      </c>
      <c r="B139">
        <v>4968</v>
      </c>
      <c r="C139">
        <v>934</v>
      </c>
      <c r="D139">
        <v>5</v>
      </c>
      <c r="E139" t="s">
        <v>45</v>
      </c>
      <c r="F139" t="s">
        <v>60</v>
      </c>
      <c r="G139" t="s">
        <v>32</v>
      </c>
      <c r="H139" s="1">
        <v>44526</v>
      </c>
      <c r="I139" t="s">
        <v>220</v>
      </c>
      <c r="J139" t="s">
        <v>71</v>
      </c>
      <c r="K139" t="s">
        <v>72</v>
      </c>
      <c r="L139" s="2" t="s">
        <v>175</v>
      </c>
    </row>
    <row r="140" spans="1:12" x14ac:dyDescent="0.3">
      <c r="A140" t="s">
        <v>219</v>
      </c>
      <c r="B140">
        <v>1731</v>
      </c>
      <c r="C140">
        <v>149</v>
      </c>
      <c r="D140">
        <v>4</v>
      </c>
      <c r="E140" t="s">
        <v>13</v>
      </c>
      <c r="F140" t="s">
        <v>39</v>
      </c>
      <c r="G140" t="s">
        <v>40</v>
      </c>
      <c r="H140" s="1">
        <v>44526</v>
      </c>
      <c r="I140" t="s">
        <v>220</v>
      </c>
      <c r="J140" t="s">
        <v>71</v>
      </c>
      <c r="K140" t="s">
        <v>72</v>
      </c>
      <c r="L140" s="2" t="s">
        <v>175</v>
      </c>
    </row>
    <row r="141" spans="1:12" x14ac:dyDescent="0.3">
      <c r="A141" t="s">
        <v>221</v>
      </c>
      <c r="B141">
        <v>3433</v>
      </c>
      <c r="C141">
        <v>1169</v>
      </c>
      <c r="D141">
        <v>10</v>
      </c>
      <c r="E141" t="s">
        <v>30</v>
      </c>
      <c r="F141" t="s">
        <v>78</v>
      </c>
      <c r="G141" t="s">
        <v>65</v>
      </c>
      <c r="H141" s="1">
        <v>45323</v>
      </c>
      <c r="I141" t="s">
        <v>222</v>
      </c>
      <c r="J141" t="s">
        <v>42</v>
      </c>
      <c r="K141" t="s">
        <v>92</v>
      </c>
      <c r="L141" s="2" t="s">
        <v>218</v>
      </c>
    </row>
    <row r="142" spans="1:12" x14ac:dyDescent="0.3">
      <c r="A142" t="s">
        <v>221</v>
      </c>
      <c r="B142">
        <v>3433</v>
      </c>
      <c r="C142">
        <v>1169</v>
      </c>
      <c r="D142">
        <v>10</v>
      </c>
      <c r="E142" t="s">
        <v>30</v>
      </c>
      <c r="F142" t="s">
        <v>78</v>
      </c>
      <c r="G142" t="s">
        <v>65</v>
      </c>
      <c r="H142" s="1">
        <v>44448</v>
      </c>
      <c r="I142" t="s">
        <v>223</v>
      </c>
      <c r="J142" t="s">
        <v>21</v>
      </c>
      <c r="K142" t="s">
        <v>63</v>
      </c>
      <c r="L142" s="2" t="s">
        <v>224</v>
      </c>
    </row>
    <row r="143" spans="1:12" x14ac:dyDescent="0.3">
      <c r="A143" t="s">
        <v>221</v>
      </c>
      <c r="B143">
        <v>3433</v>
      </c>
      <c r="C143">
        <v>1169</v>
      </c>
      <c r="D143">
        <v>10</v>
      </c>
      <c r="E143" t="s">
        <v>30</v>
      </c>
      <c r="F143" t="s">
        <v>78</v>
      </c>
      <c r="G143" t="s">
        <v>65</v>
      </c>
      <c r="H143" s="1">
        <v>44447</v>
      </c>
      <c r="I143" t="s">
        <v>225</v>
      </c>
      <c r="J143" t="s">
        <v>42</v>
      </c>
      <c r="K143" t="s">
        <v>75</v>
      </c>
      <c r="L143" s="2" t="s">
        <v>224</v>
      </c>
    </row>
    <row r="144" spans="1:12" x14ac:dyDescent="0.3">
      <c r="A144" t="s">
        <v>221</v>
      </c>
      <c r="B144">
        <v>3887</v>
      </c>
      <c r="C144">
        <v>1490</v>
      </c>
      <c r="D144">
        <v>1</v>
      </c>
      <c r="E144" t="s">
        <v>30</v>
      </c>
      <c r="F144" t="s">
        <v>78</v>
      </c>
      <c r="G144" t="s">
        <v>32</v>
      </c>
      <c r="H144" s="1">
        <v>45323</v>
      </c>
      <c r="I144" t="s">
        <v>222</v>
      </c>
      <c r="J144" t="s">
        <v>42</v>
      </c>
      <c r="K144" t="s">
        <v>92</v>
      </c>
      <c r="L144" s="2" t="s">
        <v>218</v>
      </c>
    </row>
    <row r="145" spans="1:12" x14ac:dyDescent="0.3">
      <c r="A145" t="s">
        <v>221</v>
      </c>
      <c r="B145">
        <v>3887</v>
      </c>
      <c r="C145">
        <v>1490</v>
      </c>
      <c r="D145">
        <v>1</v>
      </c>
      <c r="E145" t="s">
        <v>30</v>
      </c>
      <c r="F145" t="s">
        <v>78</v>
      </c>
      <c r="G145" t="s">
        <v>32</v>
      </c>
      <c r="H145" s="1">
        <v>44448</v>
      </c>
      <c r="I145" t="s">
        <v>223</v>
      </c>
      <c r="J145" t="s">
        <v>21</v>
      </c>
      <c r="K145" t="s">
        <v>63</v>
      </c>
      <c r="L145" s="2" t="s">
        <v>224</v>
      </c>
    </row>
    <row r="146" spans="1:12" x14ac:dyDescent="0.3">
      <c r="A146" t="s">
        <v>221</v>
      </c>
      <c r="B146">
        <v>3887</v>
      </c>
      <c r="C146">
        <v>1490</v>
      </c>
      <c r="D146">
        <v>1</v>
      </c>
      <c r="E146" t="s">
        <v>30</v>
      </c>
      <c r="F146" t="s">
        <v>78</v>
      </c>
      <c r="G146" t="s">
        <v>32</v>
      </c>
      <c r="H146" s="1">
        <v>44447</v>
      </c>
      <c r="I146" t="s">
        <v>225</v>
      </c>
      <c r="J146" t="s">
        <v>42</v>
      </c>
      <c r="K146" t="s">
        <v>75</v>
      </c>
      <c r="L146" s="2" t="s">
        <v>224</v>
      </c>
    </row>
    <row r="147" spans="1:12" x14ac:dyDescent="0.3">
      <c r="A147" t="s">
        <v>226</v>
      </c>
      <c r="B147">
        <v>1801</v>
      </c>
      <c r="C147">
        <v>641</v>
      </c>
      <c r="D147">
        <v>20</v>
      </c>
      <c r="E147" t="s">
        <v>30</v>
      </c>
      <c r="F147" t="s">
        <v>57</v>
      </c>
      <c r="G147" t="s">
        <v>47</v>
      </c>
      <c r="H147" s="1">
        <v>45482</v>
      </c>
      <c r="I147" t="s">
        <v>227</v>
      </c>
      <c r="J147" t="s">
        <v>42</v>
      </c>
      <c r="K147" t="s">
        <v>43</v>
      </c>
      <c r="L147" s="2" t="s">
        <v>215</v>
      </c>
    </row>
    <row r="148" spans="1:12" x14ac:dyDescent="0.3">
      <c r="A148" t="s">
        <v>226</v>
      </c>
      <c r="B148">
        <v>5301</v>
      </c>
      <c r="C148">
        <v>817</v>
      </c>
      <c r="D148">
        <v>10</v>
      </c>
      <c r="E148" t="s">
        <v>45</v>
      </c>
      <c r="F148" t="s">
        <v>46</v>
      </c>
      <c r="G148" t="s">
        <v>32</v>
      </c>
      <c r="H148" s="1">
        <v>45482</v>
      </c>
      <c r="I148" t="s">
        <v>227</v>
      </c>
      <c r="J148" t="s">
        <v>42</v>
      </c>
      <c r="K148" t="s">
        <v>43</v>
      </c>
      <c r="L148" s="2" t="s">
        <v>215</v>
      </c>
    </row>
    <row r="149" spans="1:12" x14ac:dyDescent="0.3">
      <c r="A149" t="s">
        <v>226</v>
      </c>
      <c r="B149">
        <v>1166</v>
      </c>
      <c r="C149">
        <v>520</v>
      </c>
      <c r="D149">
        <v>12</v>
      </c>
      <c r="E149" t="s">
        <v>30</v>
      </c>
      <c r="F149" t="s">
        <v>64</v>
      </c>
      <c r="G149" t="s">
        <v>32</v>
      </c>
      <c r="H149" s="1">
        <v>45482</v>
      </c>
      <c r="I149" t="s">
        <v>227</v>
      </c>
      <c r="J149" t="s">
        <v>42</v>
      </c>
      <c r="K149" t="s">
        <v>43</v>
      </c>
      <c r="L149" s="2" t="s">
        <v>215</v>
      </c>
    </row>
    <row r="150" spans="1:12" x14ac:dyDescent="0.3">
      <c r="A150" t="s">
        <v>226</v>
      </c>
      <c r="B150">
        <v>3196</v>
      </c>
      <c r="C150">
        <v>1411</v>
      </c>
      <c r="D150">
        <v>15</v>
      </c>
      <c r="E150" t="s">
        <v>30</v>
      </c>
      <c r="F150" t="s">
        <v>64</v>
      </c>
      <c r="G150" t="s">
        <v>32</v>
      </c>
      <c r="H150" s="1">
        <v>45482</v>
      </c>
      <c r="I150" t="s">
        <v>227</v>
      </c>
      <c r="J150" t="s">
        <v>42</v>
      </c>
      <c r="K150" t="s">
        <v>43</v>
      </c>
      <c r="L150" s="2" t="s">
        <v>215</v>
      </c>
    </row>
    <row r="151" spans="1:12" x14ac:dyDescent="0.3">
      <c r="A151" t="s">
        <v>228</v>
      </c>
      <c r="B151">
        <v>3428</v>
      </c>
      <c r="C151">
        <v>350</v>
      </c>
      <c r="D151">
        <v>1</v>
      </c>
      <c r="E151" t="s">
        <v>45</v>
      </c>
      <c r="F151" t="s">
        <v>49</v>
      </c>
      <c r="G151" t="s">
        <v>47</v>
      </c>
      <c r="H151" s="1">
        <v>44985</v>
      </c>
      <c r="I151" t="s">
        <v>229</v>
      </c>
      <c r="J151" t="s">
        <v>21</v>
      </c>
      <c r="K151" t="s">
        <v>63</v>
      </c>
      <c r="L151" s="2" t="s">
        <v>93</v>
      </c>
    </row>
    <row r="152" spans="1:12" x14ac:dyDescent="0.3">
      <c r="A152" t="s">
        <v>228</v>
      </c>
      <c r="B152">
        <v>7223</v>
      </c>
      <c r="C152">
        <v>2433</v>
      </c>
      <c r="D152">
        <v>12</v>
      </c>
      <c r="E152" t="s">
        <v>30</v>
      </c>
      <c r="F152" t="s">
        <v>78</v>
      </c>
      <c r="G152" t="s">
        <v>47</v>
      </c>
      <c r="H152" s="1">
        <v>44985</v>
      </c>
      <c r="I152" t="s">
        <v>229</v>
      </c>
      <c r="J152" t="s">
        <v>21</v>
      </c>
      <c r="K152" t="s">
        <v>63</v>
      </c>
      <c r="L152" s="2" t="s">
        <v>93</v>
      </c>
    </row>
    <row r="153" spans="1:12" x14ac:dyDescent="0.3">
      <c r="A153" t="s">
        <v>228</v>
      </c>
      <c r="B153">
        <v>3731</v>
      </c>
      <c r="C153">
        <v>647</v>
      </c>
      <c r="D153">
        <v>1</v>
      </c>
      <c r="E153" t="s">
        <v>30</v>
      </c>
      <c r="F153" t="s">
        <v>31</v>
      </c>
      <c r="G153" t="s">
        <v>47</v>
      </c>
      <c r="H153" s="1">
        <v>44985</v>
      </c>
      <c r="I153" t="s">
        <v>229</v>
      </c>
      <c r="J153" t="s">
        <v>21</v>
      </c>
      <c r="K153" t="s">
        <v>63</v>
      </c>
      <c r="L153" s="2" t="s">
        <v>93</v>
      </c>
    </row>
    <row r="154" spans="1:12" x14ac:dyDescent="0.3">
      <c r="A154" t="s">
        <v>230</v>
      </c>
      <c r="B154">
        <v>8903</v>
      </c>
      <c r="C154">
        <v>4401</v>
      </c>
      <c r="D154">
        <v>18</v>
      </c>
      <c r="E154" t="s">
        <v>30</v>
      </c>
      <c r="F154" t="s">
        <v>31</v>
      </c>
      <c r="G154" t="s">
        <v>47</v>
      </c>
      <c r="H154" s="1">
        <v>44781</v>
      </c>
      <c r="I154" t="s">
        <v>231</v>
      </c>
      <c r="J154" t="s">
        <v>98</v>
      </c>
      <c r="K154" t="s">
        <v>99</v>
      </c>
      <c r="L154" s="2" t="s">
        <v>209</v>
      </c>
    </row>
    <row r="155" spans="1:12" x14ac:dyDescent="0.3">
      <c r="A155" t="s">
        <v>232</v>
      </c>
      <c r="B155">
        <v>6009</v>
      </c>
      <c r="C155">
        <v>2107</v>
      </c>
      <c r="D155">
        <v>7</v>
      </c>
      <c r="E155" t="s">
        <v>13</v>
      </c>
      <c r="F155" t="s">
        <v>82</v>
      </c>
      <c r="G155" t="s">
        <v>15</v>
      </c>
      <c r="H155" s="1">
        <v>44902</v>
      </c>
      <c r="I155" t="s">
        <v>233</v>
      </c>
      <c r="J155" t="s">
        <v>21</v>
      </c>
      <c r="K155" t="s">
        <v>22</v>
      </c>
      <c r="L155" s="2" t="s">
        <v>152</v>
      </c>
    </row>
    <row r="156" spans="1:12" x14ac:dyDescent="0.3">
      <c r="A156" t="s">
        <v>232</v>
      </c>
      <c r="B156">
        <v>6009</v>
      </c>
      <c r="C156">
        <v>2107</v>
      </c>
      <c r="D156">
        <v>7</v>
      </c>
      <c r="E156" t="s">
        <v>13</v>
      </c>
      <c r="F156" t="s">
        <v>82</v>
      </c>
      <c r="G156" t="s">
        <v>15</v>
      </c>
      <c r="H156" s="1">
        <v>45411</v>
      </c>
      <c r="I156" t="s">
        <v>234</v>
      </c>
      <c r="J156" t="s">
        <v>71</v>
      </c>
      <c r="K156" t="s">
        <v>86</v>
      </c>
      <c r="L156" s="2" t="s">
        <v>235</v>
      </c>
    </row>
    <row r="157" spans="1:12" x14ac:dyDescent="0.3">
      <c r="A157" t="s">
        <v>232</v>
      </c>
      <c r="B157">
        <v>2858</v>
      </c>
      <c r="C157">
        <v>230</v>
      </c>
      <c r="D157">
        <v>3</v>
      </c>
      <c r="E157" t="s">
        <v>45</v>
      </c>
      <c r="F157" t="s">
        <v>46</v>
      </c>
      <c r="G157" t="s">
        <v>47</v>
      </c>
      <c r="H157" s="1">
        <v>44902</v>
      </c>
      <c r="I157" t="s">
        <v>233</v>
      </c>
      <c r="J157" t="s">
        <v>21</v>
      </c>
      <c r="K157" t="s">
        <v>22</v>
      </c>
      <c r="L157" s="2" t="s">
        <v>152</v>
      </c>
    </row>
    <row r="158" spans="1:12" x14ac:dyDescent="0.3">
      <c r="A158" t="s">
        <v>232</v>
      </c>
      <c r="B158">
        <v>2858</v>
      </c>
      <c r="C158">
        <v>230</v>
      </c>
      <c r="D158">
        <v>3</v>
      </c>
      <c r="E158" t="s">
        <v>45</v>
      </c>
      <c r="F158" t="s">
        <v>46</v>
      </c>
      <c r="G158" t="s">
        <v>47</v>
      </c>
      <c r="H158" s="1">
        <v>45411</v>
      </c>
      <c r="I158" t="s">
        <v>234</v>
      </c>
      <c r="J158" t="s">
        <v>71</v>
      </c>
      <c r="K158" t="s">
        <v>86</v>
      </c>
      <c r="L158" s="2" t="s">
        <v>235</v>
      </c>
    </row>
    <row r="159" spans="1:12" x14ac:dyDescent="0.3">
      <c r="A159" t="s">
        <v>232</v>
      </c>
      <c r="B159">
        <v>8175</v>
      </c>
      <c r="C159">
        <v>525</v>
      </c>
      <c r="D159">
        <v>7</v>
      </c>
      <c r="E159" t="s">
        <v>45</v>
      </c>
      <c r="F159" t="s">
        <v>60</v>
      </c>
      <c r="G159" t="s">
        <v>47</v>
      </c>
      <c r="H159" s="1">
        <v>44902</v>
      </c>
      <c r="I159" t="s">
        <v>233</v>
      </c>
      <c r="J159" t="s">
        <v>21</v>
      </c>
      <c r="K159" t="s">
        <v>22</v>
      </c>
      <c r="L159" s="2" t="s">
        <v>152</v>
      </c>
    </row>
    <row r="160" spans="1:12" x14ac:dyDescent="0.3">
      <c r="A160" t="s">
        <v>232</v>
      </c>
      <c r="B160">
        <v>8175</v>
      </c>
      <c r="C160">
        <v>525</v>
      </c>
      <c r="D160">
        <v>7</v>
      </c>
      <c r="E160" t="s">
        <v>45</v>
      </c>
      <c r="F160" t="s">
        <v>60</v>
      </c>
      <c r="G160" t="s">
        <v>47</v>
      </c>
      <c r="H160" s="1">
        <v>45411</v>
      </c>
      <c r="I160" t="s">
        <v>234</v>
      </c>
      <c r="J160" t="s">
        <v>71</v>
      </c>
      <c r="K160" t="s">
        <v>86</v>
      </c>
      <c r="L160" s="2" t="s">
        <v>235</v>
      </c>
    </row>
    <row r="161" spans="1:12" x14ac:dyDescent="0.3">
      <c r="A161" t="s">
        <v>232</v>
      </c>
      <c r="B161">
        <v>5846</v>
      </c>
      <c r="C161">
        <v>586</v>
      </c>
      <c r="D161">
        <v>18</v>
      </c>
      <c r="E161" t="s">
        <v>45</v>
      </c>
      <c r="F161" t="s">
        <v>60</v>
      </c>
      <c r="G161" t="s">
        <v>15</v>
      </c>
      <c r="H161" s="1">
        <v>44902</v>
      </c>
      <c r="I161" t="s">
        <v>233</v>
      </c>
      <c r="J161" t="s">
        <v>21</v>
      </c>
      <c r="K161" t="s">
        <v>22</v>
      </c>
      <c r="L161" s="2" t="s">
        <v>152</v>
      </c>
    </row>
    <row r="162" spans="1:12" x14ac:dyDescent="0.3">
      <c r="A162" t="s">
        <v>232</v>
      </c>
      <c r="B162">
        <v>5846</v>
      </c>
      <c r="C162">
        <v>586</v>
      </c>
      <c r="D162">
        <v>18</v>
      </c>
      <c r="E162" t="s">
        <v>45</v>
      </c>
      <c r="F162" t="s">
        <v>60</v>
      </c>
      <c r="G162" t="s">
        <v>15</v>
      </c>
      <c r="H162" s="1">
        <v>45411</v>
      </c>
      <c r="I162" t="s">
        <v>234</v>
      </c>
      <c r="J162" t="s">
        <v>71</v>
      </c>
      <c r="K162" t="s">
        <v>86</v>
      </c>
      <c r="L162" s="2" t="s">
        <v>235</v>
      </c>
    </row>
    <row r="163" spans="1:12" x14ac:dyDescent="0.3">
      <c r="A163" t="s">
        <v>236</v>
      </c>
      <c r="B163">
        <v>706</v>
      </c>
      <c r="C163">
        <v>197</v>
      </c>
      <c r="D163">
        <v>11</v>
      </c>
      <c r="E163" t="s">
        <v>13</v>
      </c>
      <c r="F163" t="s">
        <v>39</v>
      </c>
      <c r="G163" t="s">
        <v>47</v>
      </c>
      <c r="H163" s="1">
        <v>44563</v>
      </c>
      <c r="I163" t="s">
        <v>237</v>
      </c>
      <c r="J163" t="s">
        <v>71</v>
      </c>
      <c r="K163" t="s">
        <v>86</v>
      </c>
      <c r="L163" s="2" t="s">
        <v>87</v>
      </c>
    </row>
    <row r="164" spans="1:12" x14ac:dyDescent="0.3">
      <c r="A164" t="s">
        <v>238</v>
      </c>
      <c r="B164">
        <v>9835</v>
      </c>
      <c r="C164">
        <v>2571</v>
      </c>
      <c r="D164">
        <v>16</v>
      </c>
      <c r="E164" t="s">
        <v>45</v>
      </c>
      <c r="F164" t="s">
        <v>46</v>
      </c>
      <c r="G164" t="s">
        <v>65</v>
      </c>
      <c r="H164" s="1">
        <v>44722</v>
      </c>
      <c r="I164" t="s">
        <v>239</v>
      </c>
      <c r="J164" t="s">
        <v>71</v>
      </c>
      <c r="K164" t="s">
        <v>72</v>
      </c>
      <c r="L164" s="2" t="s">
        <v>165</v>
      </c>
    </row>
    <row r="165" spans="1:12" x14ac:dyDescent="0.3">
      <c r="A165" t="s">
        <v>238</v>
      </c>
      <c r="B165">
        <v>9835</v>
      </c>
      <c r="C165">
        <v>2571</v>
      </c>
      <c r="D165">
        <v>16</v>
      </c>
      <c r="E165" t="s">
        <v>45</v>
      </c>
      <c r="F165" t="s">
        <v>46</v>
      </c>
      <c r="G165" t="s">
        <v>65</v>
      </c>
      <c r="H165" s="1">
        <v>44516</v>
      </c>
      <c r="I165" t="s">
        <v>240</v>
      </c>
      <c r="J165" t="s">
        <v>17</v>
      </c>
      <c r="K165" t="s">
        <v>34</v>
      </c>
      <c r="L165" s="2" t="s">
        <v>175</v>
      </c>
    </row>
    <row r="166" spans="1:12" x14ac:dyDescent="0.3">
      <c r="A166" t="s">
        <v>238</v>
      </c>
      <c r="B166">
        <v>9835</v>
      </c>
      <c r="C166">
        <v>2571</v>
      </c>
      <c r="D166">
        <v>16</v>
      </c>
      <c r="E166" t="s">
        <v>45</v>
      </c>
      <c r="F166" t="s">
        <v>46</v>
      </c>
      <c r="G166" t="s">
        <v>65</v>
      </c>
      <c r="H166" s="1">
        <v>44790</v>
      </c>
      <c r="I166" t="s">
        <v>241</v>
      </c>
      <c r="J166" t="s">
        <v>42</v>
      </c>
      <c r="K166" t="s">
        <v>43</v>
      </c>
      <c r="L166" s="2" t="s">
        <v>209</v>
      </c>
    </row>
    <row r="167" spans="1:12" x14ac:dyDescent="0.3">
      <c r="A167" t="s">
        <v>238</v>
      </c>
      <c r="B167">
        <v>9691</v>
      </c>
      <c r="C167">
        <v>3056</v>
      </c>
      <c r="D167">
        <v>13</v>
      </c>
      <c r="E167" t="s">
        <v>30</v>
      </c>
      <c r="F167" t="s">
        <v>57</v>
      </c>
      <c r="G167" t="s">
        <v>47</v>
      </c>
      <c r="H167" s="1">
        <v>44722</v>
      </c>
      <c r="I167" t="s">
        <v>239</v>
      </c>
      <c r="J167" t="s">
        <v>71</v>
      </c>
      <c r="K167" t="s">
        <v>72</v>
      </c>
      <c r="L167" s="2" t="s">
        <v>165</v>
      </c>
    </row>
    <row r="168" spans="1:12" x14ac:dyDescent="0.3">
      <c r="A168" t="s">
        <v>238</v>
      </c>
      <c r="B168">
        <v>9691</v>
      </c>
      <c r="C168">
        <v>3056</v>
      </c>
      <c r="D168">
        <v>13</v>
      </c>
      <c r="E168" t="s">
        <v>30</v>
      </c>
      <c r="F168" t="s">
        <v>57</v>
      </c>
      <c r="G168" t="s">
        <v>47</v>
      </c>
      <c r="H168" s="1">
        <v>44516</v>
      </c>
      <c r="I168" t="s">
        <v>240</v>
      </c>
      <c r="J168" t="s">
        <v>17</v>
      </c>
      <c r="K168" t="s">
        <v>34</v>
      </c>
      <c r="L168" s="2" t="s">
        <v>175</v>
      </c>
    </row>
    <row r="169" spans="1:12" x14ac:dyDescent="0.3">
      <c r="A169" t="s">
        <v>238</v>
      </c>
      <c r="B169">
        <v>9691</v>
      </c>
      <c r="C169">
        <v>3056</v>
      </c>
      <c r="D169">
        <v>13</v>
      </c>
      <c r="E169" t="s">
        <v>30</v>
      </c>
      <c r="F169" t="s">
        <v>57</v>
      </c>
      <c r="G169" t="s">
        <v>47</v>
      </c>
      <c r="H169" s="1">
        <v>44790</v>
      </c>
      <c r="I169" t="s">
        <v>241</v>
      </c>
      <c r="J169" t="s">
        <v>42</v>
      </c>
      <c r="K169" t="s">
        <v>43</v>
      </c>
      <c r="L169" s="2" t="s">
        <v>209</v>
      </c>
    </row>
    <row r="170" spans="1:12" x14ac:dyDescent="0.3">
      <c r="A170" t="s">
        <v>238</v>
      </c>
      <c r="B170">
        <v>7826</v>
      </c>
      <c r="C170">
        <v>1221</v>
      </c>
      <c r="D170">
        <v>14</v>
      </c>
      <c r="E170" t="s">
        <v>45</v>
      </c>
      <c r="F170" t="s">
        <v>109</v>
      </c>
      <c r="G170" t="s">
        <v>15</v>
      </c>
      <c r="H170" s="1">
        <v>44722</v>
      </c>
      <c r="I170" t="s">
        <v>239</v>
      </c>
      <c r="J170" t="s">
        <v>71</v>
      </c>
      <c r="K170" t="s">
        <v>72</v>
      </c>
      <c r="L170" s="2" t="s">
        <v>165</v>
      </c>
    </row>
    <row r="171" spans="1:12" x14ac:dyDescent="0.3">
      <c r="A171" t="s">
        <v>238</v>
      </c>
      <c r="B171">
        <v>7826</v>
      </c>
      <c r="C171">
        <v>1221</v>
      </c>
      <c r="D171">
        <v>14</v>
      </c>
      <c r="E171" t="s">
        <v>45</v>
      </c>
      <c r="F171" t="s">
        <v>109</v>
      </c>
      <c r="G171" t="s">
        <v>15</v>
      </c>
      <c r="H171" s="1">
        <v>44516</v>
      </c>
      <c r="I171" t="s">
        <v>240</v>
      </c>
      <c r="J171" t="s">
        <v>17</v>
      </c>
      <c r="K171" t="s">
        <v>34</v>
      </c>
      <c r="L171" s="2" t="s">
        <v>175</v>
      </c>
    </row>
    <row r="172" spans="1:12" x14ac:dyDescent="0.3">
      <c r="A172" t="s">
        <v>238</v>
      </c>
      <c r="B172">
        <v>7826</v>
      </c>
      <c r="C172">
        <v>1221</v>
      </c>
      <c r="D172">
        <v>14</v>
      </c>
      <c r="E172" t="s">
        <v>45</v>
      </c>
      <c r="F172" t="s">
        <v>109</v>
      </c>
      <c r="G172" t="s">
        <v>15</v>
      </c>
      <c r="H172" s="1">
        <v>44790</v>
      </c>
      <c r="I172" t="s">
        <v>241</v>
      </c>
      <c r="J172" t="s">
        <v>42</v>
      </c>
      <c r="K172" t="s">
        <v>43</v>
      </c>
      <c r="L172" s="2" t="s">
        <v>209</v>
      </c>
    </row>
    <row r="173" spans="1:12" x14ac:dyDescent="0.3">
      <c r="A173" t="s">
        <v>242</v>
      </c>
      <c r="B173">
        <v>770</v>
      </c>
      <c r="C173">
        <v>241</v>
      </c>
      <c r="D173">
        <v>11</v>
      </c>
      <c r="E173" t="s">
        <v>45</v>
      </c>
      <c r="F173" t="s">
        <v>60</v>
      </c>
      <c r="G173" t="s">
        <v>65</v>
      </c>
      <c r="H173" s="1">
        <v>44523</v>
      </c>
      <c r="I173" t="s">
        <v>243</v>
      </c>
      <c r="J173" t="s">
        <v>71</v>
      </c>
      <c r="K173" t="s">
        <v>86</v>
      </c>
      <c r="L173" s="2" t="s">
        <v>175</v>
      </c>
    </row>
    <row r="174" spans="1:12" x14ac:dyDescent="0.3">
      <c r="A174" t="s">
        <v>242</v>
      </c>
      <c r="B174">
        <v>770</v>
      </c>
      <c r="C174">
        <v>241</v>
      </c>
      <c r="D174">
        <v>11</v>
      </c>
      <c r="E174" t="s">
        <v>45</v>
      </c>
      <c r="F174" t="s">
        <v>60</v>
      </c>
      <c r="G174" t="s">
        <v>65</v>
      </c>
      <c r="H174" s="1">
        <v>44989</v>
      </c>
      <c r="I174" t="s">
        <v>244</v>
      </c>
      <c r="J174" t="s">
        <v>98</v>
      </c>
      <c r="K174" t="s">
        <v>107</v>
      </c>
      <c r="L174" s="2" t="s">
        <v>245</v>
      </c>
    </row>
    <row r="175" spans="1:12" x14ac:dyDescent="0.3">
      <c r="A175" t="s">
        <v>246</v>
      </c>
      <c r="B175">
        <v>9895</v>
      </c>
      <c r="C175">
        <v>1598</v>
      </c>
      <c r="D175">
        <v>20</v>
      </c>
      <c r="E175" t="s">
        <v>45</v>
      </c>
      <c r="F175" t="s">
        <v>109</v>
      </c>
      <c r="G175" t="s">
        <v>65</v>
      </c>
      <c r="H175" s="1">
        <v>45276</v>
      </c>
      <c r="I175" t="s">
        <v>247</v>
      </c>
      <c r="J175" t="s">
        <v>25</v>
      </c>
      <c r="K175" t="s">
        <v>68</v>
      </c>
      <c r="L175" s="2" t="s">
        <v>102</v>
      </c>
    </row>
    <row r="176" spans="1:12" x14ac:dyDescent="0.3">
      <c r="A176" t="s">
        <v>248</v>
      </c>
      <c r="B176">
        <v>6517</v>
      </c>
      <c r="C176">
        <v>1581</v>
      </c>
      <c r="D176">
        <v>10</v>
      </c>
      <c r="E176" t="s">
        <v>30</v>
      </c>
      <c r="F176" t="s">
        <v>64</v>
      </c>
      <c r="G176" t="s">
        <v>32</v>
      </c>
      <c r="H176" s="1">
        <v>45431</v>
      </c>
      <c r="I176" t="s">
        <v>249</v>
      </c>
      <c r="J176" t="s">
        <v>17</v>
      </c>
      <c r="K176" t="s">
        <v>18</v>
      </c>
      <c r="L176" s="2" t="s">
        <v>35</v>
      </c>
    </row>
    <row r="177" spans="1:12" x14ac:dyDescent="0.3">
      <c r="A177" t="s">
        <v>248</v>
      </c>
      <c r="B177">
        <v>6517</v>
      </c>
      <c r="C177">
        <v>1581</v>
      </c>
      <c r="D177">
        <v>10</v>
      </c>
      <c r="E177" t="s">
        <v>30</v>
      </c>
      <c r="F177" t="s">
        <v>64</v>
      </c>
      <c r="G177" t="s">
        <v>32</v>
      </c>
      <c r="H177" s="1">
        <v>43965</v>
      </c>
      <c r="I177" t="s">
        <v>250</v>
      </c>
      <c r="J177" t="s">
        <v>17</v>
      </c>
      <c r="K177" t="s">
        <v>150</v>
      </c>
      <c r="L177" s="2" t="s">
        <v>59</v>
      </c>
    </row>
    <row r="178" spans="1:12" x14ac:dyDescent="0.3">
      <c r="A178" t="s">
        <v>248</v>
      </c>
      <c r="B178">
        <v>1166</v>
      </c>
      <c r="C178">
        <v>349</v>
      </c>
      <c r="D178">
        <v>11</v>
      </c>
      <c r="E178" t="s">
        <v>45</v>
      </c>
      <c r="F178" t="s">
        <v>46</v>
      </c>
      <c r="G178" t="s">
        <v>47</v>
      </c>
      <c r="H178" s="1">
        <v>45431</v>
      </c>
      <c r="I178" t="s">
        <v>249</v>
      </c>
      <c r="J178" t="s">
        <v>17</v>
      </c>
      <c r="K178" t="s">
        <v>18</v>
      </c>
      <c r="L178" s="2" t="s">
        <v>35</v>
      </c>
    </row>
    <row r="179" spans="1:12" x14ac:dyDescent="0.3">
      <c r="A179" t="s">
        <v>248</v>
      </c>
      <c r="B179">
        <v>1166</v>
      </c>
      <c r="C179">
        <v>349</v>
      </c>
      <c r="D179">
        <v>11</v>
      </c>
      <c r="E179" t="s">
        <v>45</v>
      </c>
      <c r="F179" t="s">
        <v>46</v>
      </c>
      <c r="G179" t="s">
        <v>47</v>
      </c>
      <c r="H179" s="1">
        <v>43965</v>
      </c>
      <c r="I179" t="s">
        <v>250</v>
      </c>
      <c r="J179" t="s">
        <v>17</v>
      </c>
      <c r="K179" t="s">
        <v>150</v>
      </c>
      <c r="L179" s="2" t="s">
        <v>59</v>
      </c>
    </row>
    <row r="180" spans="1:12" x14ac:dyDescent="0.3">
      <c r="A180" t="s">
        <v>251</v>
      </c>
      <c r="B180">
        <v>9820</v>
      </c>
      <c r="C180">
        <v>793</v>
      </c>
      <c r="D180">
        <v>16</v>
      </c>
      <c r="E180" t="s">
        <v>45</v>
      </c>
      <c r="F180" t="s">
        <v>49</v>
      </c>
      <c r="G180" t="s">
        <v>47</v>
      </c>
      <c r="H180" s="1">
        <v>44437</v>
      </c>
      <c r="I180" t="s">
        <v>252</v>
      </c>
      <c r="J180" t="s">
        <v>25</v>
      </c>
      <c r="K180" t="s">
        <v>26</v>
      </c>
      <c r="L180" s="2" t="s">
        <v>178</v>
      </c>
    </row>
    <row r="181" spans="1:12" x14ac:dyDescent="0.3">
      <c r="A181" t="s">
        <v>253</v>
      </c>
      <c r="B181">
        <v>8563</v>
      </c>
      <c r="C181">
        <v>2624</v>
      </c>
      <c r="D181">
        <v>8</v>
      </c>
      <c r="E181" t="s">
        <v>30</v>
      </c>
      <c r="F181" t="s">
        <v>78</v>
      </c>
      <c r="G181" t="s">
        <v>65</v>
      </c>
      <c r="H181" s="1">
        <v>45606</v>
      </c>
      <c r="I181" t="s">
        <v>254</v>
      </c>
      <c r="J181" t="s">
        <v>71</v>
      </c>
      <c r="K181" t="s">
        <v>72</v>
      </c>
      <c r="L181" s="2" t="s">
        <v>255</v>
      </c>
    </row>
    <row r="182" spans="1:12" x14ac:dyDescent="0.3">
      <c r="A182" t="s">
        <v>253</v>
      </c>
      <c r="B182">
        <v>4441</v>
      </c>
      <c r="C182">
        <v>281</v>
      </c>
      <c r="D182">
        <v>20</v>
      </c>
      <c r="E182" t="s">
        <v>13</v>
      </c>
      <c r="F182" t="s">
        <v>28</v>
      </c>
      <c r="G182" t="s">
        <v>65</v>
      </c>
      <c r="H182" s="1">
        <v>45606</v>
      </c>
      <c r="I182" t="s">
        <v>254</v>
      </c>
      <c r="J182" t="s">
        <v>71</v>
      </c>
      <c r="K182" t="s">
        <v>72</v>
      </c>
      <c r="L182" s="2" t="s">
        <v>255</v>
      </c>
    </row>
    <row r="183" spans="1:12" x14ac:dyDescent="0.3">
      <c r="A183" t="s">
        <v>256</v>
      </c>
      <c r="B183">
        <v>7340</v>
      </c>
      <c r="C183">
        <v>2271</v>
      </c>
      <c r="D183">
        <v>8</v>
      </c>
      <c r="E183" t="s">
        <v>30</v>
      </c>
      <c r="F183" t="s">
        <v>64</v>
      </c>
      <c r="G183" t="s">
        <v>40</v>
      </c>
      <c r="H183" s="1">
        <v>44535</v>
      </c>
      <c r="I183" t="s">
        <v>257</v>
      </c>
      <c r="J183" t="s">
        <v>17</v>
      </c>
      <c r="K183" t="s">
        <v>34</v>
      </c>
      <c r="L183" s="2" t="s">
        <v>90</v>
      </c>
    </row>
    <row r="184" spans="1:12" x14ac:dyDescent="0.3">
      <c r="A184" t="s">
        <v>256</v>
      </c>
      <c r="B184">
        <v>5442</v>
      </c>
      <c r="C184">
        <v>1610</v>
      </c>
      <c r="D184">
        <v>1</v>
      </c>
      <c r="E184" t="s">
        <v>13</v>
      </c>
      <c r="F184" t="s">
        <v>82</v>
      </c>
      <c r="G184" t="s">
        <v>40</v>
      </c>
      <c r="H184" s="1">
        <v>44535</v>
      </c>
      <c r="I184" t="s">
        <v>257</v>
      </c>
      <c r="J184" t="s">
        <v>17</v>
      </c>
      <c r="K184" t="s">
        <v>34</v>
      </c>
      <c r="L184" s="2" t="s">
        <v>90</v>
      </c>
    </row>
    <row r="185" spans="1:12" x14ac:dyDescent="0.3">
      <c r="A185" t="s">
        <v>258</v>
      </c>
      <c r="B185">
        <v>1895</v>
      </c>
      <c r="C185">
        <v>391</v>
      </c>
      <c r="D185">
        <v>14</v>
      </c>
      <c r="E185" t="s">
        <v>45</v>
      </c>
      <c r="F185" t="s">
        <v>46</v>
      </c>
      <c r="G185" t="s">
        <v>15</v>
      </c>
      <c r="H185" s="1">
        <v>45478</v>
      </c>
      <c r="I185" t="s">
        <v>259</v>
      </c>
      <c r="J185" t="s">
        <v>17</v>
      </c>
      <c r="K185" t="s">
        <v>150</v>
      </c>
      <c r="L185" s="2" t="s">
        <v>215</v>
      </c>
    </row>
    <row r="186" spans="1:12" x14ac:dyDescent="0.3">
      <c r="A186" t="s">
        <v>258</v>
      </c>
      <c r="B186">
        <v>5323</v>
      </c>
      <c r="C186">
        <v>322</v>
      </c>
      <c r="D186">
        <v>13</v>
      </c>
      <c r="E186" t="s">
        <v>30</v>
      </c>
      <c r="F186" t="s">
        <v>78</v>
      </c>
      <c r="G186" t="s">
        <v>65</v>
      </c>
      <c r="H186" s="1">
        <v>45478</v>
      </c>
      <c r="I186" t="s">
        <v>259</v>
      </c>
      <c r="J186" t="s">
        <v>17</v>
      </c>
      <c r="K186" t="s">
        <v>150</v>
      </c>
      <c r="L186" s="2" t="s">
        <v>215</v>
      </c>
    </row>
    <row r="187" spans="1:12" x14ac:dyDescent="0.3">
      <c r="A187" t="s">
        <v>260</v>
      </c>
      <c r="B187">
        <v>8850</v>
      </c>
      <c r="C187">
        <v>279</v>
      </c>
      <c r="D187">
        <v>13</v>
      </c>
      <c r="E187" t="s">
        <v>30</v>
      </c>
      <c r="F187" t="s">
        <v>57</v>
      </c>
      <c r="G187" t="s">
        <v>32</v>
      </c>
      <c r="H187" s="1">
        <v>45468</v>
      </c>
      <c r="I187" t="s">
        <v>261</v>
      </c>
      <c r="J187" t="s">
        <v>17</v>
      </c>
      <c r="K187" t="s">
        <v>18</v>
      </c>
      <c r="L187" s="2" t="s">
        <v>262</v>
      </c>
    </row>
    <row r="188" spans="1:12" x14ac:dyDescent="0.3">
      <c r="A188" t="s">
        <v>260</v>
      </c>
      <c r="B188">
        <v>8667</v>
      </c>
      <c r="C188">
        <v>1266</v>
      </c>
      <c r="D188">
        <v>6</v>
      </c>
      <c r="E188" t="s">
        <v>30</v>
      </c>
      <c r="F188" t="s">
        <v>64</v>
      </c>
      <c r="G188" t="s">
        <v>32</v>
      </c>
      <c r="H188" s="1">
        <v>45468</v>
      </c>
      <c r="I188" t="s">
        <v>261</v>
      </c>
      <c r="J188" t="s">
        <v>17</v>
      </c>
      <c r="K188" t="s">
        <v>18</v>
      </c>
      <c r="L188" s="2" t="s">
        <v>262</v>
      </c>
    </row>
    <row r="189" spans="1:12" x14ac:dyDescent="0.3">
      <c r="A189" t="s">
        <v>263</v>
      </c>
      <c r="B189">
        <v>6903</v>
      </c>
      <c r="C189">
        <v>105</v>
      </c>
      <c r="D189">
        <v>1</v>
      </c>
      <c r="E189" t="s">
        <v>45</v>
      </c>
      <c r="F189" t="s">
        <v>46</v>
      </c>
      <c r="G189" t="s">
        <v>65</v>
      </c>
      <c r="H189" s="1">
        <v>45443</v>
      </c>
      <c r="I189" t="s">
        <v>264</v>
      </c>
      <c r="J189" t="s">
        <v>21</v>
      </c>
      <c r="K189" t="s">
        <v>22</v>
      </c>
      <c r="L189" s="2" t="s">
        <v>35</v>
      </c>
    </row>
    <row r="190" spans="1:12" x14ac:dyDescent="0.3">
      <c r="A190" t="s">
        <v>263</v>
      </c>
      <c r="B190">
        <v>8793</v>
      </c>
      <c r="C190">
        <v>3010</v>
      </c>
      <c r="D190">
        <v>7</v>
      </c>
      <c r="E190" t="s">
        <v>30</v>
      </c>
      <c r="F190" t="s">
        <v>31</v>
      </c>
      <c r="G190" t="s">
        <v>65</v>
      </c>
      <c r="H190" s="1">
        <v>45443</v>
      </c>
      <c r="I190" t="s">
        <v>264</v>
      </c>
      <c r="J190" t="s">
        <v>21</v>
      </c>
      <c r="K190" t="s">
        <v>22</v>
      </c>
      <c r="L190" s="2" t="s">
        <v>35</v>
      </c>
    </row>
    <row r="191" spans="1:12" x14ac:dyDescent="0.3">
      <c r="A191" t="s">
        <v>265</v>
      </c>
      <c r="B191">
        <v>9883</v>
      </c>
      <c r="C191">
        <v>4812</v>
      </c>
      <c r="D191">
        <v>16</v>
      </c>
      <c r="E191" t="s">
        <v>30</v>
      </c>
      <c r="F191" t="s">
        <v>64</v>
      </c>
      <c r="G191" t="s">
        <v>15</v>
      </c>
      <c r="H191" s="1">
        <v>44124</v>
      </c>
      <c r="I191" t="s">
        <v>266</v>
      </c>
      <c r="J191" t="s">
        <v>25</v>
      </c>
      <c r="K191" t="s">
        <v>26</v>
      </c>
      <c r="L191" s="2" t="s">
        <v>119</v>
      </c>
    </row>
    <row r="192" spans="1:12" x14ac:dyDescent="0.3">
      <c r="A192" t="s">
        <v>265</v>
      </c>
      <c r="B192">
        <v>9883</v>
      </c>
      <c r="C192">
        <v>4812</v>
      </c>
      <c r="D192">
        <v>16</v>
      </c>
      <c r="E192" t="s">
        <v>30</v>
      </c>
      <c r="F192" t="s">
        <v>64</v>
      </c>
      <c r="G192" t="s">
        <v>15</v>
      </c>
      <c r="H192" s="1">
        <v>44784</v>
      </c>
      <c r="I192" t="s">
        <v>267</v>
      </c>
      <c r="J192" t="s">
        <v>17</v>
      </c>
      <c r="K192" t="s">
        <v>34</v>
      </c>
      <c r="L192" s="2" t="s">
        <v>209</v>
      </c>
    </row>
    <row r="193" spans="1:12" x14ac:dyDescent="0.3">
      <c r="A193" t="s">
        <v>265</v>
      </c>
      <c r="B193">
        <v>9883</v>
      </c>
      <c r="C193">
        <v>4812</v>
      </c>
      <c r="D193">
        <v>16</v>
      </c>
      <c r="E193" t="s">
        <v>30</v>
      </c>
      <c r="F193" t="s">
        <v>64</v>
      </c>
      <c r="G193" t="s">
        <v>15</v>
      </c>
      <c r="H193" s="1">
        <v>44486</v>
      </c>
      <c r="I193" t="s">
        <v>268</v>
      </c>
      <c r="J193" t="s">
        <v>21</v>
      </c>
      <c r="K193" t="s">
        <v>63</v>
      </c>
      <c r="L193" s="2" t="s">
        <v>37</v>
      </c>
    </row>
    <row r="194" spans="1:12" x14ac:dyDescent="0.3">
      <c r="A194" t="s">
        <v>265</v>
      </c>
      <c r="B194">
        <v>5210</v>
      </c>
      <c r="C194">
        <v>1185</v>
      </c>
      <c r="D194">
        <v>7</v>
      </c>
      <c r="E194" t="s">
        <v>30</v>
      </c>
      <c r="F194" t="s">
        <v>64</v>
      </c>
      <c r="G194" t="s">
        <v>15</v>
      </c>
      <c r="H194" s="1">
        <v>44124</v>
      </c>
      <c r="I194" t="s">
        <v>266</v>
      </c>
      <c r="J194" t="s">
        <v>25</v>
      </c>
      <c r="K194" t="s">
        <v>26</v>
      </c>
      <c r="L194" s="2" t="s">
        <v>119</v>
      </c>
    </row>
    <row r="195" spans="1:12" x14ac:dyDescent="0.3">
      <c r="A195" t="s">
        <v>265</v>
      </c>
      <c r="B195">
        <v>5210</v>
      </c>
      <c r="C195">
        <v>1185</v>
      </c>
      <c r="D195">
        <v>7</v>
      </c>
      <c r="E195" t="s">
        <v>30</v>
      </c>
      <c r="F195" t="s">
        <v>64</v>
      </c>
      <c r="G195" t="s">
        <v>15</v>
      </c>
      <c r="H195" s="1">
        <v>44784</v>
      </c>
      <c r="I195" t="s">
        <v>267</v>
      </c>
      <c r="J195" t="s">
        <v>17</v>
      </c>
      <c r="K195" t="s">
        <v>34</v>
      </c>
      <c r="L195" s="2" t="s">
        <v>209</v>
      </c>
    </row>
    <row r="196" spans="1:12" x14ac:dyDescent="0.3">
      <c r="A196" t="s">
        <v>265</v>
      </c>
      <c r="B196">
        <v>5210</v>
      </c>
      <c r="C196">
        <v>1185</v>
      </c>
      <c r="D196">
        <v>7</v>
      </c>
      <c r="E196" t="s">
        <v>30</v>
      </c>
      <c r="F196" t="s">
        <v>64</v>
      </c>
      <c r="G196" t="s">
        <v>15</v>
      </c>
      <c r="H196" s="1">
        <v>44486</v>
      </c>
      <c r="I196" t="s">
        <v>268</v>
      </c>
      <c r="J196" t="s">
        <v>21</v>
      </c>
      <c r="K196" t="s">
        <v>63</v>
      </c>
      <c r="L196" s="2" t="s">
        <v>37</v>
      </c>
    </row>
    <row r="197" spans="1:12" x14ac:dyDescent="0.3">
      <c r="A197" t="s">
        <v>269</v>
      </c>
      <c r="B197">
        <v>3574</v>
      </c>
      <c r="C197">
        <v>851</v>
      </c>
      <c r="D197">
        <v>4</v>
      </c>
      <c r="E197" t="s">
        <v>13</v>
      </c>
      <c r="F197" t="s">
        <v>28</v>
      </c>
      <c r="G197" t="s">
        <v>47</v>
      </c>
      <c r="H197" s="1">
        <v>44615</v>
      </c>
      <c r="I197" t="s">
        <v>270</v>
      </c>
      <c r="J197" t="s">
        <v>42</v>
      </c>
      <c r="K197" t="s">
        <v>43</v>
      </c>
      <c r="L197" s="2" t="s">
        <v>137</v>
      </c>
    </row>
    <row r="198" spans="1:12" x14ac:dyDescent="0.3">
      <c r="A198" t="s">
        <v>269</v>
      </c>
      <c r="B198">
        <v>576</v>
      </c>
      <c r="C198">
        <v>76</v>
      </c>
      <c r="D198">
        <v>13</v>
      </c>
      <c r="E198" t="s">
        <v>45</v>
      </c>
      <c r="F198" t="s">
        <v>60</v>
      </c>
      <c r="G198" t="s">
        <v>15</v>
      </c>
      <c r="H198" s="1">
        <v>44615</v>
      </c>
      <c r="I198" t="s">
        <v>270</v>
      </c>
      <c r="J198" t="s">
        <v>42</v>
      </c>
      <c r="K198" t="s">
        <v>43</v>
      </c>
      <c r="L198" s="2" t="s">
        <v>137</v>
      </c>
    </row>
    <row r="199" spans="1:12" x14ac:dyDescent="0.3">
      <c r="A199" t="s">
        <v>271</v>
      </c>
      <c r="B199">
        <v>1860</v>
      </c>
      <c r="C199">
        <v>457</v>
      </c>
      <c r="D199">
        <v>13</v>
      </c>
      <c r="E199" t="s">
        <v>13</v>
      </c>
      <c r="F199" t="s">
        <v>28</v>
      </c>
      <c r="G199" t="s">
        <v>40</v>
      </c>
      <c r="H199" s="1">
        <v>45189</v>
      </c>
      <c r="I199" t="s">
        <v>272</v>
      </c>
      <c r="J199" t="s">
        <v>98</v>
      </c>
      <c r="K199" t="s">
        <v>117</v>
      </c>
      <c r="L199" s="2" t="s">
        <v>273</v>
      </c>
    </row>
    <row r="200" spans="1:12" x14ac:dyDescent="0.3">
      <c r="A200" t="s">
        <v>274</v>
      </c>
      <c r="B200">
        <v>782</v>
      </c>
      <c r="C200">
        <v>374</v>
      </c>
      <c r="D200">
        <v>8</v>
      </c>
      <c r="E200" t="s">
        <v>30</v>
      </c>
      <c r="F200" t="s">
        <v>31</v>
      </c>
      <c r="G200" t="s">
        <v>40</v>
      </c>
      <c r="H200" s="1">
        <v>44215</v>
      </c>
      <c r="I200" t="s">
        <v>275</v>
      </c>
      <c r="J200" t="s">
        <v>21</v>
      </c>
      <c r="K200" t="s">
        <v>172</v>
      </c>
      <c r="L200" s="2" t="s">
        <v>276</v>
      </c>
    </row>
    <row r="201" spans="1:12" x14ac:dyDescent="0.3">
      <c r="A201" t="s">
        <v>274</v>
      </c>
      <c r="B201">
        <v>4371</v>
      </c>
      <c r="C201">
        <v>1852</v>
      </c>
      <c r="D201">
        <v>1</v>
      </c>
      <c r="E201" t="s">
        <v>13</v>
      </c>
      <c r="F201" t="s">
        <v>39</v>
      </c>
      <c r="G201" t="s">
        <v>15</v>
      </c>
      <c r="H201" s="1">
        <v>44215</v>
      </c>
      <c r="I201" t="s">
        <v>275</v>
      </c>
      <c r="J201" t="s">
        <v>21</v>
      </c>
      <c r="K201" t="s">
        <v>172</v>
      </c>
      <c r="L201" s="2" t="s">
        <v>276</v>
      </c>
    </row>
    <row r="202" spans="1:12" x14ac:dyDescent="0.3">
      <c r="A202" t="s">
        <v>277</v>
      </c>
      <c r="B202">
        <v>8346</v>
      </c>
      <c r="C202">
        <v>1176</v>
      </c>
      <c r="D202">
        <v>1</v>
      </c>
      <c r="E202" t="s">
        <v>13</v>
      </c>
      <c r="F202" t="s">
        <v>82</v>
      </c>
      <c r="G202" t="s">
        <v>65</v>
      </c>
      <c r="H202" s="1">
        <v>44064</v>
      </c>
      <c r="I202" t="s">
        <v>278</v>
      </c>
      <c r="J202" t="s">
        <v>71</v>
      </c>
      <c r="K202" t="s">
        <v>138</v>
      </c>
      <c r="L202" s="2" t="s">
        <v>185</v>
      </c>
    </row>
    <row r="203" spans="1:12" x14ac:dyDescent="0.3">
      <c r="A203" t="s">
        <v>277</v>
      </c>
      <c r="B203">
        <v>8346</v>
      </c>
      <c r="C203">
        <v>1176</v>
      </c>
      <c r="D203">
        <v>1</v>
      </c>
      <c r="E203" t="s">
        <v>13</v>
      </c>
      <c r="F203" t="s">
        <v>82</v>
      </c>
      <c r="G203" t="s">
        <v>65</v>
      </c>
      <c r="H203" s="1">
        <v>45033</v>
      </c>
      <c r="I203" t="s">
        <v>279</v>
      </c>
      <c r="J203" t="s">
        <v>21</v>
      </c>
      <c r="K203" t="s">
        <v>22</v>
      </c>
      <c r="L203" s="2" t="s">
        <v>145</v>
      </c>
    </row>
    <row r="204" spans="1:12" x14ac:dyDescent="0.3">
      <c r="A204" t="s">
        <v>277</v>
      </c>
      <c r="B204">
        <v>8346</v>
      </c>
      <c r="C204">
        <v>1176</v>
      </c>
      <c r="D204">
        <v>1</v>
      </c>
      <c r="E204" t="s">
        <v>13</v>
      </c>
      <c r="F204" t="s">
        <v>82</v>
      </c>
      <c r="G204" t="s">
        <v>65</v>
      </c>
      <c r="H204" s="1">
        <v>45284</v>
      </c>
      <c r="I204" t="s">
        <v>280</v>
      </c>
      <c r="J204" t="s">
        <v>42</v>
      </c>
      <c r="K204" t="s">
        <v>92</v>
      </c>
      <c r="L204" s="2" t="s">
        <v>102</v>
      </c>
    </row>
    <row r="205" spans="1:12" x14ac:dyDescent="0.3">
      <c r="A205" t="s">
        <v>277</v>
      </c>
      <c r="B205">
        <v>6218</v>
      </c>
      <c r="C205">
        <v>1125</v>
      </c>
      <c r="D205">
        <v>5</v>
      </c>
      <c r="E205" t="s">
        <v>45</v>
      </c>
      <c r="F205" t="s">
        <v>46</v>
      </c>
      <c r="G205" t="s">
        <v>32</v>
      </c>
      <c r="H205" s="1">
        <v>44064</v>
      </c>
      <c r="I205" t="s">
        <v>278</v>
      </c>
      <c r="J205" t="s">
        <v>71</v>
      </c>
      <c r="K205" t="s">
        <v>138</v>
      </c>
      <c r="L205" s="2" t="s">
        <v>185</v>
      </c>
    </row>
    <row r="206" spans="1:12" x14ac:dyDescent="0.3">
      <c r="A206" t="s">
        <v>277</v>
      </c>
      <c r="B206">
        <v>6218</v>
      </c>
      <c r="C206">
        <v>1125</v>
      </c>
      <c r="D206">
        <v>5</v>
      </c>
      <c r="E206" t="s">
        <v>45</v>
      </c>
      <c r="F206" t="s">
        <v>46</v>
      </c>
      <c r="G206" t="s">
        <v>32</v>
      </c>
      <c r="H206" s="1">
        <v>45033</v>
      </c>
      <c r="I206" t="s">
        <v>279</v>
      </c>
      <c r="J206" t="s">
        <v>21</v>
      </c>
      <c r="K206" t="s">
        <v>22</v>
      </c>
      <c r="L206" s="2" t="s">
        <v>145</v>
      </c>
    </row>
    <row r="207" spans="1:12" x14ac:dyDescent="0.3">
      <c r="A207" t="s">
        <v>277</v>
      </c>
      <c r="B207">
        <v>6218</v>
      </c>
      <c r="C207">
        <v>1125</v>
      </c>
      <c r="D207">
        <v>5</v>
      </c>
      <c r="E207" t="s">
        <v>45</v>
      </c>
      <c r="F207" t="s">
        <v>46</v>
      </c>
      <c r="G207" t="s">
        <v>32</v>
      </c>
      <c r="H207" s="1">
        <v>45284</v>
      </c>
      <c r="I207" t="s">
        <v>280</v>
      </c>
      <c r="J207" t="s">
        <v>42</v>
      </c>
      <c r="K207" t="s">
        <v>92</v>
      </c>
      <c r="L207" s="2" t="s">
        <v>102</v>
      </c>
    </row>
    <row r="208" spans="1:12" x14ac:dyDescent="0.3">
      <c r="A208" t="s">
        <v>277</v>
      </c>
      <c r="B208">
        <v>5167</v>
      </c>
      <c r="C208">
        <v>253</v>
      </c>
      <c r="D208">
        <v>14</v>
      </c>
      <c r="E208" t="s">
        <v>13</v>
      </c>
      <c r="F208" t="s">
        <v>28</v>
      </c>
      <c r="G208" t="s">
        <v>47</v>
      </c>
      <c r="H208" s="1">
        <v>44064</v>
      </c>
      <c r="I208" t="s">
        <v>278</v>
      </c>
      <c r="J208" t="s">
        <v>71</v>
      </c>
      <c r="K208" t="s">
        <v>138</v>
      </c>
      <c r="L208" s="2" t="s">
        <v>185</v>
      </c>
    </row>
    <row r="209" spans="1:12" x14ac:dyDescent="0.3">
      <c r="A209" t="s">
        <v>277</v>
      </c>
      <c r="B209">
        <v>5167</v>
      </c>
      <c r="C209">
        <v>253</v>
      </c>
      <c r="D209">
        <v>14</v>
      </c>
      <c r="E209" t="s">
        <v>13</v>
      </c>
      <c r="F209" t="s">
        <v>28</v>
      </c>
      <c r="G209" t="s">
        <v>47</v>
      </c>
      <c r="H209" s="1">
        <v>45033</v>
      </c>
      <c r="I209" t="s">
        <v>279</v>
      </c>
      <c r="J209" t="s">
        <v>21</v>
      </c>
      <c r="K209" t="s">
        <v>22</v>
      </c>
      <c r="L209" s="2" t="s">
        <v>145</v>
      </c>
    </row>
    <row r="210" spans="1:12" x14ac:dyDescent="0.3">
      <c r="A210" t="s">
        <v>277</v>
      </c>
      <c r="B210">
        <v>5167</v>
      </c>
      <c r="C210">
        <v>253</v>
      </c>
      <c r="D210">
        <v>14</v>
      </c>
      <c r="E210" t="s">
        <v>13</v>
      </c>
      <c r="F210" t="s">
        <v>28</v>
      </c>
      <c r="G210" t="s">
        <v>47</v>
      </c>
      <c r="H210" s="1">
        <v>45284</v>
      </c>
      <c r="I210" t="s">
        <v>280</v>
      </c>
      <c r="J210" t="s">
        <v>42</v>
      </c>
      <c r="K210" t="s">
        <v>92</v>
      </c>
      <c r="L210" s="2" t="s">
        <v>102</v>
      </c>
    </row>
    <row r="211" spans="1:12" x14ac:dyDescent="0.3">
      <c r="A211" t="s">
        <v>277</v>
      </c>
      <c r="B211">
        <v>2799</v>
      </c>
      <c r="C211">
        <v>1239</v>
      </c>
      <c r="D211">
        <v>5</v>
      </c>
      <c r="E211" t="s">
        <v>45</v>
      </c>
      <c r="F211" t="s">
        <v>60</v>
      </c>
      <c r="G211" t="s">
        <v>32</v>
      </c>
      <c r="H211" s="1">
        <v>44064</v>
      </c>
      <c r="I211" t="s">
        <v>278</v>
      </c>
      <c r="J211" t="s">
        <v>71</v>
      </c>
      <c r="K211" t="s">
        <v>138</v>
      </c>
      <c r="L211" s="2" t="s">
        <v>185</v>
      </c>
    </row>
    <row r="212" spans="1:12" x14ac:dyDescent="0.3">
      <c r="A212" t="s">
        <v>277</v>
      </c>
      <c r="B212">
        <v>2799</v>
      </c>
      <c r="C212">
        <v>1239</v>
      </c>
      <c r="D212">
        <v>5</v>
      </c>
      <c r="E212" t="s">
        <v>45</v>
      </c>
      <c r="F212" t="s">
        <v>60</v>
      </c>
      <c r="G212" t="s">
        <v>32</v>
      </c>
      <c r="H212" s="1">
        <v>45033</v>
      </c>
      <c r="I212" t="s">
        <v>279</v>
      </c>
      <c r="J212" t="s">
        <v>21</v>
      </c>
      <c r="K212" t="s">
        <v>22</v>
      </c>
      <c r="L212" s="2" t="s">
        <v>145</v>
      </c>
    </row>
    <row r="213" spans="1:12" x14ac:dyDescent="0.3">
      <c r="A213" t="s">
        <v>277</v>
      </c>
      <c r="B213">
        <v>2799</v>
      </c>
      <c r="C213">
        <v>1239</v>
      </c>
      <c r="D213">
        <v>5</v>
      </c>
      <c r="E213" t="s">
        <v>45</v>
      </c>
      <c r="F213" t="s">
        <v>60</v>
      </c>
      <c r="G213" t="s">
        <v>32</v>
      </c>
      <c r="H213" s="1">
        <v>45284</v>
      </c>
      <c r="I213" t="s">
        <v>280</v>
      </c>
      <c r="J213" t="s">
        <v>42</v>
      </c>
      <c r="K213" t="s">
        <v>92</v>
      </c>
      <c r="L213" s="2" t="s">
        <v>102</v>
      </c>
    </row>
    <row r="214" spans="1:12" x14ac:dyDescent="0.3">
      <c r="A214" t="s">
        <v>281</v>
      </c>
      <c r="B214">
        <v>3234</v>
      </c>
      <c r="C214">
        <v>1029</v>
      </c>
      <c r="D214">
        <v>20</v>
      </c>
      <c r="E214" t="s">
        <v>30</v>
      </c>
      <c r="F214" t="s">
        <v>57</v>
      </c>
      <c r="G214" t="s">
        <v>47</v>
      </c>
      <c r="H214" s="1">
        <v>44640</v>
      </c>
      <c r="I214" t="s">
        <v>282</v>
      </c>
      <c r="J214" t="s">
        <v>17</v>
      </c>
      <c r="K214" t="s">
        <v>18</v>
      </c>
      <c r="L214" s="2" t="s">
        <v>134</v>
      </c>
    </row>
    <row r="215" spans="1:12" x14ac:dyDescent="0.3">
      <c r="A215" t="s">
        <v>283</v>
      </c>
      <c r="B215">
        <v>4920</v>
      </c>
      <c r="C215">
        <v>775</v>
      </c>
      <c r="D215">
        <v>12</v>
      </c>
      <c r="E215" t="s">
        <v>45</v>
      </c>
      <c r="F215" t="s">
        <v>46</v>
      </c>
      <c r="G215" t="s">
        <v>32</v>
      </c>
      <c r="H215" s="1">
        <v>44420</v>
      </c>
      <c r="I215" t="s">
        <v>284</v>
      </c>
      <c r="J215" t="s">
        <v>21</v>
      </c>
      <c r="K215" t="s">
        <v>63</v>
      </c>
      <c r="L215" s="2" t="s">
        <v>178</v>
      </c>
    </row>
    <row r="216" spans="1:12" x14ac:dyDescent="0.3">
      <c r="A216" t="s">
        <v>283</v>
      </c>
      <c r="B216">
        <v>9078</v>
      </c>
      <c r="C216">
        <v>2213</v>
      </c>
      <c r="D216">
        <v>15</v>
      </c>
      <c r="E216" t="s">
        <v>45</v>
      </c>
      <c r="F216" t="s">
        <v>109</v>
      </c>
      <c r="G216" t="s">
        <v>40</v>
      </c>
      <c r="H216" s="1">
        <v>44420</v>
      </c>
      <c r="I216" t="s">
        <v>284</v>
      </c>
      <c r="J216" t="s">
        <v>21</v>
      </c>
      <c r="K216" t="s">
        <v>63</v>
      </c>
      <c r="L216" s="2" t="s">
        <v>178</v>
      </c>
    </row>
    <row r="217" spans="1:12" x14ac:dyDescent="0.3">
      <c r="A217" t="s">
        <v>285</v>
      </c>
      <c r="B217">
        <v>8586</v>
      </c>
      <c r="C217">
        <v>3826</v>
      </c>
      <c r="D217">
        <v>7</v>
      </c>
      <c r="E217" t="s">
        <v>45</v>
      </c>
      <c r="F217" t="s">
        <v>109</v>
      </c>
      <c r="G217" t="s">
        <v>15</v>
      </c>
      <c r="H217" s="1">
        <v>44186</v>
      </c>
      <c r="I217" t="s">
        <v>286</v>
      </c>
      <c r="J217" t="s">
        <v>17</v>
      </c>
      <c r="K217" t="s">
        <v>18</v>
      </c>
      <c r="L217" s="2" t="s">
        <v>287</v>
      </c>
    </row>
    <row r="218" spans="1:12" x14ac:dyDescent="0.3">
      <c r="A218" t="s">
        <v>285</v>
      </c>
      <c r="B218">
        <v>8586</v>
      </c>
      <c r="C218">
        <v>3826</v>
      </c>
      <c r="D218">
        <v>7</v>
      </c>
      <c r="E218" t="s">
        <v>45</v>
      </c>
      <c r="F218" t="s">
        <v>109</v>
      </c>
      <c r="G218" t="s">
        <v>15</v>
      </c>
      <c r="H218" s="1">
        <v>45114</v>
      </c>
      <c r="I218" t="s">
        <v>288</v>
      </c>
      <c r="J218" t="s">
        <v>17</v>
      </c>
      <c r="K218" t="s">
        <v>150</v>
      </c>
      <c r="L218" s="2" t="s">
        <v>105</v>
      </c>
    </row>
    <row r="219" spans="1:12" x14ac:dyDescent="0.3">
      <c r="A219" t="s">
        <v>289</v>
      </c>
      <c r="B219">
        <v>5047</v>
      </c>
      <c r="C219">
        <v>2211</v>
      </c>
      <c r="D219">
        <v>13</v>
      </c>
      <c r="E219" t="s">
        <v>45</v>
      </c>
      <c r="F219" t="s">
        <v>60</v>
      </c>
      <c r="G219" t="s">
        <v>40</v>
      </c>
      <c r="H219" s="1">
        <v>45151</v>
      </c>
      <c r="I219" t="s">
        <v>290</v>
      </c>
      <c r="J219" t="s">
        <v>42</v>
      </c>
      <c r="K219" t="s">
        <v>92</v>
      </c>
      <c r="L219" s="2" t="s">
        <v>121</v>
      </c>
    </row>
    <row r="220" spans="1:12" x14ac:dyDescent="0.3">
      <c r="A220" t="s">
        <v>289</v>
      </c>
      <c r="B220">
        <v>5047</v>
      </c>
      <c r="C220">
        <v>2211</v>
      </c>
      <c r="D220">
        <v>13</v>
      </c>
      <c r="E220" t="s">
        <v>45</v>
      </c>
      <c r="F220" t="s">
        <v>60</v>
      </c>
      <c r="G220" t="s">
        <v>40</v>
      </c>
      <c r="H220" s="1">
        <v>44231</v>
      </c>
      <c r="I220" t="s">
        <v>291</v>
      </c>
      <c r="J220" t="s">
        <v>21</v>
      </c>
      <c r="K220" t="s">
        <v>22</v>
      </c>
      <c r="L220" s="2" t="s">
        <v>292</v>
      </c>
    </row>
    <row r="221" spans="1:12" x14ac:dyDescent="0.3">
      <c r="A221" t="s">
        <v>289</v>
      </c>
      <c r="B221">
        <v>5047</v>
      </c>
      <c r="C221">
        <v>2211</v>
      </c>
      <c r="D221">
        <v>13</v>
      </c>
      <c r="E221" t="s">
        <v>45</v>
      </c>
      <c r="F221" t="s">
        <v>60</v>
      </c>
      <c r="G221" t="s">
        <v>40</v>
      </c>
      <c r="H221" s="1">
        <v>44820</v>
      </c>
      <c r="I221" t="s">
        <v>293</v>
      </c>
      <c r="J221" t="s">
        <v>21</v>
      </c>
      <c r="K221" t="s">
        <v>172</v>
      </c>
      <c r="L221" s="2" t="s">
        <v>131</v>
      </c>
    </row>
    <row r="222" spans="1:12" x14ac:dyDescent="0.3">
      <c r="A222" t="s">
        <v>289</v>
      </c>
      <c r="B222">
        <v>5047</v>
      </c>
      <c r="C222">
        <v>2211</v>
      </c>
      <c r="D222">
        <v>13</v>
      </c>
      <c r="E222" t="s">
        <v>45</v>
      </c>
      <c r="F222" t="s">
        <v>60</v>
      </c>
      <c r="G222" t="s">
        <v>40</v>
      </c>
      <c r="H222" s="1">
        <v>44687</v>
      </c>
      <c r="I222" t="s">
        <v>294</v>
      </c>
      <c r="J222" t="s">
        <v>25</v>
      </c>
      <c r="K222" t="s">
        <v>26</v>
      </c>
      <c r="L222" s="2" t="s">
        <v>180</v>
      </c>
    </row>
    <row r="223" spans="1:12" x14ac:dyDescent="0.3">
      <c r="A223" t="s">
        <v>295</v>
      </c>
      <c r="B223">
        <v>3657</v>
      </c>
      <c r="C223">
        <v>163</v>
      </c>
      <c r="D223">
        <v>1</v>
      </c>
      <c r="E223" t="s">
        <v>45</v>
      </c>
      <c r="F223" t="s">
        <v>60</v>
      </c>
      <c r="G223" t="s">
        <v>15</v>
      </c>
      <c r="H223" s="1">
        <v>44344</v>
      </c>
      <c r="I223" t="s">
        <v>296</v>
      </c>
      <c r="J223" t="s">
        <v>42</v>
      </c>
      <c r="K223" t="s">
        <v>92</v>
      </c>
      <c r="L223" s="2" t="s">
        <v>108</v>
      </c>
    </row>
    <row r="224" spans="1:12" x14ac:dyDescent="0.3">
      <c r="A224" t="s">
        <v>297</v>
      </c>
      <c r="B224">
        <v>6471</v>
      </c>
      <c r="C224">
        <v>2842</v>
      </c>
      <c r="D224">
        <v>18</v>
      </c>
      <c r="E224" t="s">
        <v>13</v>
      </c>
      <c r="F224" t="s">
        <v>14</v>
      </c>
      <c r="G224" t="s">
        <v>15</v>
      </c>
      <c r="H224" s="1">
        <v>45491</v>
      </c>
      <c r="I224" t="s">
        <v>298</v>
      </c>
      <c r="J224" t="s">
        <v>21</v>
      </c>
      <c r="K224" t="s">
        <v>172</v>
      </c>
      <c r="L224" s="2" t="s">
        <v>215</v>
      </c>
    </row>
    <row r="225" spans="1:12" x14ac:dyDescent="0.3">
      <c r="A225" t="s">
        <v>299</v>
      </c>
      <c r="B225">
        <v>949</v>
      </c>
      <c r="C225">
        <v>301</v>
      </c>
      <c r="D225">
        <v>9</v>
      </c>
      <c r="E225" t="s">
        <v>30</v>
      </c>
      <c r="F225" t="s">
        <v>78</v>
      </c>
      <c r="G225" t="s">
        <v>15</v>
      </c>
      <c r="H225" s="1">
        <v>45632</v>
      </c>
      <c r="I225" t="s">
        <v>300</v>
      </c>
      <c r="J225" t="s">
        <v>98</v>
      </c>
      <c r="K225" t="s">
        <v>117</v>
      </c>
      <c r="L225" s="2" t="s">
        <v>23</v>
      </c>
    </row>
    <row r="226" spans="1:12" x14ac:dyDescent="0.3">
      <c r="A226" t="s">
        <v>299</v>
      </c>
      <c r="B226">
        <v>6823</v>
      </c>
      <c r="C226">
        <v>771</v>
      </c>
      <c r="D226">
        <v>6</v>
      </c>
      <c r="E226" t="s">
        <v>30</v>
      </c>
      <c r="F226" t="s">
        <v>78</v>
      </c>
      <c r="G226" t="s">
        <v>40</v>
      </c>
      <c r="H226" s="1">
        <v>45632</v>
      </c>
      <c r="I226" t="s">
        <v>300</v>
      </c>
      <c r="J226" t="s">
        <v>98</v>
      </c>
      <c r="K226" t="s">
        <v>117</v>
      </c>
      <c r="L226" s="2" t="s">
        <v>23</v>
      </c>
    </row>
    <row r="227" spans="1:12" x14ac:dyDescent="0.3">
      <c r="A227" t="s">
        <v>299</v>
      </c>
      <c r="B227">
        <v>4364</v>
      </c>
      <c r="C227">
        <v>831</v>
      </c>
      <c r="D227">
        <v>2</v>
      </c>
      <c r="E227" t="s">
        <v>45</v>
      </c>
      <c r="F227" t="s">
        <v>46</v>
      </c>
      <c r="G227" t="s">
        <v>40</v>
      </c>
      <c r="H227" s="1">
        <v>45632</v>
      </c>
      <c r="I227" t="s">
        <v>300</v>
      </c>
      <c r="J227" t="s">
        <v>98</v>
      </c>
      <c r="K227" t="s">
        <v>117</v>
      </c>
      <c r="L227" s="2" t="s">
        <v>23</v>
      </c>
    </row>
    <row r="228" spans="1:12" x14ac:dyDescent="0.3">
      <c r="A228" t="s">
        <v>301</v>
      </c>
      <c r="B228">
        <v>6671</v>
      </c>
      <c r="C228">
        <v>2797</v>
      </c>
      <c r="D228">
        <v>10</v>
      </c>
      <c r="E228" t="s">
        <v>13</v>
      </c>
      <c r="F228" t="s">
        <v>82</v>
      </c>
      <c r="G228" t="s">
        <v>15</v>
      </c>
      <c r="H228" s="1">
        <v>44907</v>
      </c>
      <c r="I228" t="s">
        <v>302</v>
      </c>
      <c r="J228" t="s">
        <v>21</v>
      </c>
      <c r="K228" t="s">
        <v>172</v>
      </c>
      <c r="L228" s="2" t="s">
        <v>152</v>
      </c>
    </row>
    <row r="229" spans="1:12" x14ac:dyDescent="0.3">
      <c r="A229" t="s">
        <v>303</v>
      </c>
      <c r="B229">
        <v>7472</v>
      </c>
      <c r="C229">
        <v>1037</v>
      </c>
      <c r="D229">
        <v>3</v>
      </c>
      <c r="E229" t="s">
        <v>30</v>
      </c>
      <c r="F229" t="s">
        <v>64</v>
      </c>
      <c r="G229" t="s">
        <v>65</v>
      </c>
      <c r="H229" s="1">
        <v>44854</v>
      </c>
      <c r="I229" t="s">
        <v>304</v>
      </c>
      <c r="J229" t="s">
        <v>21</v>
      </c>
      <c r="K229" t="s">
        <v>63</v>
      </c>
      <c r="L229" s="2" t="s">
        <v>96</v>
      </c>
    </row>
    <row r="230" spans="1:12" x14ac:dyDescent="0.3">
      <c r="A230" t="s">
        <v>303</v>
      </c>
      <c r="B230">
        <v>9548</v>
      </c>
      <c r="C230">
        <v>1806</v>
      </c>
      <c r="D230">
        <v>9</v>
      </c>
      <c r="E230" t="s">
        <v>13</v>
      </c>
      <c r="F230" t="s">
        <v>28</v>
      </c>
      <c r="G230" t="s">
        <v>65</v>
      </c>
      <c r="H230" s="1">
        <v>44854</v>
      </c>
      <c r="I230" t="s">
        <v>304</v>
      </c>
      <c r="J230" t="s">
        <v>21</v>
      </c>
      <c r="K230" t="s">
        <v>63</v>
      </c>
      <c r="L230" s="2" t="s">
        <v>96</v>
      </c>
    </row>
    <row r="231" spans="1:12" x14ac:dyDescent="0.3">
      <c r="A231" t="s">
        <v>305</v>
      </c>
      <c r="B231">
        <v>7759</v>
      </c>
      <c r="C231">
        <v>3741</v>
      </c>
      <c r="D231">
        <v>17</v>
      </c>
      <c r="E231" t="s">
        <v>13</v>
      </c>
      <c r="F231" t="s">
        <v>28</v>
      </c>
      <c r="G231" t="s">
        <v>15</v>
      </c>
      <c r="H231" s="1">
        <v>44279</v>
      </c>
      <c r="I231" t="s">
        <v>306</v>
      </c>
      <c r="J231" t="s">
        <v>17</v>
      </c>
      <c r="K231" t="s">
        <v>18</v>
      </c>
      <c r="L231" s="2" t="s">
        <v>167</v>
      </c>
    </row>
    <row r="232" spans="1:12" x14ac:dyDescent="0.3">
      <c r="A232" t="s">
        <v>305</v>
      </c>
      <c r="B232">
        <v>7759</v>
      </c>
      <c r="C232">
        <v>3741</v>
      </c>
      <c r="D232">
        <v>17</v>
      </c>
      <c r="E232" t="s">
        <v>13</v>
      </c>
      <c r="F232" t="s">
        <v>28</v>
      </c>
      <c r="G232" t="s">
        <v>15</v>
      </c>
      <c r="H232" s="1">
        <v>45663</v>
      </c>
      <c r="I232" t="s">
        <v>307</v>
      </c>
      <c r="J232" t="s">
        <v>71</v>
      </c>
      <c r="K232" t="s">
        <v>72</v>
      </c>
      <c r="L232" s="2" t="s">
        <v>308</v>
      </c>
    </row>
    <row r="233" spans="1:12" x14ac:dyDescent="0.3">
      <c r="A233" t="s">
        <v>305</v>
      </c>
      <c r="B233">
        <v>7521</v>
      </c>
      <c r="C233">
        <v>3457</v>
      </c>
      <c r="D233">
        <v>16</v>
      </c>
      <c r="E233" t="s">
        <v>30</v>
      </c>
      <c r="F233" t="s">
        <v>57</v>
      </c>
      <c r="G233" t="s">
        <v>32</v>
      </c>
      <c r="H233" s="1">
        <v>44279</v>
      </c>
      <c r="I233" t="s">
        <v>306</v>
      </c>
      <c r="J233" t="s">
        <v>17</v>
      </c>
      <c r="K233" t="s">
        <v>18</v>
      </c>
      <c r="L233" s="2" t="s">
        <v>167</v>
      </c>
    </row>
    <row r="234" spans="1:12" x14ac:dyDescent="0.3">
      <c r="A234" t="s">
        <v>305</v>
      </c>
      <c r="B234">
        <v>7521</v>
      </c>
      <c r="C234">
        <v>3457</v>
      </c>
      <c r="D234">
        <v>16</v>
      </c>
      <c r="E234" t="s">
        <v>30</v>
      </c>
      <c r="F234" t="s">
        <v>57</v>
      </c>
      <c r="G234" t="s">
        <v>32</v>
      </c>
      <c r="H234" s="1">
        <v>45663</v>
      </c>
      <c r="I234" t="s">
        <v>307</v>
      </c>
      <c r="J234" t="s">
        <v>71</v>
      </c>
      <c r="K234" t="s">
        <v>72</v>
      </c>
      <c r="L234" s="2" t="s">
        <v>308</v>
      </c>
    </row>
    <row r="235" spans="1:12" x14ac:dyDescent="0.3">
      <c r="A235" t="s">
        <v>309</v>
      </c>
      <c r="B235">
        <v>9704</v>
      </c>
      <c r="C235">
        <v>4339</v>
      </c>
      <c r="D235">
        <v>12</v>
      </c>
      <c r="E235" t="s">
        <v>30</v>
      </c>
      <c r="F235" t="s">
        <v>31</v>
      </c>
      <c r="G235" t="s">
        <v>65</v>
      </c>
      <c r="H235" s="1">
        <v>44261</v>
      </c>
      <c r="I235" t="s">
        <v>310</v>
      </c>
      <c r="J235" t="s">
        <v>71</v>
      </c>
      <c r="K235" t="s">
        <v>138</v>
      </c>
      <c r="L235" s="2" t="s">
        <v>167</v>
      </c>
    </row>
    <row r="236" spans="1:12" x14ac:dyDescent="0.3">
      <c r="A236" t="s">
        <v>309</v>
      </c>
      <c r="B236">
        <v>4948</v>
      </c>
      <c r="C236">
        <v>2356</v>
      </c>
      <c r="D236">
        <v>18</v>
      </c>
      <c r="E236" t="s">
        <v>13</v>
      </c>
      <c r="F236" t="s">
        <v>28</v>
      </c>
      <c r="G236" t="s">
        <v>32</v>
      </c>
      <c r="H236" s="1">
        <v>44261</v>
      </c>
      <c r="I236" t="s">
        <v>310</v>
      </c>
      <c r="J236" t="s">
        <v>71</v>
      </c>
      <c r="K236" t="s">
        <v>138</v>
      </c>
      <c r="L236" s="2" t="s">
        <v>167</v>
      </c>
    </row>
    <row r="237" spans="1:12" x14ac:dyDescent="0.3">
      <c r="A237" t="s">
        <v>309</v>
      </c>
      <c r="B237">
        <v>6435</v>
      </c>
      <c r="C237">
        <v>334</v>
      </c>
      <c r="D237">
        <v>10</v>
      </c>
      <c r="E237" t="s">
        <v>13</v>
      </c>
      <c r="F237" t="s">
        <v>14</v>
      </c>
      <c r="G237" t="s">
        <v>32</v>
      </c>
      <c r="H237" s="1">
        <v>44261</v>
      </c>
      <c r="I237" t="s">
        <v>310</v>
      </c>
      <c r="J237" t="s">
        <v>71</v>
      </c>
      <c r="K237" t="s">
        <v>138</v>
      </c>
      <c r="L237" s="2" t="s">
        <v>167</v>
      </c>
    </row>
    <row r="238" spans="1:12" x14ac:dyDescent="0.3">
      <c r="A238" t="s">
        <v>311</v>
      </c>
      <c r="B238">
        <v>9965</v>
      </c>
      <c r="C238">
        <v>3033</v>
      </c>
      <c r="D238">
        <v>16</v>
      </c>
      <c r="E238" t="s">
        <v>30</v>
      </c>
      <c r="F238" t="s">
        <v>57</v>
      </c>
      <c r="G238" t="s">
        <v>65</v>
      </c>
      <c r="H238" s="1">
        <v>43999</v>
      </c>
      <c r="I238" t="s">
        <v>312</v>
      </c>
      <c r="J238" t="s">
        <v>42</v>
      </c>
      <c r="K238" t="s">
        <v>92</v>
      </c>
      <c r="L238" s="2" t="s">
        <v>313</v>
      </c>
    </row>
    <row r="239" spans="1:12" x14ac:dyDescent="0.3">
      <c r="A239" t="s">
        <v>311</v>
      </c>
      <c r="B239">
        <v>9965</v>
      </c>
      <c r="C239">
        <v>3033</v>
      </c>
      <c r="D239">
        <v>16</v>
      </c>
      <c r="E239" t="s">
        <v>30</v>
      </c>
      <c r="F239" t="s">
        <v>57</v>
      </c>
      <c r="G239" t="s">
        <v>65</v>
      </c>
      <c r="H239" s="1">
        <v>45170</v>
      </c>
      <c r="I239" t="s">
        <v>314</v>
      </c>
      <c r="J239" t="s">
        <v>25</v>
      </c>
      <c r="K239" t="s">
        <v>26</v>
      </c>
      <c r="L239" s="2" t="s">
        <v>273</v>
      </c>
    </row>
    <row r="240" spans="1:12" x14ac:dyDescent="0.3">
      <c r="A240" t="s">
        <v>315</v>
      </c>
      <c r="B240">
        <v>1523</v>
      </c>
      <c r="C240">
        <v>234</v>
      </c>
      <c r="D240">
        <v>3</v>
      </c>
      <c r="E240" t="s">
        <v>45</v>
      </c>
      <c r="F240" t="s">
        <v>60</v>
      </c>
      <c r="G240" t="s">
        <v>15</v>
      </c>
      <c r="H240" s="1">
        <v>45085</v>
      </c>
      <c r="I240" t="s">
        <v>316</v>
      </c>
      <c r="J240" t="s">
        <v>25</v>
      </c>
      <c r="K240" t="s">
        <v>68</v>
      </c>
      <c r="L240" s="2" t="s">
        <v>19</v>
      </c>
    </row>
    <row r="241" spans="1:12" x14ac:dyDescent="0.3">
      <c r="A241" t="s">
        <v>315</v>
      </c>
      <c r="B241">
        <v>9073</v>
      </c>
      <c r="C241">
        <v>424</v>
      </c>
      <c r="D241">
        <v>7</v>
      </c>
      <c r="E241" t="s">
        <v>13</v>
      </c>
      <c r="F241" t="s">
        <v>14</v>
      </c>
      <c r="G241" t="s">
        <v>32</v>
      </c>
      <c r="H241" s="1">
        <v>45085</v>
      </c>
      <c r="I241" t="s">
        <v>316</v>
      </c>
      <c r="J241" t="s">
        <v>25</v>
      </c>
      <c r="K241" t="s">
        <v>68</v>
      </c>
      <c r="L241" s="2" t="s">
        <v>19</v>
      </c>
    </row>
    <row r="242" spans="1:12" x14ac:dyDescent="0.3">
      <c r="A242" t="s">
        <v>317</v>
      </c>
      <c r="B242">
        <v>6447</v>
      </c>
      <c r="C242">
        <v>3079</v>
      </c>
      <c r="D242">
        <v>20</v>
      </c>
      <c r="E242" t="s">
        <v>13</v>
      </c>
      <c r="F242" t="s">
        <v>39</v>
      </c>
      <c r="G242" t="s">
        <v>65</v>
      </c>
      <c r="H242" s="1">
        <v>44280</v>
      </c>
      <c r="I242" t="s">
        <v>318</v>
      </c>
      <c r="J242" t="s">
        <v>25</v>
      </c>
      <c r="K242" t="s">
        <v>68</v>
      </c>
      <c r="L242" s="2" t="s">
        <v>167</v>
      </c>
    </row>
    <row r="243" spans="1:12" x14ac:dyDescent="0.3">
      <c r="A243" t="s">
        <v>317</v>
      </c>
      <c r="B243">
        <v>8947</v>
      </c>
      <c r="C243">
        <v>2807</v>
      </c>
      <c r="D243">
        <v>6</v>
      </c>
      <c r="E243" t="s">
        <v>13</v>
      </c>
      <c r="F243" t="s">
        <v>14</v>
      </c>
      <c r="G243" t="s">
        <v>47</v>
      </c>
      <c r="H243" s="1">
        <v>44280</v>
      </c>
      <c r="I243" t="s">
        <v>318</v>
      </c>
      <c r="J243" t="s">
        <v>25</v>
      </c>
      <c r="K243" t="s">
        <v>68</v>
      </c>
      <c r="L243" s="2" t="s">
        <v>167</v>
      </c>
    </row>
    <row r="244" spans="1:12" x14ac:dyDescent="0.3">
      <c r="A244" t="s">
        <v>319</v>
      </c>
      <c r="B244">
        <v>914</v>
      </c>
      <c r="C244">
        <v>400</v>
      </c>
      <c r="D244">
        <v>8</v>
      </c>
      <c r="E244" t="s">
        <v>30</v>
      </c>
      <c r="F244" t="s">
        <v>31</v>
      </c>
      <c r="G244" t="s">
        <v>32</v>
      </c>
      <c r="H244" s="1">
        <v>44199</v>
      </c>
      <c r="I244" t="s">
        <v>320</v>
      </c>
      <c r="J244" t="s">
        <v>42</v>
      </c>
      <c r="K244" t="s">
        <v>43</v>
      </c>
      <c r="L244" s="2" t="s">
        <v>276</v>
      </c>
    </row>
    <row r="245" spans="1:12" x14ac:dyDescent="0.3">
      <c r="A245" t="s">
        <v>319</v>
      </c>
      <c r="B245">
        <v>1548</v>
      </c>
      <c r="C245">
        <v>666</v>
      </c>
      <c r="D245">
        <v>3</v>
      </c>
      <c r="E245" t="s">
        <v>30</v>
      </c>
      <c r="F245" t="s">
        <v>64</v>
      </c>
      <c r="G245" t="s">
        <v>47</v>
      </c>
      <c r="H245" s="1">
        <v>44199</v>
      </c>
      <c r="I245" t="s">
        <v>320</v>
      </c>
      <c r="J245" t="s">
        <v>42</v>
      </c>
      <c r="K245" t="s">
        <v>43</v>
      </c>
      <c r="L245" s="2" t="s">
        <v>276</v>
      </c>
    </row>
    <row r="246" spans="1:12" x14ac:dyDescent="0.3">
      <c r="A246" t="s">
        <v>321</v>
      </c>
      <c r="B246">
        <v>2759</v>
      </c>
      <c r="C246">
        <v>1149</v>
      </c>
      <c r="D246">
        <v>6</v>
      </c>
      <c r="E246" t="s">
        <v>45</v>
      </c>
      <c r="F246" t="s">
        <v>46</v>
      </c>
      <c r="G246" t="s">
        <v>47</v>
      </c>
      <c r="H246" s="1">
        <v>45653</v>
      </c>
      <c r="I246" t="s">
        <v>322</v>
      </c>
      <c r="J246" t="s">
        <v>25</v>
      </c>
      <c r="K246" t="s">
        <v>51</v>
      </c>
      <c r="L246" s="2" t="s">
        <v>23</v>
      </c>
    </row>
    <row r="247" spans="1:12" x14ac:dyDescent="0.3">
      <c r="A247" t="s">
        <v>323</v>
      </c>
      <c r="B247">
        <v>1341</v>
      </c>
      <c r="C247">
        <v>615</v>
      </c>
      <c r="D247">
        <v>4</v>
      </c>
      <c r="E247" t="s">
        <v>13</v>
      </c>
      <c r="F247" t="s">
        <v>39</v>
      </c>
      <c r="G247" t="s">
        <v>15</v>
      </c>
      <c r="H247" s="1">
        <v>44785</v>
      </c>
      <c r="I247" t="s">
        <v>324</v>
      </c>
      <c r="J247" t="s">
        <v>17</v>
      </c>
      <c r="K247" t="s">
        <v>34</v>
      </c>
      <c r="L247" s="2" t="s">
        <v>209</v>
      </c>
    </row>
    <row r="248" spans="1:12" x14ac:dyDescent="0.3">
      <c r="A248" t="s">
        <v>325</v>
      </c>
      <c r="B248">
        <v>9851</v>
      </c>
      <c r="C248">
        <v>2669</v>
      </c>
      <c r="D248">
        <v>19</v>
      </c>
      <c r="E248" t="s">
        <v>13</v>
      </c>
      <c r="F248" t="s">
        <v>14</v>
      </c>
      <c r="G248" t="s">
        <v>32</v>
      </c>
      <c r="H248" s="1">
        <v>44648</v>
      </c>
      <c r="I248" t="s">
        <v>326</v>
      </c>
      <c r="J248" t="s">
        <v>98</v>
      </c>
      <c r="K248" t="s">
        <v>117</v>
      </c>
      <c r="L248" s="2" t="s">
        <v>134</v>
      </c>
    </row>
    <row r="249" spans="1:12" x14ac:dyDescent="0.3">
      <c r="A249" t="s">
        <v>325</v>
      </c>
      <c r="B249">
        <v>9851</v>
      </c>
      <c r="C249">
        <v>2669</v>
      </c>
      <c r="D249">
        <v>19</v>
      </c>
      <c r="E249" t="s">
        <v>13</v>
      </c>
      <c r="F249" t="s">
        <v>14</v>
      </c>
      <c r="G249" t="s">
        <v>32</v>
      </c>
      <c r="H249" s="1">
        <v>45122</v>
      </c>
      <c r="I249" t="s">
        <v>327</v>
      </c>
      <c r="J249" t="s">
        <v>25</v>
      </c>
      <c r="K249" t="s">
        <v>26</v>
      </c>
      <c r="L249" s="2" t="s">
        <v>105</v>
      </c>
    </row>
    <row r="250" spans="1:12" x14ac:dyDescent="0.3">
      <c r="A250" t="s">
        <v>325</v>
      </c>
      <c r="B250">
        <v>9851</v>
      </c>
      <c r="C250">
        <v>2669</v>
      </c>
      <c r="D250">
        <v>19</v>
      </c>
      <c r="E250" t="s">
        <v>13</v>
      </c>
      <c r="F250" t="s">
        <v>14</v>
      </c>
      <c r="G250" t="s">
        <v>32</v>
      </c>
      <c r="H250" s="1">
        <v>44826</v>
      </c>
      <c r="I250" t="s">
        <v>328</v>
      </c>
      <c r="J250" t="s">
        <v>17</v>
      </c>
      <c r="K250" t="s">
        <v>34</v>
      </c>
      <c r="L250" s="2" t="s">
        <v>131</v>
      </c>
    </row>
    <row r="251" spans="1:12" x14ac:dyDescent="0.3">
      <c r="A251" t="s">
        <v>325</v>
      </c>
      <c r="B251">
        <v>9989</v>
      </c>
      <c r="C251">
        <v>3930</v>
      </c>
      <c r="D251">
        <v>14</v>
      </c>
      <c r="E251" t="s">
        <v>45</v>
      </c>
      <c r="F251" t="s">
        <v>46</v>
      </c>
      <c r="G251" t="s">
        <v>32</v>
      </c>
      <c r="H251" s="1">
        <v>44648</v>
      </c>
      <c r="I251" t="s">
        <v>326</v>
      </c>
      <c r="J251" t="s">
        <v>98</v>
      </c>
      <c r="K251" t="s">
        <v>117</v>
      </c>
      <c r="L251" s="2" t="s">
        <v>134</v>
      </c>
    </row>
    <row r="252" spans="1:12" x14ac:dyDescent="0.3">
      <c r="A252" t="s">
        <v>325</v>
      </c>
      <c r="B252">
        <v>9989</v>
      </c>
      <c r="C252">
        <v>3930</v>
      </c>
      <c r="D252">
        <v>14</v>
      </c>
      <c r="E252" t="s">
        <v>45</v>
      </c>
      <c r="F252" t="s">
        <v>46</v>
      </c>
      <c r="G252" t="s">
        <v>32</v>
      </c>
      <c r="H252" s="1">
        <v>45122</v>
      </c>
      <c r="I252" t="s">
        <v>327</v>
      </c>
      <c r="J252" t="s">
        <v>25</v>
      </c>
      <c r="K252" t="s">
        <v>26</v>
      </c>
      <c r="L252" s="2" t="s">
        <v>105</v>
      </c>
    </row>
    <row r="253" spans="1:12" x14ac:dyDescent="0.3">
      <c r="A253" t="s">
        <v>325</v>
      </c>
      <c r="B253">
        <v>9989</v>
      </c>
      <c r="C253">
        <v>3930</v>
      </c>
      <c r="D253">
        <v>14</v>
      </c>
      <c r="E253" t="s">
        <v>45</v>
      </c>
      <c r="F253" t="s">
        <v>46</v>
      </c>
      <c r="G253" t="s">
        <v>32</v>
      </c>
      <c r="H253" s="1">
        <v>44826</v>
      </c>
      <c r="I253" t="s">
        <v>328</v>
      </c>
      <c r="J253" t="s">
        <v>17</v>
      </c>
      <c r="K253" t="s">
        <v>34</v>
      </c>
      <c r="L253" s="2" t="s">
        <v>131</v>
      </c>
    </row>
    <row r="254" spans="1:12" x14ac:dyDescent="0.3">
      <c r="A254" t="s">
        <v>329</v>
      </c>
      <c r="B254">
        <v>7421</v>
      </c>
      <c r="C254">
        <v>958</v>
      </c>
      <c r="D254">
        <v>10</v>
      </c>
      <c r="E254" t="s">
        <v>45</v>
      </c>
      <c r="F254" t="s">
        <v>46</v>
      </c>
      <c r="G254" t="s">
        <v>65</v>
      </c>
      <c r="H254" s="1">
        <v>44915</v>
      </c>
      <c r="I254" t="s">
        <v>330</v>
      </c>
      <c r="J254" t="s">
        <v>71</v>
      </c>
      <c r="K254" t="s">
        <v>138</v>
      </c>
      <c r="L254" s="2" t="s">
        <v>152</v>
      </c>
    </row>
    <row r="255" spans="1:12" x14ac:dyDescent="0.3">
      <c r="A255" t="s">
        <v>329</v>
      </c>
      <c r="B255">
        <v>7421</v>
      </c>
      <c r="C255">
        <v>958</v>
      </c>
      <c r="D255">
        <v>10</v>
      </c>
      <c r="E255" t="s">
        <v>45</v>
      </c>
      <c r="F255" t="s">
        <v>46</v>
      </c>
      <c r="G255" t="s">
        <v>65</v>
      </c>
      <c r="H255" s="1">
        <v>44577</v>
      </c>
      <c r="I255" t="s">
        <v>331</v>
      </c>
      <c r="J255" t="s">
        <v>71</v>
      </c>
      <c r="K255" t="s">
        <v>138</v>
      </c>
      <c r="L255" s="2" t="s">
        <v>87</v>
      </c>
    </row>
    <row r="256" spans="1:12" x14ac:dyDescent="0.3">
      <c r="A256" t="s">
        <v>329</v>
      </c>
      <c r="B256">
        <v>7421</v>
      </c>
      <c r="C256">
        <v>958</v>
      </c>
      <c r="D256">
        <v>10</v>
      </c>
      <c r="E256" t="s">
        <v>45</v>
      </c>
      <c r="F256" t="s">
        <v>46</v>
      </c>
      <c r="G256" t="s">
        <v>65</v>
      </c>
      <c r="H256" s="1">
        <v>44955</v>
      </c>
      <c r="I256" t="s">
        <v>332</v>
      </c>
      <c r="J256" t="s">
        <v>71</v>
      </c>
      <c r="K256" t="s">
        <v>72</v>
      </c>
      <c r="L256" s="2" t="s">
        <v>333</v>
      </c>
    </row>
    <row r="257" spans="1:12" x14ac:dyDescent="0.3">
      <c r="A257" t="s">
        <v>334</v>
      </c>
      <c r="B257">
        <v>3099</v>
      </c>
      <c r="C257">
        <v>479</v>
      </c>
      <c r="D257">
        <v>1</v>
      </c>
      <c r="E257" t="s">
        <v>30</v>
      </c>
      <c r="F257" t="s">
        <v>64</v>
      </c>
      <c r="G257" t="s">
        <v>65</v>
      </c>
      <c r="H257" s="1">
        <v>44576</v>
      </c>
      <c r="I257" t="s">
        <v>335</v>
      </c>
      <c r="J257" t="s">
        <v>25</v>
      </c>
      <c r="K257" t="s">
        <v>26</v>
      </c>
      <c r="L257" s="2" t="s">
        <v>87</v>
      </c>
    </row>
    <row r="258" spans="1:12" x14ac:dyDescent="0.3">
      <c r="A258" t="s">
        <v>334</v>
      </c>
      <c r="B258">
        <v>2521</v>
      </c>
      <c r="C258">
        <v>906</v>
      </c>
      <c r="D258">
        <v>7</v>
      </c>
      <c r="E258" t="s">
        <v>13</v>
      </c>
      <c r="F258" t="s">
        <v>82</v>
      </c>
      <c r="G258" t="s">
        <v>65</v>
      </c>
      <c r="H258" s="1">
        <v>44576</v>
      </c>
      <c r="I258" t="s">
        <v>335</v>
      </c>
      <c r="J258" t="s">
        <v>25</v>
      </c>
      <c r="K258" t="s">
        <v>26</v>
      </c>
      <c r="L258" s="2" t="s">
        <v>87</v>
      </c>
    </row>
    <row r="259" spans="1:12" x14ac:dyDescent="0.3">
      <c r="A259" t="s">
        <v>336</v>
      </c>
      <c r="B259">
        <v>6962</v>
      </c>
      <c r="C259">
        <v>3429</v>
      </c>
      <c r="D259">
        <v>12</v>
      </c>
      <c r="E259" t="s">
        <v>13</v>
      </c>
      <c r="F259" t="s">
        <v>14</v>
      </c>
      <c r="G259" t="s">
        <v>15</v>
      </c>
      <c r="H259" s="1">
        <v>45375</v>
      </c>
      <c r="I259" t="s">
        <v>337</v>
      </c>
      <c r="J259" t="s">
        <v>71</v>
      </c>
      <c r="K259" t="s">
        <v>72</v>
      </c>
      <c r="L259" s="2" t="s">
        <v>338</v>
      </c>
    </row>
    <row r="260" spans="1:12" x14ac:dyDescent="0.3">
      <c r="A260" t="s">
        <v>336</v>
      </c>
      <c r="B260">
        <v>6962</v>
      </c>
      <c r="C260">
        <v>3429</v>
      </c>
      <c r="D260">
        <v>12</v>
      </c>
      <c r="E260" t="s">
        <v>13</v>
      </c>
      <c r="F260" t="s">
        <v>14</v>
      </c>
      <c r="G260" t="s">
        <v>15</v>
      </c>
      <c r="H260" s="1">
        <v>45707</v>
      </c>
      <c r="I260" t="s">
        <v>339</v>
      </c>
      <c r="J260" t="s">
        <v>17</v>
      </c>
      <c r="K260" t="s">
        <v>18</v>
      </c>
      <c r="L260" s="2" t="s">
        <v>73</v>
      </c>
    </row>
    <row r="261" spans="1:12" x14ac:dyDescent="0.3">
      <c r="A261" t="s">
        <v>340</v>
      </c>
      <c r="B261">
        <v>1085</v>
      </c>
      <c r="C261">
        <v>301</v>
      </c>
      <c r="D261">
        <v>20</v>
      </c>
      <c r="E261" t="s">
        <v>45</v>
      </c>
      <c r="F261" t="s">
        <v>109</v>
      </c>
      <c r="G261" t="s">
        <v>15</v>
      </c>
      <c r="H261" s="1">
        <v>45486</v>
      </c>
      <c r="I261" t="s">
        <v>341</v>
      </c>
      <c r="J261" t="s">
        <v>25</v>
      </c>
      <c r="K261" t="s">
        <v>26</v>
      </c>
      <c r="L261" s="2" t="s">
        <v>215</v>
      </c>
    </row>
    <row r="262" spans="1:12" x14ac:dyDescent="0.3">
      <c r="A262" t="s">
        <v>342</v>
      </c>
      <c r="B262">
        <v>738</v>
      </c>
      <c r="C262">
        <v>342</v>
      </c>
      <c r="D262">
        <v>2</v>
      </c>
      <c r="E262" t="s">
        <v>45</v>
      </c>
      <c r="F262" t="s">
        <v>49</v>
      </c>
      <c r="G262" t="s">
        <v>32</v>
      </c>
      <c r="H262" s="1">
        <v>45044</v>
      </c>
      <c r="I262" t="s">
        <v>343</v>
      </c>
      <c r="J262" t="s">
        <v>98</v>
      </c>
      <c r="K262" t="s">
        <v>107</v>
      </c>
      <c r="L262" s="2" t="s">
        <v>145</v>
      </c>
    </row>
    <row r="263" spans="1:12" x14ac:dyDescent="0.3">
      <c r="A263" t="s">
        <v>342</v>
      </c>
      <c r="B263">
        <v>738</v>
      </c>
      <c r="C263">
        <v>342</v>
      </c>
      <c r="D263">
        <v>2</v>
      </c>
      <c r="E263" t="s">
        <v>45</v>
      </c>
      <c r="F263" t="s">
        <v>49</v>
      </c>
      <c r="G263" t="s">
        <v>32</v>
      </c>
      <c r="H263" s="1">
        <v>44170</v>
      </c>
      <c r="I263" t="s">
        <v>344</v>
      </c>
      <c r="J263" t="s">
        <v>25</v>
      </c>
      <c r="K263" t="s">
        <v>26</v>
      </c>
      <c r="L263" s="2" t="s">
        <v>287</v>
      </c>
    </row>
    <row r="264" spans="1:12" x14ac:dyDescent="0.3">
      <c r="A264" t="s">
        <v>342</v>
      </c>
      <c r="B264">
        <v>738</v>
      </c>
      <c r="C264">
        <v>342</v>
      </c>
      <c r="D264">
        <v>2</v>
      </c>
      <c r="E264" t="s">
        <v>45</v>
      </c>
      <c r="F264" t="s">
        <v>49</v>
      </c>
      <c r="G264" t="s">
        <v>32</v>
      </c>
      <c r="H264" s="1">
        <v>45426</v>
      </c>
      <c r="I264" t="s">
        <v>345</v>
      </c>
      <c r="J264" t="s">
        <v>98</v>
      </c>
      <c r="K264" t="s">
        <v>107</v>
      </c>
      <c r="L264" s="2" t="s">
        <v>35</v>
      </c>
    </row>
    <row r="265" spans="1:12" x14ac:dyDescent="0.3">
      <c r="A265" t="s">
        <v>342</v>
      </c>
      <c r="B265">
        <v>738</v>
      </c>
      <c r="C265">
        <v>342</v>
      </c>
      <c r="D265">
        <v>2</v>
      </c>
      <c r="E265" t="s">
        <v>45</v>
      </c>
      <c r="F265" t="s">
        <v>49</v>
      </c>
      <c r="G265" t="s">
        <v>32</v>
      </c>
      <c r="H265" s="1">
        <v>44579</v>
      </c>
      <c r="I265" t="s">
        <v>346</v>
      </c>
      <c r="J265" t="s">
        <v>25</v>
      </c>
      <c r="K265" t="s">
        <v>51</v>
      </c>
      <c r="L265" s="2" t="s">
        <v>87</v>
      </c>
    </row>
    <row r="266" spans="1:12" x14ac:dyDescent="0.3">
      <c r="A266" t="s">
        <v>347</v>
      </c>
      <c r="B266">
        <v>1366</v>
      </c>
      <c r="C266">
        <v>242</v>
      </c>
      <c r="D266">
        <v>17</v>
      </c>
      <c r="E266" t="s">
        <v>13</v>
      </c>
      <c r="F266" t="s">
        <v>14</v>
      </c>
      <c r="G266" t="s">
        <v>40</v>
      </c>
      <c r="H266" s="1">
        <v>45187</v>
      </c>
      <c r="I266" t="s">
        <v>348</v>
      </c>
      <c r="J266" t="s">
        <v>98</v>
      </c>
      <c r="K266" t="s">
        <v>99</v>
      </c>
      <c r="L266" s="2" t="s">
        <v>273</v>
      </c>
    </row>
    <row r="267" spans="1:12" x14ac:dyDescent="0.3">
      <c r="A267" t="s">
        <v>347</v>
      </c>
      <c r="B267">
        <v>1518</v>
      </c>
      <c r="C267">
        <v>155</v>
      </c>
      <c r="D267">
        <v>13</v>
      </c>
      <c r="E267" t="s">
        <v>30</v>
      </c>
      <c r="F267" t="s">
        <v>57</v>
      </c>
      <c r="G267" t="s">
        <v>47</v>
      </c>
      <c r="H267" s="1">
        <v>45187</v>
      </c>
      <c r="I267" t="s">
        <v>348</v>
      </c>
      <c r="J267" t="s">
        <v>98</v>
      </c>
      <c r="K267" t="s">
        <v>99</v>
      </c>
      <c r="L267" s="2" t="s">
        <v>273</v>
      </c>
    </row>
    <row r="268" spans="1:12" x14ac:dyDescent="0.3">
      <c r="A268" t="s">
        <v>349</v>
      </c>
      <c r="B268">
        <v>2962</v>
      </c>
      <c r="C268">
        <v>1470</v>
      </c>
      <c r="D268">
        <v>1</v>
      </c>
      <c r="E268" t="s">
        <v>13</v>
      </c>
      <c r="F268" t="s">
        <v>82</v>
      </c>
      <c r="G268" t="s">
        <v>65</v>
      </c>
      <c r="H268" s="1">
        <v>44328</v>
      </c>
      <c r="I268" t="s">
        <v>350</v>
      </c>
      <c r="J268" t="s">
        <v>25</v>
      </c>
      <c r="K268" t="s">
        <v>26</v>
      </c>
      <c r="L268" s="2" t="s">
        <v>108</v>
      </c>
    </row>
    <row r="269" spans="1:12" x14ac:dyDescent="0.3">
      <c r="A269" t="s">
        <v>349</v>
      </c>
      <c r="B269">
        <v>2962</v>
      </c>
      <c r="C269">
        <v>1470</v>
      </c>
      <c r="D269">
        <v>1</v>
      </c>
      <c r="E269" t="s">
        <v>13</v>
      </c>
      <c r="F269" t="s">
        <v>82</v>
      </c>
      <c r="G269" t="s">
        <v>65</v>
      </c>
      <c r="H269" s="1">
        <v>45186</v>
      </c>
      <c r="I269" t="s">
        <v>351</v>
      </c>
      <c r="J269" t="s">
        <v>17</v>
      </c>
      <c r="K269" t="s">
        <v>150</v>
      </c>
      <c r="L269" s="2" t="s">
        <v>273</v>
      </c>
    </row>
    <row r="270" spans="1:12" x14ac:dyDescent="0.3">
      <c r="A270" t="s">
        <v>349</v>
      </c>
      <c r="B270">
        <v>7131</v>
      </c>
      <c r="C270">
        <v>718</v>
      </c>
      <c r="D270">
        <v>12</v>
      </c>
      <c r="E270" t="s">
        <v>13</v>
      </c>
      <c r="F270" t="s">
        <v>28</v>
      </c>
      <c r="G270" t="s">
        <v>15</v>
      </c>
      <c r="H270" s="1">
        <v>44328</v>
      </c>
      <c r="I270" t="s">
        <v>350</v>
      </c>
      <c r="J270" t="s">
        <v>25</v>
      </c>
      <c r="K270" t="s">
        <v>26</v>
      </c>
      <c r="L270" s="2" t="s">
        <v>108</v>
      </c>
    </row>
    <row r="271" spans="1:12" x14ac:dyDescent="0.3">
      <c r="A271" t="s">
        <v>349</v>
      </c>
      <c r="B271">
        <v>7131</v>
      </c>
      <c r="C271">
        <v>718</v>
      </c>
      <c r="D271">
        <v>12</v>
      </c>
      <c r="E271" t="s">
        <v>13</v>
      </c>
      <c r="F271" t="s">
        <v>28</v>
      </c>
      <c r="G271" t="s">
        <v>15</v>
      </c>
      <c r="H271" s="1">
        <v>45186</v>
      </c>
      <c r="I271" t="s">
        <v>351</v>
      </c>
      <c r="J271" t="s">
        <v>17</v>
      </c>
      <c r="K271" t="s">
        <v>150</v>
      </c>
      <c r="L271" s="2" t="s">
        <v>273</v>
      </c>
    </row>
    <row r="272" spans="1:12" x14ac:dyDescent="0.3">
      <c r="A272" t="s">
        <v>349</v>
      </c>
      <c r="B272">
        <v>4200</v>
      </c>
      <c r="C272">
        <v>855</v>
      </c>
      <c r="D272">
        <v>10</v>
      </c>
      <c r="E272" t="s">
        <v>30</v>
      </c>
      <c r="F272" t="s">
        <v>57</v>
      </c>
      <c r="G272" t="s">
        <v>40</v>
      </c>
      <c r="H272" s="1">
        <v>44328</v>
      </c>
      <c r="I272" t="s">
        <v>350</v>
      </c>
      <c r="J272" t="s">
        <v>25</v>
      </c>
      <c r="K272" t="s">
        <v>26</v>
      </c>
      <c r="L272" s="2" t="s">
        <v>108</v>
      </c>
    </row>
    <row r="273" spans="1:12" x14ac:dyDescent="0.3">
      <c r="A273" t="s">
        <v>349</v>
      </c>
      <c r="B273">
        <v>4200</v>
      </c>
      <c r="C273">
        <v>855</v>
      </c>
      <c r="D273">
        <v>10</v>
      </c>
      <c r="E273" t="s">
        <v>30</v>
      </c>
      <c r="F273" t="s">
        <v>57</v>
      </c>
      <c r="G273" t="s">
        <v>40</v>
      </c>
      <c r="H273" s="1">
        <v>45186</v>
      </c>
      <c r="I273" t="s">
        <v>351</v>
      </c>
      <c r="J273" t="s">
        <v>17</v>
      </c>
      <c r="K273" t="s">
        <v>150</v>
      </c>
      <c r="L273" s="2" t="s">
        <v>273</v>
      </c>
    </row>
    <row r="274" spans="1:12" x14ac:dyDescent="0.3">
      <c r="A274" t="s">
        <v>352</v>
      </c>
      <c r="B274">
        <v>5934</v>
      </c>
      <c r="C274">
        <v>1563</v>
      </c>
      <c r="D274">
        <v>2</v>
      </c>
      <c r="E274" t="s">
        <v>30</v>
      </c>
      <c r="F274" t="s">
        <v>57</v>
      </c>
      <c r="G274" t="s">
        <v>40</v>
      </c>
      <c r="H274" s="1">
        <v>45541</v>
      </c>
      <c r="I274" t="s">
        <v>353</v>
      </c>
      <c r="J274" t="s">
        <v>21</v>
      </c>
      <c r="K274" t="s">
        <v>172</v>
      </c>
      <c r="L274" s="2" t="s">
        <v>159</v>
      </c>
    </row>
    <row r="275" spans="1:12" x14ac:dyDescent="0.3">
      <c r="A275" t="s">
        <v>354</v>
      </c>
      <c r="B275">
        <v>2701</v>
      </c>
      <c r="C275">
        <v>322</v>
      </c>
      <c r="D275">
        <v>11</v>
      </c>
      <c r="E275" t="s">
        <v>13</v>
      </c>
      <c r="F275" t="s">
        <v>28</v>
      </c>
      <c r="G275" t="s">
        <v>15</v>
      </c>
      <c r="H275" s="1">
        <v>44730</v>
      </c>
      <c r="I275" t="s">
        <v>355</v>
      </c>
      <c r="J275" t="s">
        <v>25</v>
      </c>
      <c r="K275" t="s">
        <v>51</v>
      </c>
      <c r="L275" s="2" t="s">
        <v>165</v>
      </c>
    </row>
    <row r="276" spans="1:12" x14ac:dyDescent="0.3">
      <c r="A276" t="s">
        <v>354</v>
      </c>
      <c r="B276">
        <v>7273</v>
      </c>
      <c r="C276">
        <v>2702</v>
      </c>
      <c r="D276">
        <v>18</v>
      </c>
      <c r="E276" t="s">
        <v>30</v>
      </c>
      <c r="F276" t="s">
        <v>64</v>
      </c>
      <c r="G276" t="s">
        <v>65</v>
      </c>
      <c r="H276" s="1">
        <v>44730</v>
      </c>
      <c r="I276" t="s">
        <v>355</v>
      </c>
      <c r="J276" t="s">
        <v>25</v>
      </c>
      <c r="K276" t="s">
        <v>51</v>
      </c>
      <c r="L276" s="2" t="s">
        <v>165</v>
      </c>
    </row>
    <row r="277" spans="1:12" x14ac:dyDescent="0.3">
      <c r="A277" t="s">
        <v>356</v>
      </c>
      <c r="B277">
        <v>2465</v>
      </c>
      <c r="C277">
        <v>699</v>
      </c>
      <c r="D277">
        <v>18</v>
      </c>
      <c r="E277" t="s">
        <v>30</v>
      </c>
      <c r="F277" t="s">
        <v>57</v>
      </c>
      <c r="G277" t="s">
        <v>32</v>
      </c>
      <c r="H277" s="1">
        <v>43973</v>
      </c>
      <c r="I277" t="s">
        <v>357</v>
      </c>
      <c r="J277" t="s">
        <v>42</v>
      </c>
      <c r="K277" t="s">
        <v>92</v>
      </c>
      <c r="L277" s="2" t="s">
        <v>59</v>
      </c>
    </row>
    <row r="278" spans="1:12" x14ac:dyDescent="0.3">
      <c r="A278" t="s">
        <v>358</v>
      </c>
      <c r="B278">
        <v>3479</v>
      </c>
      <c r="C278">
        <v>1087</v>
      </c>
      <c r="D278">
        <v>2</v>
      </c>
      <c r="E278" t="s">
        <v>30</v>
      </c>
      <c r="F278" t="s">
        <v>57</v>
      </c>
      <c r="G278" t="s">
        <v>40</v>
      </c>
      <c r="H278" s="1">
        <v>45582</v>
      </c>
      <c r="I278" t="s">
        <v>359</v>
      </c>
      <c r="J278" t="s">
        <v>71</v>
      </c>
      <c r="K278" t="s">
        <v>72</v>
      </c>
      <c r="L278" s="2" t="s">
        <v>360</v>
      </c>
    </row>
    <row r="279" spans="1:12" x14ac:dyDescent="0.3">
      <c r="A279" t="s">
        <v>358</v>
      </c>
      <c r="B279">
        <v>5457</v>
      </c>
      <c r="C279">
        <v>1765</v>
      </c>
      <c r="D279">
        <v>7</v>
      </c>
      <c r="E279" t="s">
        <v>13</v>
      </c>
      <c r="F279" t="s">
        <v>28</v>
      </c>
      <c r="G279" t="s">
        <v>40</v>
      </c>
      <c r="H279" s="1">
        <v>45582</v>
      </c>
      <c r="I279" t="s">
        <v>359</v>
      </c>
      <c r="J279" t="s">
        <v>71</v>
      </c>
      <c r="K279" t="s">
        <v>72</v>
      </c>
      <c r="L279" s="2" t="s">
        <v>360</v>
      </c>
    </row>
    <row r="280" spans="1:12" x14ac:dyDescent="0.3">
      <c r="A280" t="s">
        <v>361</v>
      </c>
      <c r="B280">
        <v>4957</v>
      </c>
      <c r="C280">
        <v>1152</v>
      </c>
      <c r="D280">
        <v>8</v>
      </c>
      <c r="E280" t="s">
        <v>30</v>
      </c>
      <c r="F280" t="s">
        <v>57</v>
      </c>
      <c r="G280" t="s">
        <v>47</v>
      </c>
      <c r="H280" s="1">
        <v>44642</v>
      </c>
      <c r="I280" t="s">
        <v>362</v>
      </c>
      <c r="J280" t="s">
        <v>98</v>
      </c>
      <c r="K280" t="s">
        <v>117</v>
      </c>
      <c r="L280" s="2" t="s">
        <v>134</v>
      </c>
    </row>
    <row r="281" spans="1:12" x14ac:dyDescent="0.3">
      <c r="A281" t="s">
        <v>363</v>
      </c>
      <c r="B281">
        <v>4404</v>
      </c>
      <c r="C281">
        <v>858</v>
      </c>
      <c r="D281">
        <v>17</v>
      </c>
      <c r="E281" t="s">
        <v>30</v>
      </c>
      <c r="F281" t="s">
        <v>31</v>
      </c>
      <c r="G281" t="s">
        <v>32</v>
      </c>
      <c r="H281" s="1">
        <v>45368</v>
      </c>
      <c r="I281" t="s">
        <v>364</v>
      </c>
      <c r="J281" t="s">
        <v>98</v>
      </c>
      <c r="K281" t="s">
        <v>99</v>
      </c>
      <c r="L281" s="2" t="s">
        <v>338</v>
      </c>
    </row>
    <row r="282" spans="1:12" x14ac:dyDescent="0.3">
      <c r="A282" t="s">
        <v>363</v>
      </c>
      <c r="B282">
        <v>8776</v>
      </c>
      <c r="C282">
        <v>2529</v>
      </c>
      <c r="D282">
        <v>15</v>
      </c>
      <c r="E282" t="s">
        <v>45</v>
      </c>
      <c r="F282" t="s">
        <v>60</v>
      </c>
      <c r="G282" t="s">
        <v>47</v>
      </c>
      <c r="H282" s="1">
        <v>45368</v>
      </c>
      <c r="I282" t="s">
        <v>364</v>
      </c>
      <c r="J282" t="s">
        <v>98</v>
      </c>
      <c r="K282" t="s">
        <v>99</v>
      </c>
      <c r="L282" s="2" t="s">
        <v>338</v>
      </c>
    </row>
    <row r="283" spans="1:12" x14ac:dyDescent="0.3">
      <c r="A283" t="s">
        <v>365</v>
      </c>
      <c r="B283">
        <v>9536</v>
      </c>
      <c r="C283">
        <v>1437</v>
      </c>
      <c r="D283">
        <v>9</v>
      </c>
      <c r="E283" t="s">
        <v>13</v>
      </c>
      <c r="F283" t="s">
        <v>82</v>
      </c>
      <c r="G283" t="s">
        <v>15</v>
      </c>
      <c r="H283" s="1">
        <v>43923</v>
      </c>
      <c r="I283" t="s">
        <v>366</v>
      </c>
      <c r="J283" t="s">
        <v>17</v>
      </c>
      <c r="K283" t="s">
        <v>34</v>
      </c>
      <c r="L283" s="2" t="s">
        <v>162</v>
      </c>
    </row>
    <row r="284" spans="1:12" x14ac:dyDescent="0.3">
      <c r="A284" t="s">
        <v>365</v>
      </c>
      <c r="B284">
        <v>2225</v>
      </c>
      <c r="C284">
        <v>589</v>
      </c>
      <c r="D284">
        <v>7</v>
      </c>
      <c r="E284" t="s">
        <v>45</v>
      </c>
      <c r="F284" t="s">
        <v>60</v>
      </c>
      <c r="G284" t="s">
        <v>47</v>
      </c>
      <c r="H284" s="1">
        <v>43923</v>
      </c>
      <c r="I284" t="s">
        <v>366</v>
      </c>
      <c r="J284" t="s">
        <v>17</v>
      </c>
      <c r="K284" t="s">
        <v>34</v>
      </c>
      <c r="L284" s="2" t="s">
        <v>162</v>
      </c>
    </row>
    <row r="285" spans="1:12" x14ac:dyDescent="0.3">
      <c r="A285" t="s">
        <v>367</v>
      </c>
      <c r="B285">
        <v>9574</v>
      </c>
      <c r="C285">
        <v>4045</v>
      </c>
      <c r="D285">
        <v>19</v>
      </c>
      <c r="E285" t="s">
        <v>45</v>
      </c>
      <c r="F285" t="s">
        <v>109</v>
      </c>
      <c r="G285" t="s">
        <v>15</v>
      </c>
      <c r="H285" s="1">
        <v>45364</v>
      </c>
      <c r="I285" t="s">
        <v>368</v>
      </c>
      <c r="J285" t="s">
        <v>42</v>
      </c>
      <c r="K285" t="s">
        <v>92</v>
      </c>
      <c r="L285" s="2" t="s">
        <v>338</v>
      </c>
    </row>
    <row r="286" spans="1:12" x14ac:dyDescent="0.3">
      <c r="A286" t="s">
        <v>367</v>
      </c>
      <c r="B286">
        <v>4382</v>
      </c>
      <c r="C286">
        <v>482</v>
      </c>
      <c r="D286">
        <v>17</v>
      </c>
      <c r="E286" t="s">
        <v>13</v>
      </c>
      <c r="F286" t="s">
        <v>14</v>
      </c>
      <c r="G286" t="s">
        <v>65</v>
      </c>
      <c r="H286" s="1">
        <v>45364</v>
      </c>
      <c r="I286" t="s">
        <v>368</v>
      </c>
      <c r="J286" t="s">
        <v>42</v>
      </c>
      <c r="K286" t="s">
        <v>92</v>
      </c>
      <c r="L286" s="2" t="s">
        <v>338</v>
      </c>
    </row>
    <row r="287" spans="1:12" x14ac:dyDescent="0.3">
      <c r="A287" t="s">
        <v>369</v>
      </c>
      <c r="B287">
        <v>8200</v>
      </c>
      <c r="C287">
        <v>257</v>
      </c>
      <c r="D287">
        <v>19</v>
      </c>
      <c r="E287" t="s">
        <v>13</v>
      </c>
      <c r="F287" t="s">
        <v>39</v>
      </c>
      <c r="G287" t="s">
        <v>65</v>
      </c>
      <c r="H287" s="1">
        <v>45006</v>
      </c>
      <c r="I287" t="s">
        <v>370</v>
      </c>
      <c r="J287" t="s">
        <v>98</v>
      </c>
      <c r="K287" t="s">
        <v>107</v>
      </c>
      <c r="L287" s="2" t="s">
        <v>245</v>
      </c>
    </row>
    <row r="288" spans="1:12" x14ac:dyDescent="0.3">
      <c r="A288" t="s">
        <v>369</v>
      </c>
      <c r="B288">
        <v>9316</v>
      </c>
      <c r="C288">
        <v>3003</v>
      </c>
      <c r="D288">
        <v>13</v>
      </c>
      <c r="E288" t="s">
        <v>45</v>
      </c>
      <c r="F288" t="s">
        <v>60</v>
      </c>
      <c r="G288" t="s">
        <v>47</v>
      </c>
      <c r="H288" s="1">
        <v>45006</v>
      </c>
      <c r="I288" t="s">
        <v>370</v>
      </c>
      <c r="J288" t="s">
        <v>98</v>
      </c>
      <c r="K288" t="s">
        <v>107</v>
      </c>
      <c r="L288" s="2" t="s">
        <v>245</v>
      </c>
    </row>
    <row r="289" spans="1:12" x14ac:dyDescent="0.3">
      <c r="A289" t="s">
        <v>369</v>
      </c>
      <c r="B289">
        <v>6379</v>
      </c>
      <c r="C289">
        <v>3128</v>
      </c>
      <c r="D289">
        <v>15</v>
      </c>
      <c r="E289" t="s">
        <v>13</v>
      </c>
      <c r="F289" t="s">
        <v>14</v>
      </c>
      <c r="G289" t="s">
        <v>65</v>
      </c>
      <c r="H289" s="1">
        <v>45006</v>
      </c>
      <c r="I289" t="s">
        <v>370</v>
      </c>
      <c r="J289" t="s">
        <v>98</v>
      </c>
      <c r="K289" t="s">
        <v>107</v>
      </c>
      <c r="L289" s="2" t="s">
        <v>245</v>
      </c>
    </row>
    <row r="290" spans="1:12" x14ac:dyDescent="0.3">
      <c r="A290" t="s">
        <v>371</v>
      </c>
      <c r="B290">
        <v>3348</v>
      </c>
      <c r="C290">
        <v>568</v>
      </c>
      <c r="D290">
        <v>5</v>
      </c>
      <c r="E290" t="s">
        <v>30</v>
      </c>
      <c r="F290" t="s">
        <v>57</v>
      </c>
      <c r="G290" t="s">
        <v>47</v>
      </c>
      <c r="H290" s="1">
        <v>45353</v>
      </c>
      <c r="I290" t="s">
        <v>372</v>
      </c>
      <c r="J290" t="s">
        <v>98</v>
      </c>
      <c r="K290" t="s">
        <v>117</v>
      </c>
      <c r="L290" s="2" t="s">
        <v>338</v>
      </c>
    </row>
    <row r="291" spans="1:12" x14ac:dyDescent="0.3">
      <c r="A291" t="s">
        <v>371</v>
      </c>
      <c r="B291">
        <v>3348</v>
      </c>
      <c r="C291">
        <v>568</v>
      </c>
      <c r="D291">
        <v>5</v>
      </c>
      <c r="E291" t="s">
        <v>30</v>
      </c>
      <c r="F291" t="s">
        <v>57</v>
      </c>
      <c r="G291" t="s">
        <v>47</v>
      </c>
      <c r="H291" s="1">
        <v>44316</v>
      </c>
      <c r="I291" t="s">
        <v>373</v>
      </c>
      <c r="J291" t="s">
        <v>25</v>
      </c>
      <c r="K291" t="s">
        <v>68</v>
      </c>
      <c r="L291" s="2" t="s">
        <v>139</v>
      </c>
    </row>
    <row r="292" spans="1:12" x14ac:dyDescent="0.3">
      <c r="A292" t="s">
        <v>371</v>
      </c>
      <c r="B292">
        <v>8856</v>
      </c>
      <c r="C292">
        <v>2020</v>
      </c>
      <c r="D292">
        <v>9</v>
      </c>
      <c r="E292" t="s">
        <v>30</v>
      </c>
      <c r="F292" t="s">
        <v>31</v>
      </c>
      <c r="G292" t="s">
        <v>32</v>
      </c>
      <c r="H292" s="1">
        <v>45353</v>
      </c>
      <c r="I292" t="s">
        <v>372</v>
      </c>
      <c r="J292" t="s">
        <v>98</v>
      </c>
      <c r="K292" t="s">
        <v>117</v>
      </c>
      <c r="L292" s="2" t="s">
        <v>338</v>
      </c>
    </row>
    <row r="293" spans="1:12" x14ac:dyDescent="0.3">
      <c r="A293" t="s">
        <v>371</v>
      </c>
      <c r="B293">
        <v>8856</v>
      </c>
      <c r="C293">
        <v>2020</v>
      </c>
      <c r="D293">
        <v>9</v>
      </c>
      <c r="E293" t="s">
        <v>30</v>
      </c>
      <c r="F293" t="s">
        <v>31</v>
      </c>
      <c r="G293" t="s">
        <v>32</v>
      </c>
      <c r="H293" s="1">
        <v>44316</v>
      </c>
      <c r="I293" t="s">
        <v>373</v>
      </c>
      <c r="J293" t="s">
        <v>25</v>
      </c>
      <c r="K293" t="s">
        <v>68</v>
      </c>
      <c r="L293" s="2" t="s">
        <v>139</v>
      </c>
    </row>
    <row r="294" spans="1:12" x14ac:dyDescent="0.3">
      <c r="A294" t="s">
        <v>374</v>
      </c>
      <c r="B294">
        <v>1760</v>
      </c>
      <c r="C294">
        <v>619</v>
      </c>
      <c r="D294">
        <v>16</v>
      </c>
      <c r="E294" t="s">
        <v>45</v>
      </c>
      <c r="F294" t="s">
        <v>60</v>
      </c>
      <c r="G294" t="s">
        <v>32</v>
      </c>
      <c r="H294" s="1">
        <v>44454</v>
      </c>
      <c r="I294" t="s">
        <v>375</v>
      </c>
      <c r="J294" t="s">
        <v>98</v>
      </c>
      <c r="K294" t="s">
        <v>99</v>
      </c>
      <c r="L294" s="2" t="s">
        <v>224</v>
      </c>
    </row>
    <row r="295" spans="1:12" x14ac:dyDescent="0.3">
      <c r="A295" t="s">
        <v>374</v>
      </c>
      <c r="B295">
        <v>1760</v>
      </c>
      <c r="C295">
        <v>619</v>
      </c>
      <c r="D295">
        <v>16</v>
      </c>
      <c r="E295" t="s">
        <v>45</v>
      </c>
      <c r="F295" t="s">
        <v>60</v>
      </c>
      <c r="G295" t="s">
        <v>32</v>
      </c>
      <c r="H295" s="1">
        <v>44954</v>
      </c>
      <c r="I295" t="s">
        <v>376</v>
      </c>
      <c r="J295" t="s">
        <v>71</v>
      </c>
      <c r="K295" t="s">
        <v>138</v>
      </c>
      <c r="L295" s="2" t="s">
        <v>333</v>
      </c>
    </row>
    <row r="296" spans="1:12" x14ac:dyDescent="0.3">
      <c r="A296" t="s">
        <v>374</v>
      </c>
      <c r="B296">
        <v>6351</v>
      </c>
      <c r="C296">
        <v>986</v>
      </c>
      <c r="D296">
        <v>15</v>
      </c>
      <c r="E296" t="s">
        <v>13</v>
      </c>
      <c r="F296" t="s">
        <v>28</v>
      </c>
      <c r="G296" t="s">
        <v>15</v>
      </c>
      <c r="H296" s="1">
        <v>44454</v>
      </c>
      <c r="I296" t="s">
        <v>375</v>
      </c>
      <c r="J296" t="s">
        <v>98</v>
      </c>
      <c r="K296" t="s">
        <v>99</v>
      </c>
      <c r="L296" s="2" t="s">
        <v>224</v>
      </c>
    </row>
    <row r="297" spans="1:12" x14ac:dyDescent="0.3">
      <c r="A297" t="s">
        <v>374</v>
      </c>
      <c r="B297">
        <v>6351</v>
      </c>
      <c r="C297">
        <v>986</v>
      </c>
      <c r="D297">
        <v>15</v>
      </c>
      <c r="E297" t="s">
        <v>13</v>
      </c>
      <c r="F297" t="s">
        <v>28</v>
      </c>
      <c r="G297" t="s">
        <v>15</v>
      </c>
      <c r="H297" s="1">
        <v>44954</v>
      </c>
      <c r="I297" t="s">
        <v>376</v>
      </c>
      <c r="J297" t="s">
        <v>71</v>
      </c>
      <c r="K297" t="s">
        <v>138</v>
      </c>
      <c r="L297" s="2" t="s">
        <v>333</v>
      </c>
    </row>
    <row r="298" spans="1:12" x14ac:dyDescent="0.3">
      <c r="A298" t="s">
        <v>377</v>
      </c>
      <c r="B298">
        <v>869</v>
      </c>
      <c r="C298">
        <v>373</v>
      </c>
      <c r="D298">
        <v>14</v>
      </c>
      <c r="E298" t="s">
        <v>30</v>
      </c>
      <c r="F298" t="s">
        <v>64</v>
      </c>
      <c r="G298" t="s">
        <v>47</v>
      </c>
      <c r="H298" s="1">
        <v>44385</v>
      </c>
      <c r="I298" t="s">
        <v>378</v>
      </c>
      <c r="J298" t="s">
        <v>25</v>
      </c>
      <c r="K298" t="s">
        <v>51</v>
      </c>
      <c r="L298" s="2" t="s">
        <v>27</v>
      </c>
    </row>
    <row r="299" spans="1:12" x14ac:dyDescent="0.3">
      <c r="A299" t="s">
        <v>377</v>
      </c>
      <c r="B299">
        <v>869</v>
      </c>
      <c r="C299">
        <v>373</v>
      </c>
      <c r="D299">
        <v>14</v>
      </c>
      <c r="E299" t="s">
        <v>30</v>
      </c>
      <c r="F299" t="s">
        <v>64</v>
      </c>
      <c r="G299" t="s">
        <v>47</v>
      </c>
      <c r="H299" s="1">
        <v>43929</v>
      </c>
      <c r="I299" t="s">
        <v>379</v>
      </c>
      <c r="J299" t="s">
        <v>98</v>
      </c>
      <c r="K299" t="s">
        <v>117</v>
      </c>
      <c r="L299" s="2" t="s">
        <v>162</v>
      </c>
    </row>
    <row r="300" spans="1:12" x14ac:dyDescent="0.3">
      <c r="A300" t="s">
        <v>377</v>
      </c>
      <c r="B300">
        <v>1486</v>
      </c>
      <c r="C300">
        <v>114</v>
      </c>
      <c r="D300">
        <v>7</v>
      </c>
      <c r="E300" t="s">
        <v>45</v>
      </c>
      <c r="F300" t="s">
        <v>109</v>
      </c>
      <c r="G300" t="s">
        <v>15</v>
      </c>
      <c r="H300" s="1">
        <v>44385</v>
      </c>
      <c r="I300" t="s">
        <v>378</v>
      </c>
      <c r="J300" t="s">
        <v>25</v>
      </c>
      <c r="K300" t="s">
        <v>51</v>
      </c>
      <c r="L300" s="2" t="s">
        <v>27</v>
      </c>
    </row>
    <row r="301" spans="1:12" x14ac:dyDescent="0.3">
      <c r="A301" t="s">
        <v>377</v>
      </c>
      <c r="B301">
        <v>1486</v>
      </c>
      <c r="C301">
        <v>114</v>
      </c>
      <c r="D301">
        <v>7</v>
      </c>
      <c r="E301" t="s">
        <v>45</v>
      </c>
      <c r="F301" t="s">
        <v>109</v>
      </c>
      <c r="G301" t="s">
        <v>15</v>
      </c>
      <c r="H301" s="1">
        <v>43929</v>
      </c>
      <c r="I301" t="s">
        <v>379</v>
      </c>
      <c r="J301" t="s">
        <v>98</v>
      </c>
      <c r="K301" t="s">
        <v>117</v>
      </c>
      <c r="L301" s="2" t="s">
        <v>162</v>
      </c>
    </row>
    <row r="302" spans="1:12" x14ac:dyDescent="0.3">
      <c r="A302" t="s">
        <v>380</v>
      </c>
      <c r="B302">
        <v>2999</v>
      </c>
      <c r="C302">
        <v>145</v>
      </c>
      <c r="D302">
        <v>13</v>
      </c>
      <c r="E302" t="s">
        <v>30</v>
      </c>
      <c r="F302" t="s">
        <v>78</v>
      </c>
      <c r="G302" t="s">
        <v>65</v>
      </c>
      <c r="H302" s="1">
        <v>44796</v>
      </c>
      <c r="I302" t="s">
        <v>381</v>
      </c>
      <c r="J302" t="s">
        <v>21</v>
      </c>
      <c r="K302" t="s">
        <v>22</v>
      </c>
      <c r="L302" s="2" t="s">
        <v>209</v>
      </c>
    </row>
    <row r="303" spans="1:12" x14ac:dyDescent="0.3">
      <c r="A303" t="s">
        <v>380</v>
      </c>
      <c r="B303">
        <v>5142</v>
      </c>
      <c r="C303">
        <v>1916</v>
      </c>
      <c r="D303">
        <v>20</v>
      </c>
      <c r="E303" t="s">
        <v>30</v>
      </c>
      <c r="F303" t="s">
        <v>64</v>
      </c>
      <c r="G303" t="s">
        <v>40</v>
      </c>
      <c r="H303" s="1">
        <v>44796</v>
      </c>
      <c r="I303" t="s">
        <v>381</v>
      </c>
      <c r="J303" t="s">
        <v>21</v>
      </c>
      <c r="K303" t="s">
        <v>22</v>
      </c>
      <c r="L303" s="2" t="s">
        <v>209</v>
      </c>
    </row>
    <row r="304" spans="1:12" x14ac:dyDescent="0.3">
      <c r="A304" t="s">
        <v>382</v>
      </c>
      <c r="B304">
        <v>1239</v>
      </c>
      <c r="C304">
        <v>575</v>
      </c>
      <c r="D304">
        <v>17</v>
      </c>
      <c r="E304" t="s">
        <v>13</v>
      </c>
      <c r="F304" t="s">
        <v>39</v>
      </c>
      <c r="G304" t="s">
        <v>15</v>
      </c>
      <c r="H304" s="1">
        <v>44912</v>
      </c>
      <c r="I304" t="s">
        <v>383</v>
      </c>
      <c r="J304" t="s">
        <v>25</v>
      </c>
      <c r="K304" t="s">
        <v>68</v>
      </c>
      <c r="L304" s="2" t="s">
        <v>152</v>
      </c>
    </row>
    <row r="305" spans="1:12" x14ac:dyDescent="0.3">
      <c r="A305" t="s">
        <v>382</v>
      </c>
      <c r="B305">
        <v>1239</v>
      </c>
      <c r="C305">
        <v>575</v>
      </c>
      <c r="D305">
        <v>17</v>
      </c>
      <c r="E305" t="s">
        <v>13</v>
      </c>
      <c r="F305" t="s">
        <v>39</v>
      </c>
      <c r="G305" t="s">
        <v>15</v>
      </c>
      <c r="H305" s="1">
        <v>44720</v>
      </c>
      <c r="I305" t="s">
        <v>384</v>
      </c>
      <c r="J305" t="s">
        <v>21</v>
      </c>
      <c r="K305" t="s">
        <v>63</v>
      </c>
      <c r="L305" s="2" t="s">
        <v>165</v>
      </c>
    </row>
    <row r="306" spans="1:12" x14ac:dyDescent="0.3">
      <c r="A306" t="s">
        <v>382</v>
      </c>
      <c r="B306">
        <v>1262</v>
      </c>
      <c r="C306">
        <v>515</v>
      </c>
      <c r="D306">
        <v>16</v>
      </c>
      <c r="E306" t="s">
        <v>13</v>
      </c>
      <c r="F306" t="s">
        <v>14</v>
      </c>
      <c r="G306" t="s">
        <v>40</v>
      </c>
      <c r="H306" s="1">
        <v>44912</v>
      </c>
      <c r="I306" t="s">
        <v>383</v>
      </c>
      <c r="J306" t="s">
        <v>25</v>
      </c>
      <c r="K306" t="s">
        <v>68</v>
      </c>
      <c r="L306" s="2" t="s">
        <v>152</v>
      </c>
    </row>
    <row r="307" spans="1:12" x14ac:dyDescent="0.3">
      <c r="A307" t="s">
        <v>382</v>
      </c>
      <c r="B307">
        <v>1262</v>
      </c>
      <c r="C307">
        <v>515</v>
      </c>
      <c r="D307">
        <v>16</v>
      </c>
      <c r="E307" t="s">
        <v>13</v>
      </c>
      <c r="F307" t="s">
        <v>14</v>
      </c>
      <c r="G307" t="s">
        <v>40</v>
      </c>
      <c r="H307" s="1">
        <v>44720</v>
      </c>
      <c r="I307" t="s">
        <v>384</v>
      </c>
      <c r="J307" t="s">
        <v>21</v>
      </c>
      <c r="K307" t="s">
        <v>63</v>
      </c>
      <c r="L307" s="2" t="s">
        <v>165</v>
      </c>
    </row>
    <row r="308" spans="1:12" x14ac:dyDescent="0.3">
      <c r="A308" t="s">
        <v>385</v>
      </c>
      <c r="B308">
        <v>1033</v>
      </c>
      <c r="C308">
        <v>254</v>
      </c>
      <c r="D308">
        <v>5</v>
      </c>
      <c r="E308" t="s">
        <v>45</v>
      </c>
      <c r="F308" t="s">
        <v>109</v>
      </c>
      <c r="G308" t="s">
        <v>65</v>
      </c>
      <c r="H308" s="1">
        <v>44071</v>
      </c>
      <c r="I308" t="s">
        <v>386</v>
      </c>
      <c r="J308" t="s">
        <v>25</v>
      </c>
      <c r="K308" t="s">
        <v>68</v>
      </c>
      <c r="L308" s="2" t="s">
        <v>185</v>
      </c>
    </row>
    <row r="309" spans="1:12" x14ac:dyDescent="0.3">
      <c r="A309" t="s">
        <v>387</v>
      </c>
      <c r="B309">
        <v>1518</v>
      </c>
      <c r="C309">
        <v>159</v>
      </c>
      <c r="D309">
        <v>19</v>
      </c>
      <c r="E309" t="s">
        <v>13</v>
      </c>
      <c r="F309" t="s">
        <v>28</v>
      </c>
      <c r="G309" t="s">
        <v>15</v>
      </c>
      <c r="H309" s="1">
        <v>44100</v>
      </c>
      <c r="I309" t="s">
        <v>388</v>
      </c>
      <c r="J309" t="s">
        <v>42</v>
      </c>
      <c r="K309" t="s">
        <v>75</v>
      </c>
      <c r="L309" s="2" t="s">
        <v>389</v>
      </c>
    </row>
    <row r="310" spans="1:12" x14ac:dyDescent="0.3">
      <c r="A310" t="s">
        <v>390</v>
      </c>
      <c r="B310">
        <v>8581</v>
      </c>
      <c r="C310">
        <v>2444</v>
      </c>
      <c r="D310">
        <v>2</v>
      </c>
      <c r="E310" t="s">
        <v>30</v>
      </c>
      <c r="F310" t="s">
        <v>64</v>
      </c>
      <c r="G310" t="s">
        <v>32</v>
      </c>
      <c r="H310" s="1">
        <v>44178</v>
      </c>
      <c r="I310" t="s">
        <v>391</v>
      </c>
      <c r="J310" t="s">
        <v>21</v>
      </c>
      <c r="K310" t="s">
        <v>172</v>
      </c>
      <c r="L310" s="2" t="s">
        <v>287</v>
      </c>
    </row>
    <row r="311" spans="1:12" x14ac:dyDescent="0.3">
      <c r="A311" t="s">
        <v>390</v>
      </c>
      <c r="B311">
        <v>8581</v>
      </c>
      <c r="C311">
        <v>2444</v>
      </c>
      <c r="D311">
        <v>2</v>
      </c>
      <c r="E311" t="s">
        <v>30</v>
      </c>
      <c r="F311" t="s">
        <v>64</v>
      </c>
      <c r="G311" t="s">
        <v>32</v>
      </c>
      <c r="H311" s="1">
        <v>44154</v>
      </c>
      <c r="I311" t="s">
        <v>392</v>
      </c>
      <c r="J311" t="s">
        <v>17</v>
      </c>
      <c r="K311" t="s">
        <v>34</v>
      </c>
      <c r="L311" s="2" t="s">
        <v>80</v>
      </c>
    </row>
    <row r="312" spans="1:12" x14ac:dyDescent="0.3">
      <c r="A312" t="s">
        <v>393</v>
      </c>
      <c r="B312">
        <v>1167</v>
      </c>
      <c r="C312">
        <v>463</v>
      </c>
      <c r="D312">
        <v>5</v>
      </c>
      <c r="E312" t="s">
        <v>30</v>
      </c>
      <c r="F312" t="s">
        <v>31</v>
      </c>
      <c r="G312" t="s">
        <v>15</v>
      </c>
      <c r="H312" s="1">
        <v>45182</v>
      </c>
      <c r="I312" t="s">
        <v>394</v>
      </c>
      <c r="J312" t="s">
        <v>71</v>
      </c>
      <c r="K312" t="s">
        <v>86</v>
      </c>
      <c r="L312" s="2" t="s">
        <v>273</v>
      </c>
    </row>
    <row r="313" spans="1:12" x14ac:dyDescent="0.3">
      <c r="A313" t="s">
        <v>393</v>
      </c>
      <c r="B313">
        <v>2841</v>
      </c>
      <c r="C313">
        <v>803</v>
      </c>
      <c r="D313">
        <v>20</v>
      </c>
      <c r="E313" t="s">
        <v>13</v>
      </c>
      <c r="F313" t="s">
        <v>39</v>
      </c>
      <c r="G313" t="s">
        <v>47</v>
      </c>
      <c r="H313" s="1">
        <v>45182</v>
      </c>
      <c r="I313" t="s">
        <v>394</v>
      </c>
      <c r="J313" t="s">
        <v>71</v>
      </c>
      <c r="K313" t="s">
        <v>86</v>
      </c>
      <c r="L313" s="2" t="s">
        <v>273</v>
      </c>
    </row>
    <row r="314" spans="1:12" x14ac:dyDescent="0.3">
      <c r="A314" t="s">
        <v>393</v>
      </c>
      <c r="B314">
        <v>5680</v>
      </c>
      <c r="C314">
        <v>2159</v>
      </c>
      <c r="D314">
        <v>19</v>
      </c>
      <c r="E314" t="s">
        <v>45</v>
      </c>
      <c r="F314" t="s">
        <v>46</v>
      </c>
      <c r="G314" t="s">
        <v>15</v>
      </c>
      <c r="H314" s="1">
        <v>45182</v>
      </c>
      <c r="I314" t="s">
        <v>394</v>
      </c>
      <c r="J314" t="s">
        <v>71</v>
      </c>
      <c r="K314" t="s">
        <v>86</v>
      </c>
      <c r="L314" s="2" t="s">
        <v>273</v>
      </c>
    </row>
    <row r="315" spans="1:12" x14ac:dyDescent="0.3">
      <c r="A315" t="s">
        <v>395</v>
      </c>
      <c r="B315">
        <v>8204</v>
      </c>
      <c r="C315">
        <v>2382</v>
      </c>
      <c r="D315">
        <v>6</v>
      </c>
      <c r="E315" t="s">
        <v>30</v>
      </c>
      <c r="F315" t="s">
        <v>31</v>
      </c>
      <c r="G315" t="s">
        <v>15</v>
      </c>
      <c r="H315" s="1">
        <v>43921</v>
      </c>
      <c r="I315" t="s">
        <v>396</v>
      </c>
      <c r="J315" t="s">
        <v>21</v>
      </c>
      <c r="K315" t="s">
        <v>22</v>
      </c>
      <c r="L315" s="2" t="s">
        <v>55</v>
      </c>
    </row>
    <row r="316" spans="1:12" x14ac:dyDescent="0.3">
      <c r="A316" t="s">
        <v>395</v>
      </c>
      <c r="B316">
        <v>8204</v>
      </c>
      <c r="C316">
        <v>2382</v>
      </c>
      <c r="D316">
        <v>6</v>
      </c>
      <c r="E316" t="s">
        <v>30</v>
      </c>
      <c r="F316" t="s">
        <v>31</v>
      </c>
      <c r="G316" t="s">
        <v>15</v>
      </c>
      <c r="H316" s="1">
        <v>44124</v>
      </c>
      <c r="I316" t="s">
        <v>397</v>
      </c>
      <c r="J316" t="s">
        <v>25</v>
      </c>
      <c r="K316" t="s">
        <v>26</v>
      </c>
      <c r="L316" s="2" t="s">
        <v>119</v>
      </c>
    </row>
    <row r="317" spans="1:12" x14ac:dyDescent="0.3">
      <c r="A317" t="s">
        <v>395</v>
      </c>
      <c r="B317">
        <v>2850</v>
      </c>
      <c r="C317">
        <v>904</v>
      </c>
      <c r="D317">
        <v>6</v>
      </c>
      <c r="E317" t="s">
        <v>13</v>
      </c>
      <c r="F317" t="s">
        <v>82</v>
      </c>
      <c r="G317" t="s">
        <v>40</v>
      </c>
      <c r="H317" s="1">
        <v>43921</v>
      </c>
      <c r="I317" t="s">
        <v>396</v>
      </c>
      <c r="J317" t="s">
        <v>21</v>
      </c>
      <c r="K317" t="s">
        <v>22</v>
      </c>
      <c r="L317" s="2" t="s">
        <v>55</v>
      </c>
    </row>
    <row r="318" spans="1:12" x14ac:dyDescent="0.3">
      <c r="A318" t="s">
        <v>395</v>
      </c>
      <c r="B318">
        <v>2850</v>
      </c>
      <c r="C318">
        <v>904</v>
      </c>
      <c r="D318">
        <v>6</v>
      </c>
      <c r="E318" t="s">
        <v>13</v>
      </c>
      <c r="F318" t="s">
        <v>82</v>
      </c>
      <c r="G318" t="s">
        <v>40</v>
      </c>
      <c r="H318" s="1">
        <v>44124</v>
      </c>
      <c r="I318" t="s">
        <v>397</v>
      </c>
      <c r="J318" t="s">
        <v>25</v>
      </c>
      <c r="K318" t="s">
        <v>26</v>
      </c>
      <c r="L318" s="2" t="s">
        <v>119</v>
      </c>
    </row>
    <row r="319" spans="1:12" x14ac:dyDescent="0.3">
      <c r="A319" t="s">
        <v>398</v>
      </c>
      <c r="B319">
        <v>907</v>
      </c>
      <c r="C319">
        <v>391</v>
      </c>
      <c r="D319">
        <v>9</v>
      </c>
      <c r="E319" t="s">
        <v>30</v>
      </c>
      <c r="F319" t="s">
        <v>31</v>
      </c>
      <c r="G319" t="s">
        <v>47</v>
      </c>
      <c r="H319" s="1">
        <v>45142</v>
      </c>
      <c r="I319" t="s">
        <v>399</v>
      </c>
      <c r="J319" t="s">
        <v>25</v>
      </c>
      <c r="K319" t="s">
        <v>51</v>
      </c>
      <c r="L319" s="2" t="s">
        <v>121</v>
      </c>
    </row>
    <row r="320" spans="1:12" x14ac:dyDescent="0.3">
      <c r="A320" t="s">
        <v>400</v>
      </c>
      <c r="B320">
        <v>2174</v>
      </c>
      <c r="C320">
        <v>265</v>
      </c>
      <c r="D320">
        <v>19</v>
      </c>
      <c r="E320" t="s">
        <v>30</v>
      </c>
      <c r="F320" t="s">
        <v>31</v>
      </c>
      <c r="G320" t="s">
        <v>47</v>
      </c>
      <c r="H320" s="1">
        <v>44662</v>
      </c>
      <c r="I320" t="s">
        <v>401</v>
      </c>
      <c r="J320" t="s">
        <v>98</v>
      </c>
      <c r="K320" t="s">
        <v>107</v>
      </c>
      <c r="L320" s="2" t="s">
        <v>187</v>
      </c>
    </row>
    <row r="321" spans="1:12" x14ac:dyDescent="0.3">
      <c r="A321" t="s">
        <v>400</v>
      </c>
      <c r="B321">
        <v>8541</v>
      </c>
      <c r="C321">
        <v>2029</v>
      </c>
      <c r="D321">
        <v>12</v>
      </c>
      <c r="E321" t="s">
        <v>13</v>
      </c>
      <c r="F321" t="s">
        <v>14</v>
      </c>
      <c r="G321" t="s">
        <v>47</v>
      </c>
      <c r="H321" s="1">
        <v>44662</v>
      </c>
      <c r="I321" t="s">
        <v>401</v>
      </c>
      <c r="J321" t="s">
        <v>98</v>
      </c>
      <c r="K321" t="s">
        <v>107</v>
      </c>
      <c r="L321" s="2" t="s">
        <v>187</v>
      </c>
    </row>
    <row r="322" spans="1:12" x14ac:dyDescent="0.3">
      <c r="A322" t="s">
        <v>400</v>
      </c>
      <c r="B322">
        <v>1931</v>
      </c>
      <c r="C322">
        <v>551</v>
      </c>
      <c r="D322">
        <v>3</v>
      </c>
      <c r="E322" t="s">
        <v>45</v>
      </c>
      <c r="F322" t="s">
        <v>109</v>
      </c>
      <c r="G322" t="s">
        <v>40</v>
      </c>
      <c r="H322" s="1">
        <v>44662</v>
      </c>
      <c r="I322" t="s">
        <v>401</v>
      </c>
      <c r="J322" t="s">
        <v>98</v>
      </c>
      <c r="K322" t="s">
        <v>107</v>
      </c>
      <c r="L322" s="2" t="s">
        <v>187</v>
      </c>
    </row>
    <row r="323" spans="1:12" x14ac:dyDescent="0.3">
      <c r="A323" t="s">
        <v>402</v>
      </c>
      <c r="B323">
        <v>1281</v>
      </c>
      <c r="C323">
        <v>340</v>
      </c>
      <c r="D323">
        <v>3</v>
      </c>
      <c r="E323" t="s">
        <v>13</v>
      </c>
      <c r="F323" t="s">
        <v>14</v>
      </c>
      <c r="G323" t="s">
        <v>32</v>
      </c>
      <c r="H323" s="1">
        <v>44561</v>
      </c>
      <c r="I323" t="s">
        <v>403</v>
      </c>
      <c r="J323" t="s">
        <v>71</v>
      </c>
      <c r="K323" t="s">
        <v>86</v>
      </c>
      <c r="L323" s="2" t="s">
        <v>90</v>
      </c>
    </row>
    <row r="324" spans="1:12" x14ac:dyDescent="0.3">
      <c r="A324" t="s">
        <v>402</v>
      </c>
      <c r="B324">
        <v>2404</v>
      </c>
      <c r="C324">
        <v>253</v>
      </c>
      <c r="D324">
        <v>15</v>
      </c>
      <c r="E324" t="s">
        <v>13</v>
      </c>
      <c r="F324" t="s">
        <v>39</v>
      </c>
      <c r="G324" t="s">
        <v>65</v>
      </c>
      <c r="H324" s="1">
        <v>44561</v>
      </c>
      <c r="I324" t="s">
        <v>403</v>
      </c>
      <c r="J324" t="s">
        <v>71</v>
      </c>
      <c r="K324" t="s">
        <v>86</v>
      </c>
      <c r="L324" s="2" t="s">
        <v>90</v>
      </c>
    </row>
    <row r="325" spans="1:12" x14ac:dyDescent="0.3">
      <c r="A325" t="s">
        <v>404</v>
      </c>
      <c r="B325">
        <v>2119</v>
      </c>
      <c r="C325">
        <v>196</v>
      </c>
      <c r="D325">
        <v>1</v>
      </c>
      <c r="E325" t="s">
        <v>45</v>
      </c>
      <c r="F325" t="s">
        <v>60</v>
      </c>
      <c r="G325" t="s">
        <v>65</v>
      </c>
      <c r="H325" s="1">
        <v>44059</v>
      </c>
      <c r="I325" t="s">
        <v>405</v>
      </c>
      <c r="J325" t="s">
        <v>42</v>
      </c>
      <c r="K325" t="s">
        <v>43</v>
      </c>
      <c r="L325" s="2" t="s">
        <v>185</v>
      </c>
    </row>
    <row r="326" spans="1:12" x14ac:dyDescent="0.3">
      <c r="A326" t="s">
        <v>406</v>
      </c>
      <c r="B326">
        <v>3137</v>
      </c>
      <c r="C326">
        <v>571</v>
      </c>
      <c r="D326">
        <v>9</v>
      </c>
      <c r="E326" t="s">
        <v>30</v>
      </c>
      <c r="F326" t="s">
        <v>31</v>
      </c>
      <c r="G326" t="s">
        <v>32</v>
      </c>
      <c r="H326" s="1">
        <v>45690</v>
      </c>
      <c r="I326" t="s">
        <v>407</v>
      </c>
      <c r="J326" t="s">
        <v>21</v>
      </c>
      <c r="K326" t="s">
        <v>22</v>
      </c>
      <c r="L326" s="2" t="s">
        <v>73</v>
      </c>
    </row>
    <row r="327" spans="1:12" x14ac:dyDescent="0.3">
      <c r="A327" t="s">
        <v>408</v>
      </c>
      <c r="B327">
        <v>2323</v>
      </c>
      <c r="C327">
        <v>727</v>
      </c>
      <c r="D327">
        <v>7</v>
      </c>
      <c r="E327" t="s">
        <v>45</v>
      </c>
      <c r="F327" t="s">
        <v>46</v>
      </c>
      <c r="G327" t="s">
        <v>65</v>
      </c>
      <c r="H327" s="1">
        <v>44616</v>
      </c>
      <c r="I327" t="s">
        <v>409</v>
      </c>
      <c r="J327" t="s">
        <v>71</v>
      </c>
      <c r="K327" t="s">
        <v>72</v>
      </c>
      <c r="L327" s="2" t="s">
        <v>137</v>
      </c>
    </row>
    <row r="328" spans="1:12" x14ac:dyDescent="0.3">
      <c r="A328" t="s">
        <v>408</v>
      </c>
      <c r="B328">
        <v>1368</v>
      </c>
      <c r="C328">
        <v>406</v>
      </c>
      <c r="D328">
        <v>9</v>
      </c>
      <c r="E328" t="s">
        <v>45</v>
      </c>
      <c r="F328" t="s">
        <v>109</v>
      </c>
      <c r="G328" t="s">
        <v>15</v>
      </c>
      <c r="H328" s="1">
        <v>44616</v>
      </c>
      <c r="I328" t="s">
        <v>409</v>
      </c>
      <c r="J328" t="s">
        <v>71</v>
      </c>
      <c r="K328" t="s">
        <v>72</v>
      </c>
      <c r="L328" s="2" t="s">
        <v>137</v>
      </c>
    </row>
    <row r="329" spans="1:12" x14ac:dyDescent="0.3">
      <c r="A329" t="s">
        <v>410</v>
      </c>
      <c r="B329">
        <v>9204</v>
      </c>
      <c r="C329">
        <v>3289</v>
      </c>
      <c r="D329">
        <v>16</v>
      </c>
      <c r="E329" t="s">
        <v>13</v>
      </c>
      <c r="F329" t="s">
        <v>39</v>
      </c>
      <c r="G329" t="s">
        <v>47</v>
      </c>
      <c r="H329" s="1">
        <v>45347</v>
      </c>
      <c r="I329" t="s">
        <v>411</v>
      </c>
      <c r="J329" t="s">
        <v>17</v>
      </c>
      <c r="K329" t="s">
        <v>18</v>
      </c>
      <c r="L329" s="2" t="s">
        <v>218</v>
      </c>
    </row>
    <row r="330" spans="1:12" x14ac:dyDescent="0.3">
      <c r="A330" t="s">
        <v>410</v>
      </c>
      <c r="B330">
        <v>9204</v>
      </c>
      <c r="C330">
        <v>3289</v>
      </c>
      <c r="D330">
        <v>16</v>
      </c>
      <c r="E330" t="s">
        <v>13</v>
      </c>
      <c r="F330" t="s">
        <v>39</v>
      </c>
      <c r="G330" t="s">
        <v>47</v>
      </c>
      <c r="H330" s="1">
        <v>44362</v>
      </c>
      <c r="I330" t="s">
        <v>412</v>
      </c>
      <c r="J330" t="s">
        <v>17</v>
      </c>
      <c r="K330" t="s">
        <v>18</v>
      </c>
      <c r="L330" s="2" t="s">
        <v>125</v>
      </c>
    </row>
    <row r="331" spans="1:12" x14ac:dyDescent="0.3">
      <c r="A331" t="s">
        <v>410</v>
      </c>
      <c r="B331">
        <v>9894</v>
      </c>
      <c r="C331">
        <v>3698</v>
      </c>
      <c r="D331">
        <v>20</v>
      </c>
      <c r="E331" t="s">
        <v>30</v>
      </c>
      <c r="F331" t="s">
        <v>64</v>
      </c>
      <c r="G331" t="s">
        <v>40</v>
      </c>
      <c r="H331" s="1">
        <v>45347</v>
      </c>
      <c r="I331" t="s">
        <v>411</v>
      </c>
      <c r="J331" t="s">
        <v>17</v>
      </c>
      <c r="K331" t="s">
        <v>18</v>
      </c>
      <c r="L331" s="2" t="s">
        <v>218</v>
      </c>
    </row>
    <row r="332" spans="1:12" x14ac:dyDescent="0.3">
      <c r="A332" t="s">
        <v>410</v>
      </c>
      <c r="B332">
        <v>9894</v>
      </c>
      <c r="C332">
        <v>3698</v>
      </c>
      <c r="D332">
        <v>20</v>
      </c>
      <c r="E332" t="s">
        <v>30</v>
      </c>
      <c r="F332" t="s">
        <v>64</v>
      </c>
      <c r="G332" t="s">
        <v>40</v>
      </c>
      <c r="H332" s="1">
        <v>44362</v>
      </c>
      <c r="I332" t="s">
        <v>412</v>
      </c>
      <c r="J332" t="s">
        <v>17</v>
      </c>
      <c r="K332" t="s">
        <v>18</v>
      </c>
      <c r="L332" s="2" t="s">
        <v>125</v>
      </c>
    </row>
    <row r="333" spans="1:12" x14ac:dyDescent="0.3">
      <c r="A333" t="s">
        <v>413</v>
      </c>
      <c r="B333">
        <v>5322</v>
      </c>
      <c r="C333">
        <v>1423</v>
      </c>
      <c r="D333">
        <v>18</v>
      </c>
      <c r="E333" t="s">
        <v>45</v>
      </c>
      <c r="F333" t="s">
        <v>60</v>
      </c>
      <c r="G333" t="s">
        <v>65</v>
      </c>
      <c r="H333" s="1">
        <v>44903</v>
      </c>
      <c r="I333" t="s">
        <v>414</v>
      </c>
      <c r="J333" t="s">
        <v>71</v>
      </c>
      <c r="K333" t="s">
        <v>138</v>
      </c>
      <c r="L333" s="2" t="s">
        <v>152</v>
      </c>
    </row>
    <row r="334" spans="1:12" x14ac:dyDescent="0.3">
      <c r="A334" t="s">
        <v>413</v>
      </c>
      <c r="B334">
        <v>5322</v>
      </c>
      <c r="C334">
        <v>1423</v>
      </c>
      <c r="D334">
        <v>18</v>
      </c>
      <c r="E334" t="s">
        <v>45</v>
      </c>
      <c r="F334" t="s">
        <v>60</v>
      </c>
      <c r="G334" t="s">
        <v>65</v>
      </c>
      <c r="H334" s="1">
        <v>45269</v>
      </c>
      <c r="I334" t="s">
        <v>415</v>
      </c>
      <c r="J334" t="s">
        <v>71</v>
      </c>
      <c r="K334" t="s">
        <v>72</v>
      </c>
      <c r="L334" s="2" t="s">
        <v>102</v>
      </c>
    </row>
    <row r="335" spans="1:12" x14ac:dyDescent="0.3">
      <c r="A335" t="s">
        <v>416</v>
      </c>
      <c r="B335">
        <v>2666</v>
      </c>
      <c r="C335">
        <v>559</v>
      </c>
      <c r="D335">
        <v>14</v>
      </c>
      <c r="E335" t="s">
        <v>45</v>
      </c>
      <c r="F335" t="s">
        <v>49</v>
      </c>
      <c r="G335" t="s">
        <v>65</v>
      </c>
      <c r="H335" s="1">
        <v>44758</v>
      </c>
      <c r="I335" t="s">
        <v>417</v>
      </c>
      <c r="J335" t="s">
        <v>98</v>
      </c>
      <c r="K335" t="s">
        <v>117</v>
      </c>
      <c r="L335" s="2" t="s">
        <v>418</v>
      </c>
    </row>
    <row r="336" spans="1:12" x14ac:dyDescent="0.3">
      <c r="A336" t="s">
        <v>419</v>
      </c>
      <c r="B336">
        <v>8383</v>
      </c>
      <c r="C336">
        <v>937</v>
      </c>
      <c r="D336">
        <v>4</v>
      </c>
      <c r="E336" t="s">
        <v>45</v>
      </c>
      <c r="F336" t="s">
        <v>60</v>
      </c>
      <c r="G336" t="s">
        <v>15</v>
      </c>
      <c r="H336" s="1">
        <v>45417</v>
      </c>
      <c r="I336" t="s">
        <v>420</v>
      </c>
      <c r="J336" t="s">
        <v>17</v>
      </c>
      <c r="K336" t="s">
        <v>34</v>
      </c>
      <c r="L336" s="2" t="s">
        <v>35</v>
      </c>
    </row>
    <row r="337" spans="1:12" x14ac:dyDescent="0.3">
      <c r="A337" t="s">
        <v>421</v>
      </c>
      <c r="B337">
        <v>7560</v>
      </c>
      <c r="C337">
        <v>821</v>
      </c>
      <c r="D337">
        <v>4</v>
      </c>
      <c r="E337" t="s">
        <v>30</v>
      </c>
      <c r="F337" t="s">
        <v>64</v>
      </c>
      <c r="G337" t="s">
        <v>40</v>
      </c>
      <c r="H337" s="1">
        <v>44473</v>
      </c>
      <c r="I337" t="s">
        <v>422</v>
      </c>
      <c r="J337" t="s">
        <v>21</v>
      </c>
      <c r="K337" t="s">
        <v>22</v>
      </c>
      <c r="L337" s="2" t="s">
        <v>37</v>
      </c>
    </row>
    <row r="338" spans="1:12" x14ac:dyDescent="0.3">
      <c r="A338" t="s">
        <v>423</v>
      </c>
      <c r="B338">
        <v>1314</v>
      </c>
      <c r="C338">
        <v>490</v>
      </c>
      <c r="D338">
        <v>16</v>
      </c>
      <c r="E338" t="s">
        <v>45</v>
      </c>
      <c r="F338" t="s">
        <v>60</v>
      </c>
      <c r="G338" t="s">
        <v>15</v>
      </c>
      <c r="H338" s="1">
        <v>44520</v>
      </c>
      <c r="I338" t="s">
        <v>424</v>
      </c>
      <c r="J338" t="s">
        <v>25</v>
      </c>
      <c r="K338" t="s">
        <v>26</v>
      </c>
      <c r="L338" s="2" t="s">
        <v>175</v>
      </c>
    </row>
    <row r="339" spans="1:12" x14ac:dyDescent="0.3">
      <c r="A339" t="s">
        <v>423</v>
      </c>
      <c r="B339">
        <v>4390</v>
      </c>
      <c r="C339">
        <v>179</v>
      </c>
      <c r="D339">
        <v>1</v>
      </c>
      <c r="E339" t="s">
        <v>45</v>
      </c>
      <c r="F339" t="s">
        <v>46</v>
      </c>
      <c r="G339" t="s">
        <v>32</v>
      </c>
      <c r="H339" s="1">
        <v>44520</v>
      </c>
      <c r="I339" t="s">
        <v>424</v>
      </c>
      <c r="J339" t="s">
        <v>25</v>
      </c>
      <c r="K339" t="s">
        <v>26</v>
      </c>
      <c r="L339" s="2" t="s">
        <v>175</v>
      </c>
    </row>
    <row r="340" spans="1:12" x14ac:dyDescent="0.3">
      <c r="A340" t="s">
        <v>423</v>
      </c>
      <c r="B340">
        <v>1150</v>
      </c>
      <c r="C340">
        <v>58</v>
      </c>
      <c r="D340">
        <v>7</v>
      </c>
      <c r="E340" t="s">
        <v>30</v>
      </c>
      <c r="F340" t="s">
        <v>78</v>
      </c>
      <c r="G340" t="s">
        <v>32</v>
      </c>
      <c r="H340" s="1">
        <v>44520</v>
      </c>
      <c r="I340" t="s">
        <v>424</v>
      </c>
      <c r="J340" t="s">
        <v>25</v>
      </c>
      <c r="K340" t="s">
        <v>26</v>
      </c>
      <c r="L340" s="2" t="s">
        <v>175</v>
      </c>
    </row>
    <row r="341" spans="1:12" x14ac:dyDescent="0.3">
      <c r="A341" t="s">
        <v>425</v>
      </c>
      <c r="B341">
        <v>1574</v>
      </c>
      <c r="C341">
        <v>258</v>
      </c>
      <c r="D341">
        <v>17</v>
      </c>
      <c r="E341" t="s">
        <v>30</v>
      </c>
      <c r="F341" t="s">
        <v>31</v>
      </c>
      <c r="G341" t="s">
        <v>40</v>
      </c>
      <c r="H341" s="1">
        <v>44089</v>
      </c>
      <c r="I341" t="s">
        <v>426</v>
      </c>
      <c r="J341" t="s">
        <v>42</v>
      </c>
      <c r="K341" t="s">
        <v>75</v>
      </c>
      <c r="L341" s="2" t="s">
        <v>389</v>
      </c>
    </row>
    <row r="342" spans="1:12" x14ac:dyDescent="0.3">
      <c r="A342" t="s">
        <v>425</v>
      </c>
      <c r="B342">
        <v>5635</v>
      </c>
      <c r="C342">
        <v>318</v>
      </c>
      <c r="D342">
        <v>17</v>
      </c>
      <c r="E342" t="s">
        <v>30</v>
      </c>
      <c r="F342" t="s">
        <v>78</v>
      </c>
      <c r="G342" t="s">
        <v>15</v>
      </c>
      <c r="H342" s="1">
        <v>44089</v>
      </c>
      <c r="I342" t="s">
        <v>426</v>
      </c>
      <c r="J342" t="s">
        <v>42</v>
      </c>
      <c r="K342" t="s">
        <v>75</v>
      </c>
      <c r="L342" s="2" t="s">
        <v>389</v>
      </c>
    </row>
    <row r="343" spans="1:12" x14ac:dyDescent="0.3">
      <c r="A343" t="s">
        <v>425</v>
      </c>
      <c r="B343">
        <v>6515</v>
      </c>
      <c r="C343">
        <v>961</v>
      </c>
      <c r="D343">
        <v>11</v>
      </c>
      <c r="E343" t="s">
        <v>45</v>
      </c>
      <c r="F343" t="s">
        <v>60</v>
      </c>
      <c r="G343" t="s">
        <v>32</v>
      </c>
      <c r="H343" s="1">
        <v>44089</v>
      </c>
      <c r="I343" t="s">
        <v>426</v>
      </c>
      <c r="J343" t="s">
        <v>42</v>
      </c>
      <c r="K343" t="s">
        <v>75</v>
      </c>
      <c r="L343" s="2" t="s">
        <v>389</v>
      </c>
    </row>
    <row r="344" spans="1:12" x14ac:dyDescent="0.3">
      <c r="A344" t="s">
        <v>427</v>
      </c>
      <c r="B344">
        <v>1231</v>
      </c>
      <c r="C344">
        <v>214</v>
      </c>
      <c r="D344">
        <v>20</v>
      </c>
      <c r="E344" t="s">
        <v>13</v>
      </c>
      <c r="F344" t="s">
        <v>39</v>
      </c>
      <c r="G344" t="s">
        <v>32</v>
      </c>
      <c r="H344" s="1">
        <v>44943</v>
      </c>
      <c r="I344" t="s">
        <v>428</v>
      </c>
      <c r="J344" t="s">
        <v>98</v>
      </c>
      <c r="K344" t="s">
        <v>99</v>
      </c>
      <c r="L344" s="2" t="s">
        <v>333</v>
      </c>
    </row>
    <row r="345" spans="1:12" x14ac:dyDescent="0.3">
      <c r="A345" t="s">
        <v>427</v>
      </c>
      <c r="B345">
        <v>1231</v>
      </c>
      <c r="C345">
        <v>214</v>
      </c>
      <c r="D345">
        <v>20</v>
      </c>
      <c r="E345" t="s">
        <v>13</v>
      </c>
      <c r="F345" t="s">
        <v>39</v>
      </c>
      <c r="G345" t="s">
        <v>32</v>
      </c>
      <c r="H345" s="1">
        <v>43998</v>
      </c>
      <c r="I345" t="s">
        <v>429</v>
      </c>
      <c r="J345" t="s">
        <v>25</v>
      </c>
      <c r="K345" t="s">
        <v>68</v>
      </c>
      <c r="L345" s="2" t="s">
        <v>313</v>
      </c>
    </row>
    <row r="346" spans="1:12" x14ac:dyDescent="0.3">
      <c r="A346" t="s">
        <v>430</v>
      </c>
      <c r="B346">
        <v>6891</v>
      </c>
      <c r="C346">
        <v>2529</v>
      </c>
      <c r="D346">
        <v>3</v>
      </c>
      <c r="E346" t="s">
        <v>30</v>
      </c>
      <c r="F346" t="s">
        <v>78</v>
      </c>
      <c r="G346" t="s">
        <v>32</v>
      </c>
      <c r="H346" s="1">
        <v>45413</v>
      </c>
      <c r="I346" t="s">
        <v>431</v>
      </c>
      <c r="J346" t="s">
        <v>98</v>
      </c>
      <c r="K346" t="s">
        <v>117</v>
      </c>
      <c r="L346" s="2" t="s">
        <v>35</v>
      </c>
    </row>
    <row r="347" spans="1:12" x14ac:dyDescent="0.3">
      <c r="A347" t="s">
        <v>432</v>
      </c>
      <c r="B347">
        <v>7524</v>
      </c>
      <c r="C347">
        <v>2308</v>
      </c>
      <c r="D347">
        <v>15</v>
      </c>
      <c r="E347" t="s">
        <v>13</v>
      </c>
      <c r="F347" t="s">
        <v>39</v>
      </c>
      <c r="G347" t="s">
        <v>40</v>
      </c>
      <c r="H347" s="1">
        <v>45267</v>
      </c>
      <c r="I347" t="s">
        <v>433</v>
      </c>
      <c r="J347" t="s">
        <v>71</v>
      </c>
      <c r="K347" t="s">
        <v>86</v>
      </c>
      <c r="L347" s="2" t="s">
        <v>102</v>
      </c>
    </row>
    <row r="348" spans="1:12" x14ac:dyDescent="0.3">
      <c r="A348" t="s">
        <v>432</v>
      </c>
      <c r="B348">
        <v>6864</v>
      </c>
      <c r="C348">
        <v>1824</v>
      </c>
      <c r="D348">
        <v>14</v>
      </c>
      <c r="E348" t="s">
        <v>13</v>
      </c>
      <c r="F348" t="s">
        <v>28</v>
      </c>
      <c r="G348" t="s">
        <v>47</v>
      </c>
      <c r="H348" s="1">
        <v>45267</v>
      </c>
      <c r="I348" t="s">
        <v>433</v>
      </c>
      <c r="J348" t="s">
        <v>71</v>
      </c>
      <c r="K348" t="s">
        <v>86</v>
      </c>
      <c r="L348" s="2" t="s">
        <v>102</v>
      </c>
    </row>
    <row r="349" spans="1:12" x14ac:dyDescent="0.3">
      <c r="A349" t="s">
        <v>434</v>
      </c>
      <c r="B349">
        <v>4215</v>
      </c>
      <c r="C349">
        <v>432</v>
      </c>
      <c r="D349">
        <v>14</v>
      </c>
      <c r="E349" t="s">
        <v>45</v>
      </c>
      <c r="F349" t="s">
        <v>49</v>
      </c>
      <c r="G349" t="s">
        <v>32</v>
      </c>
      <c r="H349" s="1">
        <v>45324</v>
      </c>
      <c r="I349" t="s">
        <v>435</v>
      </c>
      <c r="J349" t="s">
        <v>98</v>
      </c>
      <c r="K349" t="s">
        <v>99</v>
      </c>
      <c r="L349" s="2" t="s">
        <v>218</v>
      </c>
    </row>
    <row r="350" spans="1:12" x14ac:dyDescent="0.3">
      <c r="A350" t="s">
        <v>436</v>
      </c>
      <c r="B350">
        <v>622</v>
      </c>
      <c r="C350">
        <v>218</v>
      </c>
      <c r="D350">
        <v>19</v>
      </c>
      <c r="E350" t="s">
        <v>45</v>
      </c>
      <c r="F350" t="s">
        <v>109</v>
      </c>
      <c r="G350" t="s">
        <v>47</v>
      </c>
      <c r="H350" s="1">
        <v>45466</v>
      </c>
      <c r="I350" t="s">
        <v>437</v>
      </c>
      <c r="J350" t="s">
        <v>42</v>
      </c>
      <c r="K350" t="s">
        <v>75</v>
      </c>
      <c r="L350" s="2" t="s">
        <v>262</v>
      </c>
    </row>
    <row r="351" spans="1:12" x14ac:dyDescent="0.3">
      <c r="A351" t="s">
        <v>436</v>
      </c>
      <c r="B351">
        <v>1755</v>
      </c>
      <c r="C351">
        <v>495</v>
      </c>
      <c r="D351">
        <v>18</v>
      </c>
      <c r="E351" t="s">
        <v>30</v>
      </c>
      <c r="F351" t="s">
        <v>31</v>
      </c>
      <c r="G351" t="s">
        <v>15</v>
      </c>
      <c r="H351" s="1">
        <v>45466</v>
      </c>
      <c r="I351" t="s">
        <v>437</v>
      </c>
      <c r="J351" t="s">
        <v>42</v>
      </c>
      <c r="K351" t="s">
        <v>75</v>
      </c>
      <c r="L351" s="2" t="s">
        <v>262</v>
      </c>
    </row>
    <row r="352" spans="1:12" x14ac:dyDescent="0.3">
      <c r="A352" t="s">
        <v>436</v>
      </c>
      <c r="B352">
        <v>8020</v>
      </c>
      <c r="C352">
        <v>3898</v>
      </c>
      <c r="D352">
        <v>20</v>
      </c>
      <c r="E352" t="s">
        <v>13</v>
      </c>
      <c r="F352" t="s">
        <v>14</v>
      </c>
      <c r="G352" t="s">
        <v>40</v>
      </c>
      <c r="H352" s="1">
        <v>45466</v>
      </c>
      <c r="I352" t="s">
        <v>437</v>
      </c>
      <c r="J352" t="s">
        <v>42</v>
      </c>
      <c r="K352" t="s">
        <v>75</v>
      </c>
      <c r="L352" s="2" t="s">
        <v>262</v>
      </c>
    </row>
    <row r="353" spans="1:12" x14ac:dyDescent="0.3">
      <c r="A353" t="s">
        <v>438</v>
      </c>
      <c r="B353">
        <v>7333</v>
      </c>
      <c r="C353">
        <v>1576</v>
      </c>
      <c r="D353">
        <v>4</v>
      </c>
      <c r="E353" t="s">
        <v>13</v>
      </c>
      <c r="F353" t="s">
        <v>39</v>
      </c>
      <c r="G353" t="s">
        <v>47</v>
      </c>
      <c r="H353" s="1">
        <v>45450</v>
      </c>
      <c r="I353" t="s">
        <v>439</v>
      </c>
      <c r="J353" t="s">
        <v>25</v>
      </c>
      <c r="K353" t="s">
        <v>26</v>
      </c>
      <c r="L353" s="2" t="s">
        <v>262</v>
      </c>
    </row>
    <row r="354" spans="1:12" x14ac:dyDescent="0.3">
      <c r="A354" t="s">
        <v>440</v>
      </c>
      <c r="B354">
        <v>7690</v>
      </c>
      <c r="C354">
        <v>1134</v>
      </c>
      <c r="D354">
        <v>4</v>
      </c>
      <c r="E354" t="s">
        <v>13</v>
      </c>
      <c r="F354" t="s">
        <v>14</v>
      </c>
      <c r="G354" t="s">
        <v>65</v>
      </c>
      <c r="H354" s="1">
        <v>45212</v>
      </c>
      <c r="I354" t="s">
        <v>441</v>
      </c>
      <c r="J354" t="s">
        <v>25</v>
      </c>
      <c r="K354" t="s">
        <v>68</v>
      </c>
      <c r="L354" s="2" t="s">
        <v>442</v>
      </c>
    </row>
    <row r="355" spans="1:12" x14ac:dyDescent="0.3">
      <c r="A355" t="s">
        <v>440</v>
      </c>
      <c r="B355">
        <v>912</v>
      </c>
      <c r="C355">
        <v>246</v>
      </c>
      <c r="D355">
        <v>2</v>
      </c>
      <c r="E355" t="s">
        <v>45</v>
      </c>
      <c r="F355" t="s">
        <v>60</v>
      </c>
      <c r="G355" t="s">
        <v>40</v>
      </c>
      <c r="H355" s="1">
        <v>45212</v>
      </c>
      <c r="I355" t="s">
        <v>441</v>
      </c>
      <c r="J355" t="s">
        <v>25</v>
      </c>
      <c r="K355" t="s">
        <v>68</v>
      </c>
      <c r="L355" s="2" t="s">
        <v>442</v>
      </c>
    </row>
    <row r="356" spans="1:12" x14ac:dyDescent="0.3">
      <c r="A356" t="s">
        <v>443</v>
      </c>
      <c r="B356">
        <v>2791</v>
      </c>
      <c r="C356">
        <v>894</v>
      </c>
      <c r="D356">
        <v>14</v>
      </c>
      <c r="E356" t="s">
        <v>13</v>
      </c>
      <c r="F356" t="s">
        <v>39</v>
      </c>
      <c r="G356" t="s">
        <v>65</v>
      </c>
      <c r="H356" s="1">
        <v>44842</v>
      </c>
      <c r="I356" t="s">
        <v>444</v>
      </c>
      <c r="J356" t="s">
        <v>71</v>
      </c>
      <c r="K356" t="s">
        <v>86</v>
      </c>
      <c r="L356" s="2" t="s">
        <v>96</v>
      </c>
    </row>
    <row r="357" spans="1:12" x14ac:dyDescent="0.3">
      <c r="A357" t="s">
        <v>443</v>
      </c>
      <c r="B357">
        <v>2791</v>
      </c>
      <c r="C357">
        <v>894</v>
      </c>
      <c r="D357">
        <v>14</v>
      </c>
      <c r="E357" t="s">
        <v>13</v>
      </c>
      <c r="F357" t="s">
        <v>39</v>
      </c>
      <c r="G357" t="s">
        <v>65</v>
      </c>
      <c r="H357" s="1">
        <v>45226</v>
      </c>
      <c r="I357" t="s">
        <v>445</v>
      </c>
      <c r="J357" t="s">
        <v>98</v>
      </c>
      <c r="K357" t="s">
        <v>107</v>
      </c>
      <c r="L357" s="2" t="s">
        <v>442</v>
      </c>
    </row>
    <row r="358" spans="1:12" x14ac:dyDescent="0.3">
      <c r="A358" t="s">
        <v>443</v>
      </c>
      <c r="B358">
        <v>2791</v>
      </c>
      <c r="C358">
        <v>894</v>
      </c>
      <c r="D358">
        <v>14</v>
      </c>
      <c r="E358" t="s">
        <v>13</v>
      </c>
      <c r="F358" t="s">
        <v>39</v>
      </c>
      <c r="G358" t="s">
        <v>65</v>
      </c>
      <c r="H358" s="1">
        <v>44236</v>
      </c>
      <c r="I358" t="s">
        <v>446</v>
      </c>
      <c r="J358" t="s">
        <v>71</v>
      </c>
      <c r="K358" t="s">
        <v>72</v>
      </c>
      <c r="L358" s="2" t="s">
        <v>292</v>
      </c>
    </row>
    <row r="359" spans="1:12" x14ac:dyDescent="0.3">
      <c r="A359" t="s">
        <v>443</v>
      </c>
      <c r="B359">
        <v>6223</v>
      </c>
      <c r="C359">
        <v>1478</v>
      </c>
      <c r="D359">
        <v>3</v>
      </c>
      <c r="E359" t="s">
        <v>45</v>
      </c>
      <c r="F359" t="s">
        <v>60</v>
      </c>
      <c r="G359" t="s">
        <v>32</v>
      </c>
      <c r="H359" s="1">
        <v>44842</v>
      </c>
      <c r="I359" t="s">
        <v>444</v>
      </c>
      <c r="J359" t="s">
        <v>71</v>
      </c>
      <c r="K359" t="s">
        <v>86</v>
      </c>
      <c r="L359" s="2" t="s">
        <v>96</v>
      </c>
    </row>
    <row r="360" spans="1:12" x14ac:dyDescent="0.3">
      <c r="A360" t="s">
        <v>443</v>
      </c>
      <c r="B360">
        <v>6223</v>
      </c>
      <c r="C360">
        <v>1478</v>
      </c>
      <c r="D360">
        <v>3</v>
      </c>
      <c r="E360" t="s">
        <v>45</v>
      </c>
      <c r="F360" t="s">
        <v>60</v>
      </c>
      <c r="G360" t="s">
        <v>32</v>
      </c>
      <c r="H360" s="1">
        <v>45226</v>
      </c>
      <c r="I360" t="s">
        <v>445</v>
      </c>
      <c r="J360" t="s">
        <v>98</v>
      </c>
      <c r="K360" t="s">
        <v>107</v>
      </c>
      <c r="L360" s="2" t="s">
        <v>442</v>
      </c>
    </row>
    <row r="361" spans="1:12" x14ac:dyDescent="0.3">
      <c r="A361" t="s">
        <v>443</v>
      </c>
      <c r="B361">
        <v>6223</v>
      </c>
      <c r="C361">
        <v>1478</v>
      </c>
      <c r="D361">
        <v>3</v>
      </c>
      <c r="E361" t="s">
        <v>45</v>
      </c>
      <c r="F361" t="s">
        <v>60</v>
      </c>
      <c r="G361" t="s">
        <v>32</v>
      </c>
      <c r="H361" s="1">
        <v>44236</v>
      </c>
      <c r="I361" t="s">
        <v>446</v>
      </c>
      <c r="J361" t="s">
        <v>71</v>
      </c>
      <c r="K361" t="s">
        <v>72</v>
      </c>
      <c r="L361" s="2" t="s">
        <v>292</v>
      </c>
    </row>
    <row r="362" spans="1:12" x14ac:dyDescent="0.3">
      <c r="A362" t="s">
        <v>443</v>
      </c>
      <c r="B362">
        <v>8943</v>
      </c>
      <c r="C362">
        <v>3121</v>
      </c>
      <c r="D362">
        <v>17</v>
      </c>
      <c r="E362" t="s">
        <v>45</v>
      </c>
      <c r="F362" t="s">
        <v>49</v>
      </c>
      <c r="G362" t="s">
        <v>32</v>
      </c>
      <c r="H362" s="1">
        <v>44842</v>
      </c>
      <c r="I362" t="s">
        <v>444</v>
      </c>
      <c r="J362" t="s">
        <v>71</v>
      </c>
      <c r="K362" t="s">
        <v>86</v>
      </c>
      <c r="L362" s="2" t="s">
        <v>96</v>
      </c>
    </row>
    <row r="363" spans="1:12" x14ac:dyDescent="0.3">
      <c r="A363" t="s">
        <v>443</v>
      </c>
      <c r="B363">
        <v>8943</v>
      </c>
      <c r="C363">
        <v>3121</v>
      </c>
      <c r="D363">
        <v>17</v>
      </c>
      <c r="E363" t="s">
        <v>45</v>
      </c>
      <c r="F363" t="s">
        <v>49</v>
      </c>
      <c r="G363" t="s">
        <v>32</v>
      </c>
      <c r="H363" s="1">
        <v>45226</v>
      </c>
      <c r="I363" t="s">
        <v>445</v>
      </c>
      <c r="J363" t="s">
        <v>98</v>
      </c>
      <c r="K363" t="s">
        <v>107</v>
      </c>
      <c r="L363" s="2" t="s">
        <v>442</v>
      </c>
    </row>
    <row r="364" spans="1:12" x14ac:dyDescent="0.3">
      <c r="A364" t="s">
        <v>443</v>
      </c>
      <c r="B364">
        <v>8943</v>
      </c>
      <c r="C364">
        <v>3121</v>
      </c>
      <c r="D364">
        <v>17</v>
      </c>
      <c r="E364" t="s">
        <v>45</v>
      </c>
      <c r="F364" t="s">
        <v>49</v>
      </c>
      <c r="G364" t="s">
        <v>32</v>
      </c>
      <c r="H364" s="1">
        <v>44236</v>
      </c>
      <c r="I364" t="s">
        <v>446</v>
      </c>
      <c r="J364" t="s">
        <v>71</v>
      </c>
      <c r="K364" t="s">
        <v>72</v>
      </c>
      <c r="L364" s="2" t="s">
        <v>292</v>
      </c>
    </row>
    <row r="365" spans="1:12" x14ac:dyDescent="0.3">
      <c r="A365" t="s">
        <v>443</v>
      </c>
      <c r="B365">
        <v>3297</v>
      </c>
      <c r="C365">
        <v>102</v>
      </c>
      <c r="D365">
        <v>12</v>
      </c>
      <c r="E365" t="s">
        <v>13</v>
      </c>
      <c r="F365" t="s">
        <v>82</v>
      </c>
      <c r="G365" t="s">
        <v>47</v>
      </c>
      <c r="H365" s="1">
        <v>44842</v>
      </c>
      <c r="I365" t="s">
        <v>444</v>
      </c>
      <c r="J365" t="s">
        <v>71</v>
      </c>
      <c r="K365" t="s">
        <v>86</v>
      </c>
      <c r="L365" s="2" t="s">
        <v>96</v>
      </c>
    </row>
    <row r="366" spans="1:12" x14ac:dyDescent="0.3">
      <c r="A366" t="s">
        <v>443</v>
      </c>
      <c r="B366">
        <v>3297</v>
      </c>
      <c r="C366">
        <v>102</v>
      </c>
      <c r="D366">
        <v>12</v>
      </c>
      <c r="E366" t="s">
        <v>13</v>
      </c>
      <c r="F366" t="s">
        <v>82</v>
      </c>
      <c r="G366" t="s">
        <v>47</v>
      </c>
      <c r="H366" s="1">
        <v>45226</v>
      </c>
      <c r="I366" t="s">
        <v>445</v>
      </c>
      <c r="J366" t="s">
        <v>98</v>
      </c>
      <c r="K366" t="s">
        <v>107</v>
      </c>
      <c r="L366" s="2" t="s">
        <v>442</v>
      </c>
    </row>
    <row r="367" spans="1:12" x14ac:dyDescent="0.3">
      <c r="A367" t="s">
        <v>443</v>
      </c>
      <c r="B367">
        <v>3297</v>
      </c>
      <c r="C367">
        <v>102</v>
      </c>
      <c r="D367">
        <v>12</v>
      </c>
      <c r="E367" t="s">
        <v>13</v>
      </c>
      <c r="F367" t="s">
        <v>82</v>
      </c>
      <c r="G367" t="s">
        <v>47</v>
      </c>
      <c r="H367" s="1">
        <v>44236</v>
      </c>
      <c r="I367" t="s">
        <v>446</v>
      </c>
      <c r="J367" t="s">
        <v>71</v>
      </c>
      <c r="K367" t="s">
        <v>72</v>
      </c>
      <c r="L367" s="2" t="s">
        <v>292</v>
      </c>
    </row>
    <row r="368" spans="1:12" x14ac:dyDescent="0.3">
      <c r="A368" t="s">
        <v>447</v>
      </c>
      <c r="B368">
        <v>8769</v>
      </c>
      <c r="C368">
        <v>1989</v>
      </c>
      <c r="D368">
        <v>20</v>
      </c>
      <c r="E368" t="s">
        <v>30</v>
      </c>
      <c r="F368" t="s">
        <v>64</v>
      </c>
      <c r="G368" t="s">
        <v>15</v>
      </c>
      <c r="H368" s="1">
        <v>44138</v>
      </c>
      <c r="I368" t="s">
        <v>448</v>
      </c>
      <c r="J368" t="s">
        <v>21</v>
      </c>
      <c r="K368" t="s">
        <v>22</v>
      </c>
      <c r="L368" s="2" t="s">
        <v>80</v>
      </c>
    </row>
    <row r="369" spans="1:12" x14ac:dyDescent="0.3">
      <c r="A369" t="s">
        <v>449</v>
      </c>
      <c r="B369">
        <v>9057</v>
      </c>
      <c r="C369">
        <v>1888</v>
      </c>
      <c r="D369">
        <v>19</v>
      </c>
      <c r="E369" t="s">
        <v>13</v>
      </c>
      <c r="F369" t="s">
        <v>28</v>
      </c>
      <c r="G369" t="s">
        <v>65</v>
      </c>
      <c r="H369" s="1">
        <v>44711</v>
      </c>
      <c r="I369" t="s">
        <v>450</v>
      </c>
      <c r="J369" t="s">
        <v>17</v>
      </c>
      <c r="K369" t="s">
        <v>34</v>
      </c>
      <c r="L369" s="2" t="s">
        <v>180</v>
      </c>
    </row>
    <row r="370" spans="1:12" x14ac:dyDescent="0.3">
      <c r="A370" t="s">
        <v>449</v>
      </c>
      <c r="B370">
        <v>6864</v>
      </c>
      <c r="C370">
        <v>3275</v>
      </c>
      <c r="D370">
        <v>11</v>
      </c>
      <c r="E370" t="s">
        <v>45</v>
      </c>
      <c r="F370" t="s">
        <v>46</v>
      </c>
      <c r="G370" t="s">
        <v>47</v>
      </c>
      <c r="H370" s="1">
        <v>44711</v>
      </c>
      <c r="I370" t="s">
        <v>450</v>
      </c>
      <c r="J370" t="s">
        <v>17</v>
      </c>
      <c r="K370" t="s">
        <v>34</v>
      </c>
      <c r="L370" s="2" t="s">
        <v>180</v>
      </c>
    </row>
    <row r="371" spans="1:12" x14ac:dyDescent="0.3">
      <c r="A371" t="s">
        <v>449</v>
      </c>
      <c r="B371">
        <v>9200</v>
      </c>
      <c r="C371">
        <v>809</v>
      </c>
      <c r="D371">
        <v>13</v>
      </c>
      <c r="E371" t="s">
        <v>13</v>
      </c>
      <c r="F371" t="s">
        <v>39</v>
      </c>
      <c r="G371" t="s">
        <v>65</v>
      </c>
      <c r="H371" s="1">
        <v>44711</v>
      </c>
      <c r="I371" t="s">
        <v>450</v>
      </c>
      <c r="J371" t="s">
        <v>17</v>
      </c>
      <c r="K371" t="s">
        <v>34</v>
      </c>
      <c r="L371" s="2" t="s">
        <v>180</v>
      </c>
    </row>
    <row r="372" spans="1:12" x14ac:dyDescent="0.3">
      <c r="A372" t="s">
        <v>451</v>
      </c>
      <c r="B372">
        <v>6113</v>
      </c>
      <c r="C372">
        <v>2508</v>
      </c>
      <c r="D372">
        <v>6</v>
      </c>
      <c r="E372" t="s">
        <v>13</v>
      </c>
      <c r="F372" t="s">
        <v>39</v>
      </c>
      <c r="G372" t="s">
        <v>15</v>
      </c>
      <c r="H372" s="1">
        <v>45459</v>
      </c>
      <c r="I372" t="s">
        <v>452</v>
      </c>
      <c r="J372" t="s">
        <v>17</v>
      </c>
      <c r="K372" t="s">
        <v>34</v>
      </c>
      <c r="L372" s="2" t="s">
        <v>262</v>
      </c>
    </row>
    <row r="373" spans="1:12" x14ac:dyDescent="0.3">
      <c r="A373" t="s">
        <v>451</v>
      </c>
      <c r="B373">
        <v>7733</v>
      </c>
      <c r="C373">
        <v>2784</v>
      </c>
      <c r="D373">
        <v>15</v>
      </c>
      <c r="E373" t="s">
        <v>45</v>
      </c>
      <c r="F373" t="s">
        <v>46</v>
      </c>
      <c r="G373" t="s">
        <v>40</v>
      </c>
      <c r="H373" s="1">
        <v>45459</v>
      </c>
      <c r="I373" t="s">
        <v>452</v>
      </c>
      <c r="J373" t="s">
        <v>17</v>
      </c>
      <c r="K373" t="s">
        <v>34</v>
      </c>
      <c r="L373" s="2" t="s">
        <v>262</v>
      </c>
    </row>
    <row r="374" spans="1:12" x14ac:dyDescent="0.3">
      <c r="A374" t="s">
        <v>451</v>
      </c>
      <c r="B374">
        <v>8524</v>
      </c>
      <c r="C374">
        <v>154</v>
      </c>
      <c r="D374">
        <v>14</v>
      </c>
      <c r="E374" t="s">
        <v>45</v>
      </c>
      <c r="F374" t="s">
        <v>46</v>
      </c>
      <c r="G374" t="s">
        <v>65</v>
      </c>
      <c r="H374" s="1">
        <v>45459</v>
      </c>
      <c r="I374" t="s">
        <v>452</v>
      </c>
      <c r="J374" t="s">
        <v>17</v>
      </c>
      <c r="K374" t="s">
        <v>34</v>
      </c>
      <c r="L374" s="2" t="s">
        <v>262</v>
      </c>
    </row>
    <row r="375" spans="1:12" x14ac:dyDescent="0.3">
      <c r="A375" t="s">
        <v>451</v>
      </c>
      <c r="B375">
        <v>6187</v>
      </c>
      <c r="C375">
        <v>2344</v>
      </c>
      <c r="D375">
        <v>15</v>
      </c>
      <c r="E375" t="s">
        <v>45</v>
      </c>
      <c r="F375" t="s">
        <v>109</v>
      </c>
      <c r="G375" t="s">
        <v>40</v>
      </c>
      <c r="H375" s="1">
        <v>45459</v>
      </c>
      <c r="I375" t="s">
        <v>452</v>
      </c>
      <c r="J375" t="s">
        <v>17</v>
      </c>
      <c r="K375" t="s">
        <v>34</v>
      </c>
      <c r="L375" s="2" t="s">
        <v>262</v>
      </c>
    </row>
    <row r="376" spans="1:12" x14ac:dyDescent="0.3">
      <c r="A376" t="s">
        <v>453</v>
      </c>
      <c r="B376">
        <v>4364</v>
      </c>
      <c r="C376">
        <v>148</v>
      </c>
      <c r="D376">
        <v>18</v>
      </c>
      <c r="E376" t="s">
        <v>45</v>
      </c>
      <c r="F376" t="s">
        <v>46</v>
      </c>
      <c r="G376" t="s">
        <v>40</v>
      </c>
      <c r="H376" s="1">
        <v>44757</v>
      </c>
      <c r="I376" t="s">
        <v>454</v>
      </c>
      <c r="J376" t="s">
        <v>98</v>
      </c>
      <c r="K376" t="s">
        <v>107</v>
      </c>
      <c r="L376" s="2" t="s">
        <v>418</v>
      </c>
    </row>
    <row r="377" spans="1:12" x14ac:dyDescent="0.3">
      <c r="A377" t="s">
        <v>453</v>
      </c>
      <c r="B377">
        <v>736</v>
      </c>
      <c r="C377">
        <v>286</v>
      </c>
      <c r="D377">
        <v>12</v>
      </c>
      <c r="E377" t="s">
        <v>30</v>
      </c>
      <c r="F377" t="s">
        <v>31</v>
      </c>
      <c r="G377" t="s">
        <v>40</v>
      </c>
      <c r="H377" s="1">
        <v>44757</v>
      </c>
      <c r="I377" t="s">
        <v>454</v>
      </c>
      <c r="J377" t="s">
        <v>98</v>
      </c>
      <c r="K377" t="s">
        <v>107</v>
      </c>
      <c r="L377" s="2" t="s">
        <v>418</v>
      </c>
    </row>
    <row r="378" spans="1:12" x14ac:dyDescent="0.3">
      <c r="A378" t="s">
        <v>455</v>
      </c>
      <c r="B378">
        <v>9905</v>
      </c>
      <c r="C378">
        <v>633</v>
      </c>
      <c r="D378">
        <v>17</v>
      </c>
      <c r="E378" t="s">
        <v>30</v>
      </c>
      <c r="F378" t="s">
        <v>31</v>
      </c>
      <c r="G378" t="s">
        <v>40</v>
      </c>
      <c r="H378" s="1">
        <v>44395</v>
      </c>
      <c r="I378" t="s">
        <v>456</v>
      </c>
      <c r="J378" t="s">
        <v>71</v>
      </c>
      <c r="K378" t="s">
        <v>72</v>
      </c>
      <c r="L378" s="2" t="s">
        <v>27</v>
      </c>
    </row>
    <row r="379" spans="1:12" x14ac:dyDescent="0.3">
      <c r="A379" t="s">
        <v>455</v>
      </c>
      <c r="B379">
        <v>9905</v>
      </c>
      <c r="C379">
        <v>633</v>
      </c>
      <c r="D379">
        <v>17</v>
      </c>
      <c r="E379" t="s">
        <v>30</v>
      </c>
      <c r="F379" t="s">
        <v>31</v>
      </c>
      <c r="G379" t="s">
        <v>40</v>
      </c>
      <c r="H379" s="1">
        <v>44471</v>
      </c>
      <c r="I379" t="s">
        <v>457</v>
      </c>
      <c r="J379" t="s">
        <v>17</v>
      </c>
      <c r="K379" t="s">
        <v>150</v>
      </c>
      <c r="L379" s="2" t="s">
        <v>37</v>
      </c>
    </row>
    <row r="380" spans="1:12" x14ac:dyDescent="0.3">
      <c r="A380" t="s">
        <v>458</v>
      </c>
      <c r="B380">
        <v>2493</v>
      </c>
      <c r="C380">
        <v>1221</v>
      </c>
      <c r="D380">
        <v>9</v>
      </c>
      <c r="E380" t="s">
        <v>30</v>
      </c>
      <c r="F380" t="s">
        <v>64</v>
      </c>
      <c r="G380" t="s">
        <v>47</v>
      </c>
      <c r="H380" s="1">
        <v>45398</v>
      </c>
      <c r="I380" t="s">
        <v>459</v>
      </c>
      <c r="J380" t="s">
        <v>21</v>
      </c>
      <c r="K380" t="s">
        <v>63</v>
      </c>
      <c r="L380" s="2" t="s">
        <v>235</v>
      </c>
    </row>
    <row r="381" spans="1:12" x14ac:dyDescent="0.3">
      <c r="A381" t="s">
        <v>458</v>
      </c>
      <c r="B381">
        <v>9849</v>
      </c>
      <c r="C381">
        <v>963</v>
      </c>
      <c r="D381">
        <v>1</v>
      </c>
      <c r="E381" t="s">
        <v>30</v>
      </c>
      <c r="F381" t="s">
        <v>31</v>
      </c>
      <c r="G381" t="s">
        <v>47</v>
      </c>
      <c r="H381" s="1">
        <v>45398</v>
      </c>
      <c r="I381" t="s">
        <v>459</v>
      </c>
      <c r="J381" t="s">
        <v>21</v>
      </c>
      <c r="K381" t="s">
        <v>63</v>
      </c>
      <c r="L381" s="2" t="s">
        <v>235</v>
      </c>
    </row>
    <row r="382" spans="1:12" x14ac:dyDescent="0.3">
      <c r="A382" t="s">
        <v>460</v>
      </c>
      <c r="B382">
        <v>3423</v>
      </c>
      <c r="C382">
        <v>804</v>
      </c>
      <c r="D382">
        <v>4</v>
      </c>
      <c r="E382" t="s">
        <v>13</v>
      </c>
      <c r="F382" t="s">
        <v>28</v>
      </c>
      <c r="G382" t="s">
        <v>47</v>
      </c>
      <c r="H382" s="1">
        <v>44021</v>
      </c>
      <c r="I382" t="s">
        <v>461</v>
      </c>
      <c r="J382" t="s">
        <v>21</v>
      </c>
      <c r="K382" t="s">
        <v>172</v>
      </c>
      <c r="L382" s="2" t="s">
        <v>462</v>
      </c>
    </row>
    <row r="383" spans="1:12" x14ac:dyDescent="0.3">
      <c r="A383" t="s">
        <v>460</v>
      </c>
      <c r="B383">
        <v>3423</v>
      </c>
      <c r="C383">
        <v>804</v>
      </c>
      <c r="D383">
        <v>4</v>
      </c>
      <c r="E383" t="s">
        <v>13</v>
      </c>
      <c r="F383" t="s">
        <v>28</v>
      </c>
      <c r="G383" t="s">
        <v>47</v>
      </c>
      <c r="H383" s="1">
        <v>44037</v>
      </c>
      <c r="I383" t="s">
        <v>463</v>
      </c>
      <c r="J383" t="s">
        <v>71</v>
      </c>
      <c r="K383" t="s">
        <v>72</v>
      </c>
      <c r="L383" s="2" t="s">
        <v>462</v>
      </c>
    </row>
    <row r="384" spans="1:12" x14ac:dyDescent="0.3">
      <c r="A384" t="s">
        <v>460</v>
      </c>
      <c r="B384">
        <v>3423</v>
      </c>
      <c r="C384">
        <v>804</v>
      </c>
      <c r="D384">
        <v>4</v>
      </c>
      <c r="E384" t="s">
        <v>13</v>
      </c>
      <c r="F384" t="s">
        <v>28</v>
      </c>
      <c r="G384" t="s">
        <v>47</v>
      </c>
      <c r="H384" s="1">
        <v>45315</v>
      </c>
      <c r="I384" t="s">
        <v>464</v>
      </c>
      <c r="J384" t="s">
        <v>71</v>
      </c>
      <c r="K384" t="s">
        <v>86</v>
      </c>
      <c r="L384" s="2" t="s">
        <v>76</v>
      </c>
    </row>
    <row r="385" spans="1:12" x14ac:dyDescent="0.3">
      <c r="A385" t="s">
        <v>460</v>
      </c>
      <c r="B385">
        <v>3423</v>
      </c>
      <c r="C385">
        <v>804</v>
      </c>
      <c r="D385">
        <v>4</v>
      </c>
      <c r="E385" t="s">
        <v>13</v>
      </c>
      <c r="F385" t="s">
        <v>28</v>
      </c>
      <c r="G385" t="s">
        <v>47</v>
      </c>
      <c r="H385" s="1">
        <v>43955</v>
      </c>
      <c r="I385" t="s">
        <v>465</v>
      </c>
      <c r="J385" t="s">
        <v>71</v>
      </c>
      <c r="K385" t="s">
        <v>72</v>
      </c>
      <c r="L385" s="2" t="s">
        <v>59</v>
      </c>
    </row>
    <row r="386" spans="1:12" x14ac:dyDescent="0.3">
      <c r="A386" t="s">
        <v>460</v>
      </c>
      <c r="B386">
        <v>3423</v>
      </c>
      <c r="C386">
        <v>804</v>
      </c>
      <c r="D386">
        <v>4</v>
      </c>
      <c r="E386" t="s">
        <v>13</v>
      </c>
      <c r="F386" t="s">
        <v>28</v>
      </c>
      <c r="G386" t="s">
        <v>47</v>
      </c>
      <c r="H386" s="1">
        <v>44513</v>
      </c>
      <c r="I386" t="s">
        <v>466</v>
      </c>
      <c r="J386" t="s">
        <v>98</v>
      </c>
      <c r="K386" t="s">
        <v>107</v>
      </c>
      <c r="L386" s="2" t="s">
        <v>175</v>
      </c>
    </row>
    <row r="387" spans="1:12" x14ac:dyDescent="0.3">
      <c r="A387" t="s">
        <v>467</v>
      </c>
      <c r="B387">
        <v>3900</v>
      </c>
      <c r="C387">
        <v>115</v>
      </c>
      <c r="D387">
        <v>9</v>
      </c>
      <c r="E387" t="s">
        <v>45</v>
      </c>
      <c r="F387" t="s">
        <v>49</v>
      </c>
      <c r="G387" t="s">
        <v>65</v>
      </c>
      <c r="H387" s="1">
        <v>45206</v>
      </c>
      <c r="I387" t="s">
        <v>468</v>
      </c>
      <c r="J387" t="s">
        <v>21</v>
      </c>
      <c r="K387" t="s">
        <v>63</v>
      </c>
      <c r="L387" s="2" t="s">
        <v>442</v>
      </c>
    </row>
    <row r="388" spans="1:12" x14ac:dyDescent="0.3">
      <c r="A388" t="s">
        <v>469</v>
      </c>
      <c r="B388">
        <v>8568</v>
      </c>
      <c r="C388">
        <v>2419</v>
      </c>
      <c r="D388">
        <v>11</v>
      </c>
      <c r="E388" t="s">
        <v>13</v>
      </c>
      <c r="F388" t="s">
        <v>14</v>
      </c>
      <c r="G388" t="s">
        <v>15</v>
      </c>
      <c r="H388" s="1">
        <v>44492</v>
      </c>
      <c r="I388" t="s">
        <v>470</v>
      </c>
      <c r="J388" t="s">
        <v>25</v>
      </c>
      <c r="K388" t="s">
        <v>68</v>
      </c>
      <c r="L388" s="2" t="s">
        <v>37</v>
      </c>
    </row>
    <row r="389" spans="1:12" x14ac:dyDescent="0.3">
      <c r="A389" t="s">
        <v>469</v>
      </c>
      <c r="B389">
        <v>3283</v>
      </c>
      <c r="C389">
        <v>71</v>
      </c>
      <c r="D389">
        <v>6</v>
      </c>
      <c r="E389" t="s">
        <v>30</v>
      </c>
      <c r="F389" t="s">
        <v>31</v>
      </c>
      <c r="G389" t="s">
        <v>40</v>
      </c>
      <c r="H389" s="1">
        <v>44492</v>
      </c>
      <c r="I389" t="s">
        <v>470</v>
      </c>
      <c r="J389" t="s">
        <v>25</v>
      </c>
      <c r="K389" t="s">
        <v>68</v>
      </c>
      <c r="L389" s="2" t="s">
        <v>37</v>
      </c>
    </row>
    <row r="390" spans="1:12" x14ac:dyDescent="0.3">
      <c r="A390" t="s">
        <v>471</v>
      </c>
      <c r="B390">
        <v>7643</v>
      </c>
      <c r="C390">
        <v>3720</v>
      </c>
      <c r="D390">
        <v>19</v>
      </c>
      <c r="E390" t="s">
        <v>13</v>
      </c>
      <c r="F390" t="s">
        <v>14</v>
      </c>
      <c r="G390" t="s">
        <v>40</v>
      </c>
      <c r="H390" s="1">
        <v>44760</v>
      </c>
      <c r="I390" t="s">
        <v>472</v>
      </c>
      <c r="J390" t="s">
        <v>71</v>
      </c>
      <c r="K390" t="s">
        <v>72</v>
      </c>
      <c r="L390" s="2" t="s">
        <v>418</v>
      </c>
    </row>
    <row r="391" spans="1:12" x14ac:dyDescent="0.3">
      <c r="A391" t="s">
        <v>473</v>
      </c>
      <c r="B391">
        <v>3461</v>
      </c>
      <c r="C391">
        <v>1537</v>
      </c>
      <c r="D391">
        <v>15</v>
      </c>
      <c r="E391" t="s">
        <v>45</v>
      </c>
      <c r="F391" t="s">
        <v>60</v>
      </c>
      <c r="G391" t="s">
        <v>40</v>
      </c>
      <c r="H391" s="1">
        <v>45527</v>
      </c>
      <c r="I391" t="s">
        <v>474</v>
      </c>
      <c r="J391" t="s">
        <v>21</v>
      </c>
      <c r="K391" t="s">
        <v>22</v>
      </c>
      <c r="L391" s="2" t="s">
        <v>114</v>
      </c>
    </row>
    <row r="392" spans="1:12" x14ac:dyDescent="0.3">
      <c r="A392" t="s">
        <v>473</v>
      </c>
      <c r="B392">
        <v>5714</v>
      </c>
      <c r="C392">
        <v>1438</v>
      </c>
      <c r="D392">
        <v>6</v>
      </c>
      <c r="E392" t="s">
        <v>13</v>
      </c>
      <c r="F392" t="s">
        <v>14</v>
      </c>
      <c r="G392" t="s">
        <v>47</v>
      </c>
      <c r="H392" s="1">
        <v>45527</v>
      </c>
      <c r="I392" t="s">
        <v>474</v>
      </c>
      <c r="J392" t="s">
        <v>21</v>
      </c>
      <c r="K392" t="s">
        <v>22</v>
      </c>
      <c r="L392" s="2" t="s">
        <v>114</v>
      </c>
    </row>
    <row r="393" spans="1:12" x14ac:dyDescent="0.3">
      <c r="A393" t="s">
        <v>473</v>
      </c>
      <c r="B393">
        <v>3853</v>
      </c>
      <c r="C393">
        <v>1457</v>
      </c>
      <c r="D393">
        <v>10</v>
      </c>
      <c r="E393" t="s">
        <v>30</v>
      </c>
      <c r="F393" t="s">
        <v>78</v>
      </c>
      <c r="G393" t="s">
        <v>65</v>
      </c>
      <c r="H393" s="1">
        <v>45527</v>
      </c>
      <c r="I393" t="s">
        <v>474</v>
      </c>
      <c r="J393" t="s">
        <v>21</v>
      </c>
      <c r="K393" t="s">
        <v>22</v>
      </c>
      <c r="L393" s="2" t="s">
        <v>114</v>
      </c>
    </row>
    <row r="394" spans="1:12" x14ac:dyDescent="0.3">
      <c r="A394" t="s">
        <v>475</v>
      </c>
      <c r="B394">
        <v>6016</v>
      </c>
      <c r="C394">
        <v>431</v>
      </c>
      <c r="D394">
        <v>20</v>
      </c>
      <c r="E394" t="s">
        <v>30</v>
      </c>
      <c r="F394" t="s">
        <v>31</v>
      </c>
      <c r="G394" t="s">
        <v>15</v>
      </c>
      <c r="H394" s="1">
        <v>44132</v>
      </c>
      <c r="I394" t="s">
        <v>476</v>
      </c>
      <c r="J394" t="s">
        <v>21</v>
      </c>
      <c r="K394" t="s">
        <v>22</v>
      </c>
      <c r="L394" s="2" t="s">
        <v>119</v>
      </c>
    </row>
    <row r="395" spans="1:12" x14ac:dyDescent="0.3">
      <c r="A395" t="s">
        <v>477</v>
      </c>
      <c r="B395">
        <v>1290</v>
      </c>
      <c r="C395">
        <v>204</v>
      </c>
      <c r="D395">
        <v>12</v>
      </c>
      <c r="E395" t="s">
        <v>30</v>
      </c>
      <c r="F395" t="s">
        <v>57</v>
      </c>
      <c r="G395" t="s">
        <v>15</v>
      </c>
      <c r="H395" s="1">
        <v>45458</v>
      </c>
      <c r="I395" t="s">
        <v>478</v>
      </c>
      <c r="J395" t="s">
        <v>25</v>
      </c>
      <c r="K395" t="s">
        <v>26</v>
      </c>
      <c r="L395" s="2" t="s">
        <v>262</v>
      </c>
    </row>
    <row r="396" spans="1:12" x14ac:dyDescent="0.3">
      <c r="A396" t="s">
        <v>477</v>
      </c>
      <c r="B396">
        <v>1290</v>
      </c>
      <c r="C396">
        <v>204</v>
      </c>
      <c r="D396">
        <v>12</v>
      </c>
      <c r="E396" t="s">
        <v>30</v>
      </c>
      <c r="F396" t="s">
        <v>57</v>
      </c>
      <c r="G396" t="s">
        <v>15</v>
      </c>
      <c r="H396" s="1">
        <v>45645</v>
      </c>
      <c r="I396" t="s">
        <v>479</v>
      </c>
      <c r="J396" t="s">
        <v>42</v>
      </c>
      <c r="K396" t="s">
        <v>92</v>
      </c>
      <c r="L396" s="2" t="s">
        <v>23</v>
      </c>
    </row>
    <row r="397" spans="1:12" x14ac:dyDescent="0.3">
      <c r="A397" t="s">
        <v>480</v>
      </c>
      <c r="B397">
        <v>4569</v>
      </c>
      <c r="C397">
        <v>1693</v>
      </c>
      <c r="D397">
        <v>10</v>
      </c>
      <c r="E397" t="s">
        <v>13</v>
      </c>
      <c r="F397" t="s">
        <v>28</v>
      </c>
      <c r="G397" t="s">
        <v>15</v>
      </c>
      <c r="H397" s="1">
        <v>44078</v>
      </c>
      <c r="I397" t="s">
        <v>481</v>
      </c>
      <c r="J397" t="s">
        <v>21</v>
      </c>
      <c r="K397" t="s">
        <v>63</v>
      </c>
      <c r="L397" s="2" t="s">
        <v>389</v>
      </c>
    </row>
    <row r="398" spans="1:12" x14ac:dyDescent="0.3">
      <c r="A398" t="s">
        <v>482</v>
      </c>
      <c r="B398">
        <v>3083</v>
      </c>
      <c r="C398">
        <v>1151</v>
      </c>
      <c r="D398">
        <v>16</v>
      </c>
      <c r="E398" t="s">
        <v>45</v>
      </c>
      <c r="F398" t="s">
        <v>109</v>
      </c>
      <c r="G398" t="s">
        <v>32</v>
      </c>
      <c r="H398" s="1">
        <v>44667</v>
      </c>
      <c r="I398" t="s">
        <v>483</v>
      </c>
      <c r="J398" t="s">
        <v>17</v>
      </c>
      <c r="K398" t="s">
        <v>34</v>
      </c>
      <c r="L398" s="2" t="s">
        <v>187</v>
      </c>
    </row>
    <row r="399" spans="1:12" x14ac:dyDescent="0.3">
      <c r="A399" t="s">
        <v>484</v>
      </c>
      <c r="B399">
        <v>3522</v>
      </c>
      <c r="C399">
        <v>898</v>
      </c>
      <c r="D399">
        <v>15</v>
      </c>
      <c r="E399" t="s">
        <v>30</v>
      </c>
      <c r="F399" t="s">
        <v>31</v>
      </c>
      <c r="G399" t="s">
        <v>47</v>
      </c>
      <c r="H399" s="1">
        <v>45533</v>
      </c>
      <c r="I399" t="s">
        <v>485</v>
      </c>
      <c r="J399" t="s">
        <v>98</v>
      </c>
      <c r="K399" t="s">
        <v>117</v>
      </c>
      <c r="L399" s="2" t="s">
        <v>114</v>
      </c>
    </row>
    <row r="400" spans="1:12" x14ac:dyDescent="0.3">
      <c r="A400" t="s">
        <v>484</v>
      </c>
      <c r="B400">
        <v>3522</v>
      </c>
      <c r="C400">
        <v>898</v>
      </c>
      <c r="D400">
        <v>15</v>
      </c>
      <c r="E400" t="s">
        <v>30</v>
      </c>
      <c r="F400" t="s">
        <v>31</v>
      </c>
      <c r="G400" t="s">
        <v>47</v>
      </c>
      <c r="H400" s="1">
        <v>44575</v>
      </c>
      <c r="I400" t="s">
        <v>486</v>
      </c>
      <c r="J400" t="s">
        <v>42</v>
      </c>
      <c r="K400" t="s">
        <v>43</v>
      </c>
      <c r="L400" s="2" t="s">
        <v>87</v>
      </c>
    </row>
    <row r="401" spans="1:12" x14ac:dyDescent="0.3">
      <c r="A401" t="s">
        <v>487</v>
      </c>
      <c r="B401">
        <v>7301</v>
      </c>
      <c r="C401">
        <v>3602</v>
      </c>
      <c r="D401">
        <v>3</v>
      </c>
      <c r="E401" t="s">
        <v>30</v>
      </c>
      <c r="F401" t="s">
        <v>78</v>
      </c>
      <c r="G401" t="s">
        <v>32</v>
      </c>
      <c r="H401" s="1">
        <v>45389</v>
      </c>
      <c r="I401" t="s">
        <v>488</v>
      </c>
      <c r="J401" t="s">
        <v>71</v>
      </c>
      <c r="K401" t="s">
        <v>138</v>
      </c>
      <c r="L401" s="2" t="s">
        <v>235</v>
      </c>
    </row>
    <row r="402" spans="1:12" x14ac:dyDescent="0.3">
      <c r="A402" t="s">
        <v>489</v>
      </c>
      <c r="B402">
        <v>4462</v>
      </c>
      <c r="C402">
        <v>121</v>
      </c>
      <c r="D402">
        <v>8</v>
      </c>
      <c r="E402" t="s">
        <v>13</v>
      </c>
      <c r="F402" t="s">
        <v>39</v>
      </c>
      <c r="G402" t="s">
        <v>65</v>
      </c>
      <c r="H402" s="1">
        <v>44675</v>
      </c>
      <c r="I402" t="s">
        <v>490</v>
      </c>
      <c r="J402" t="s">
        <v>21</v>
      </c>
      <c r="K402" t="s">
        <v>63</v>
      </c>
      <c r="L402" s="2" t="s">
        <v>187</v>
      </c>
    </row>
    <row r="403" spans="1:12" x14ac:dyDescent="0.3">
      <c r="A403" t="s">
        <v>489</v>
      </c>
      <c r="B403">
        <v>6212</v>
      </c>
      <c r="C403">
        <v>1881</v>
      </c>
      <c r="D403">
        <v>17</v>
      </c>
      <c r="E403" t="s">
        <v>13</v>
      </c>
      <c r="F403" t="s">
        <v>82</v>
      </c>
      <c r="G403" t="s">
        <v>65</v>
      </c>
      <c r="H403" s="1">
        <v>44675</v>
      </c>
      <c r="I403" t="s">
        <v>490</v>
      </c>
      <c r="J403" t="s">
        <v>21</v>
      </c>
      <c r="K403" t="s">
        <v>63</v>
      </c>
      <c r="L403" s="2" t="s">
        <v>187</v>
      </c>
    </row>
    <row r="404" spans="1:12" x14ac:dyDescent="0.3">
      <c r="A404" t="s">
        <v>491</v>
      </c>
      <c r="B404">
        <v>4027</v>
      </c>
      <c r="C404">
        <v>1386</v>
      </c>
      <c r="D404">
        <v>3</v>
      </c>
      <c r="E404" t="s">
        <v>45</v>
      </c>
      <c r="F404" t="s">
        <v>109</v>
      </c>
      <c r="G404" t="s">
        <v>40</v>
      </c>
      <c r="H404" s="1">
        <v>44070</v>
      </c>
      <c r="I404" t="s">
        <v>492</v>
      </c>
      <c r="J404" t="s">
        <v>17</v>
      </c>
      <c r="K404" t="s">
        <v>150</v>
      </c>
      <c r="L404" s="2" t="s">
        <v>185</v>
      </c>
    </row>
    <row r="405" spans="1:12" x14ac:dyDescent="0.3">
      <c r="A405" t="s">
        <v>493</v>
      </c>
      <c r="B405">
        <v>1676</v>
      </c>
      <c r="C405">
        <v>330</v>
      </c>
      <c r="D405">
        <v>14</v>
      </c>
      <c r="E405" t="s">
        <v>13</v>
      </c>
      <c r="F405" t="s">
        <v>39</v>
      </c>
      <c r="G405" t="s">
        <v>40</v>
      </c>
      <c r="H405" s="1">
        <v>44986</v>
      </c>
      <c r="I405" t="s">
        <v>494</v>
      </c>
      <c r="J405" t="s">
        <v>98</v>
      </c>
      <c r="K405" t="s">
        <v>117</v>
      </c>
      <c r="L405" s="2" t="s">
        <v>245</v>
      </c>
    </row>
    <row r="406" spans="1:12" x14ac:dyDescent="0.3">
      <c r="A406" t="s">
        <v>493</v>
      </c>
      <c r="B406">
        <v>3927</v>
      </c>
      <c r="C406">
        <v>1133</v>
      </c>
      <c r="D406">
        <v>12</v>
      </c>
      <c r="E406" t="s">
        <v>45</v>
      </c>
      <c r="F406" t="s">
        <v>109</v>
      </c>
      <c r="G406" t="s">
        <v>65</v>
      </c>
      <c r="H406" s="1">
        <v>44986</v>
      </c>
      <c r="I406" t="s">
        <v>494</v>
      </c>
      <c r="J406" t="s">
        <v>98</v>
      </c>
      <c r="K406" t="s">
        <v>117</v>
      </c>
      <c r="L406" s="2" t="s">
        <v>245</v>
      </c>
    </row>
    <row r="407" spans="1:12" x14ac:dyDescent="0.3">
      <c r="A407" t="s">
        <v>493</v>
      </c>
      <c r="B407">
        <v>2776</v>
      </c>
      <c r="C407">
        <v>887</v>
      </c>
      <c r="D407">
        <v>9</v>
      </c>
      <c r="E407" t="s">
        <v>13</v>
      </c>
      <c r="F407" t="s">
        <v>82</v>
      </c>
      <c r="G407" t="s">
        <v>32</v>
      </c>
      <c r="H407" s="1">
        <v>44986</v>
      </c>
      <c r="I407" t="s">
        <v>494</v>
      </c>
      <c r="J407" t="s">
        <v>98</v>
      </c>
      <c r="K407" t="s">
        <v>117</v>
      </c>
      <c r="L407" s="2" t="s">
        <v>245</v>
      </c>
    </row>
    <row r="408" spans="1:12" x14ac:dyDescent="0.3">
      <c r="A408" t="s">
        <v>495</v>
      </c>
      <c r="B408">
        <v>7684</v>
      </c>
      <c r="C408">
        <v>1157</v>
      </c>
      <c r="D408">
        <v>12</v>
      </c>
      <c r="E408" t="s">
        <v>45</v>
      </c>
      <c r="F408" t="s">
        <v>60</v>
      </c>
      <c r="G408" t="s">
        <v>65</v>
      </c>
      <c r="H408" s="1">
        <v>44106</v>
      </c>
      <c r="I408" t="s">
        <v>496</v>
      </c>
      <c r="J408" t="s">
        <v>21</v>
      </c>
      <c r="K408" t="s">
        <v>22</v>
      </c>
      <c r="L408" s="2" t="s">
        <v>119</v>
      </c>
    </row>
    <row r="409" spans="1:12" x14ac:dyDescent="0.3">
      <c r="A409" t="s">
        <v>495</v>
      </c>
      <c r="B409">
        <v>7684</v>
      </c>
      <c r="C409">
        <v>1157</v>
      </c>
      <c r="D409">
        <v>12</v>
      </c>
      <c r="E409" t="s">
        <v>45</v>
      </c>
      <c r="F409" t="s">
        <v>60</v>
      </c>
      <c r="G409" t="s">
        <v>65</v>
      </c>
      <c r="H409" s="1">
        <v>44005</v>
      </c>
      <c r="I409" t="s">
        <v>497</v>
      </c>
      <c r="J409" t="s">
        <v>25</v>
      </c>
      <c r="K409" t="s">
        <v>26</v>
      </c>
      <c r="L409" s="2" t="s">
        <v>313</v>
      </c>
    </row>
    <row r="410" spans="1:12" x14ac:dyDescent="0.3">
      <c r="A410" t="s">
        <v>495</v>
      </c>
      <c r="B410">
        <v>7684</v>
      </c>
      <c r="C410">
        <v>1157</v>
      </c>
      <c r="D410">
        <v>12</v>
      </c>
      <c r="E410" t="s">
        <v>45</v>
      </c>
      <c r="F410" t="s">
        <v>60</v>
      </c>
      <c r="G410" t="s">
        <v>65</v>
      </c>
      <c r="H410" s="1">
        <v>45159</v>
      </c>
      <c r="I410" t="s">
        <v>498</v>
      </c>
      <c r="J410" t="s">
        <v>98</v>
      </c>
      <c r="K410" t="s">
        <v>99</v>
      </c>
      <c r="L410" s="2" t="s">
        <v>121</v>
      </c>
    </row>
    <row r="411" spans="1:12" x14ac:dyDescent="0.3">
      <c r="A411" t="s">
        <v>499</v>
      </c>
      <c r="B411">
        <v>6008</v>
      </c>
      <c r="C411">
        <v>2498</v>
      </c>
      <c r="D411">
        <v>17</v>
      </c>
      <c r="E411" t="s">
        <v>13</v>
      </c>
      <c r="F411" t="s">
        <v>82</v>
      </c>
      <c r="G411" t="s">
        <v>47</v>
      </c>
      <c r="H411" s="1">
        <v>44758</v>
      </c>
      <c r="I411" t="s">
        <v>500</v>
      </c>
      <c r="J411" t="s">
        <v>17</v>
      </c>
      <c r="K411" t="s">
        <v>18</v>
      </c>
      <c r="L411" s="2" t="s">
        <v>418</v>
      </c>
    </row>
    <row r="412" spans="1:12" x14ac:dyDescent="0.3">
      <c r="A412" t="s">
        <v>501</v>
      </c>
      <c r="B412">
        <v>7344</v>
      </c>
      <c r="C412">
        <v>2598</v>
      </c>
      <c r="D412">
        <v>20</v>
      </c>
      <c r="E412" t="s">
        <v>45</v>
      </c>
      <c r="F412" t="s">
        <v>109</v>
      </c>
      <c r="G412" t="s">
        <v>65</v>
      </c>
      <c r="H412" s="1">
        <v>44774</v>
      </c>
      <c r="I412" t="s">
        <v>502</v>
      </c>
      <c r="J412" t="s">
        <v>71</v>
      </c>
      <c r="K412" t="s">
        <v>72</v>
      </c>
      <c r="L412" s="2" t="s">
        <v>209</v>
      </c>
    </row>
    <row r="413" spans="1:12" x14ac:dyDescent="0.3">
      <c r="A413" t="s">
        <v>503</v>
      </c>
      <c r="B413">
        <v>6932</v>
      </c>
      <c r="C413">
        <v>3218</v>
      </c>
      <c r="D413">
        <v>20</v>
      </c>
      <c r="E413" t="s">
        <v>30</v>
      </c>
      <c r="F413" t="s">
        <v>31</v>
      </c>
      <c r="G413" t="s">
        <v>65</v>
      </c>
      <c r="H413" s="1">
        <v>44028</v>
      </c>
      <c r="I413" t="s">
        <v>504</v>
      </c>
      <c r="J413" t="s">
        <v>17</v>
      </c>
      <c r="K413" t="s">
        <v>34</v>
      </c>
      <c r="L413" s="2" t="s">
        <v>462</v>
      </c>
    </row>
    <row r="414" spans="1:12" x14ac:dyDescent="0.3">
      <c r="A414" t="s">
        <v>505</v>
      </c>
      <c r="B414">
        <v>7748</v>
      </c>
      <c r="C414">
        <v>1706</v>
      </c>
      <c r="D414">
        <v>16</v>
      </c>
      <c r="E414" t="s">
        <v>13</v>
      </c>
      <c r="F414" t="s">
        <v>14</v>
      </c>
      <c r="G414" t="s">
        <v>40</v>
      </c>
      <c r="H414" s="1">
        <v>43953</v>
      </c>
      <c r="I414" t="s">
        <v>506</v>
      </c>
      <c r="J414" t="s">
        <v>98</v>
      </c>
      <c r="K414" t="s">
        <v>107</v>
      </c>
      <c r="L414" s="2" t="s">
        <v>59</v>
      </c>
    </row>
    <row r="415" spans="1:12" x14ac:dyDescent="0.3">
      <c r="A415" t="s">
        <v>505</v>
      </c>
      <c r="B415">
        <v>6381</v>
      </c>
      <c r="C415">
        <v>2763</v>
      </c>
      <c r="D415">
        <v>20</v>
      </c>
      <c r="E415" t="s">
        <v>30</v>
      </c>
      <c r="F415" t="s">
        <v>57</v>
      </c>
      <c r="G415" t="s">
        <v>15</v>
      </c>
      <c r="H415" s="1">
        <v>43953</v>
      </c>
      <c r="I415" t="s">
        <v>506</v>
      </c>
      <c r="J415" t="s">
        <v>98</v>
      </c>
      <c r="K415" t="s">
        <v>107</v>
      </c>
      <c r="L415" s="2" t="s">
        <v>59</v>
      </c>
    </row>
    <row r="416" spans="1:12" x14ac:dyDescent="0.3">
      <c r="A416" t="s">
        <v>505</v>
      </c>
      <c r="B416">
        <v>992</v>
      </c>
      <c r="C416">
        <v>64</v>
      </c>
      <c r="D416">
        <v>6</v>
      </c>
      <c r="E416" t="s">
        <v>13</v>
      </c>
      <c r="F416" t="s">
        <v>82</v>
      </c>
      <c r="G416" t="s">
        <v>47</v>
      </c>
      <c r="H416" s="1">
        <v>43953</v>
      </c>
      <c r="I416" t="s">
        <v>506</v>
      </c>
      <c r="J416" t="s">
        <v>98</v>
      </c>
      <c r="K416" t="s">
        <v>107</v>
      </c>
      <c r="L416" s="2" t="s">
        <v>59</v>
      </c>
    </row>
    <row r="417" spans="1:12" x14ac:dyDescent="0.3">
      <c r="A417" t="s">
        <v>507</v>
      </c>
      <c r="B417">
        <v>8649</v>
      </c>
      <c r="C417">
        <v>2631</v>
      </c>
      <c r="D417">
        <v>13</v>
      </c>
      <c r="E417" t="s">
        <v>13</v>
      </c>
      <c r="F417" t="s">
        <v>39</v>
      </c>
      <c r="G417" t="s">
        <v>40</v>
      </c>
      <c r="H417" s="1">
        <v>45301</v>
      </c>
      <c r="I417" t="s">
        <v>508</v>
      </c>
      <c r="J417" t="s">
        <v>42</v>
      </c>
      <c r="K417" t="s">
        <v>92</v>
      </c>
      <c r="L417" s="2" t="s">
        <v>76</v>
      </c>
    </row>
    <row r="418" spans="1:12" x14ac:dyDescent="0.3">
      <c r="A418" t="s">
        <v>507</v>
      </c>
      <c r="B418">
        <v>8649</v>
      </c>
      <c r="C418">
        <v>2631</v>
      </c>
      <c r="D418">
        <v>13</v>
      </c>
      <c r="E418" t="s">
        <v>13</v>
      </c>
      <c r="F418" t="s">
        <v>39</v>
      </c>
      <c r="G418" t="s">
        <v>40</v>
      </c>
      <c r="H418" s="1">
        <v>44104</v>
      </c>
      <c r="I418" t="s">
        <v>509</v>
      </c>
      <c r="J418" t="s">
        <v>25</v>
      </c>
      <c r="K418" t="s">
        <v>68</v>
      </c>
      <c r="L418" s="2" t="s">
        <v>389</v>
      </c>
    </row>
    <row r="419" spans="1:12" x14ac:dyDescent="0.3">
      <c r="A419" t="s">
        <v>510</v>
      </c>
      <c r="B419">
        <v>4099</v>
      </c>
      <c r="C419">
        <v>52</v>
      </c>
      <c r="D419">
        <v>18</v>
      </c>
      <c r="E419" t="s">
        <v>13</v>
      </c>
      <c r="F419" t="s">
        <v>39</v>
      </c>
      <c r="G419" t="s">
        <v>15</v>
      </c>
      <c r="H419" s="1">
        <v>44648</v>
      </c>
      <c r="I419" t="s">
        <v>511</v>
      </c>
      <c r="J419" t="s">
        <v>25</v>
      </c>
      <c r="K419" t="s">
        <v>51</v>
      </c>
      <c r="L419" s="2" t="s">
        <v>134</v>
      </c>
    </row>
    <row r="420" spans="1:12" x14ac:dyDescent="0.3">
      <c r="A420" t="s">
        <v>512</v>
      </c>
      <c r="B420">
        <v>2539</v>
      </c>
      <c r="C420">
        <v>324</v>
      </c>
      <c r="D420">
        <v>5</v>
      </c>
      <c r="E420" t="s">
        <v>13</v>
      </c>
      <c r="F420" t="s">
        <v>14</v>
      </c>
      <c r="G420" t="s">
        <v>15</v>
      </c>
      <c r="H420" s="1">
        <v>44226</v>
      </c>
      <c r="I420" t="s">
        <v>513</v>
      </c>
      <c r="J420" t="s">
        <v>42</v>
      </c>
      <c r="K420" t="s">
        <v>92</v>
      </c>
      <c r="L420" s="2" t="s">
        <v>276</v>
      </c>
    </row>
    <row r="421" spans="1:12" x14ac:dyDescent="0.3">
      <c r="A421" t="s">
        <v>514</v>
      </c>
      <c r="B421">
        <v>9845</v>
      </c>
      <c r="C421">
        <v>3062</v>
      </c>
      <c r="D421">
        <v>9</v>
      </c>
      <c r="E421" t="s">
        <v>30</v>
      </c>
      <c r="F421" t="s">
        <v>64</v>
      </c>
      <c r="G421" t="s">
        <v>65</v>
      </c>
      <c r="H421" s="1">
        <v>45730</v>
      </c>
      <c r="I421" t="s">
        <v>515</v>
      </c>
      <c r="J421" t="s">
        <v>17</v>
      </c>
      <c r="K421" t="s">
        <v>34</v>
      </c>
      <c r="L421" s="2" t="s">
        <v>157</v>
      </c>
    </row>
    <row r="422" spans="1:12" x14ac:dyDescent="0.3">
      <c r="A422" t="s">
        <v>516</v>
      </c>
      <c r="B422">
        <v>2901</v>
      </c>
      <c r="C422">
        <v>1411</v>
      </c>
      <c r="D422">
        <v>2</v>
      </c>
      <c r="E422" t="s">
        <v>30</v>
      </c>
      <c r="F422" t="s">
        <v>64</v>
      </c>
      <c r="G422" t="s">
        <v>32</v>
      </c>
      <c r="H422" s="1">
        <v>44495</v>
      </c>
      <c r="I422" t="s">
        <v>517</v>
      </c>
      <c r="J422" t="s">
        <v>71</v>
      </c>
      <c r="K422" t="s">
        <v>86</v>
      </c>
      <c r="L422" s="2" t="s">
        <v>37</v>
      </c>
    </row>
    <row r="423" spans="1:12" x14ac:dyDescent="0.3">
      <c r="A423" t="s">
        <v>516</v>
      </c>
      <c r="B423">
        <v>2901</v>
      </c>
      <c r="C423">
        <v>1411</v>
      </c>
      <c r="D423">
        <v>2</v>
      </c>
      <c r="E423" t="s">
        <v>30</v>
      </c>
      <c r="F423" t="s">
        <v>64</v>
      </c>
      <c r="G423" t="s">
        <v>32</v>
      </c>
      <c r="H423" s="1">
        <v>44937</v>
      </c>
      <c r="I423" t="s">
        <v>518</v>
      </c>
      <c r="J423" t="s">
        <v>42</v>
      </c>
      <c r="K423" t="s">
        <v>43</v>
      </c>
      <c r="L423" s="2" t="s">
        <v>333</v>
      </c>
    </row>
    <row r="424" spans="1:12" x14ac:dyDescent="0.3">
      <c r="A424" t="s">
        <v>516</v>
      </c>
      <c r="B424">
        <v>6934</v>
      </c>
      <c r="C424">
        <v>1152</v>
      </c>
      <c r="D424">
        <v>6</v>
      </c>
      <c r="E424" t="s">
        <v>30</v>
      </c>
      <c r="F424" t="s">
        <v>31</v>
      </c>
      <c r="G424" t="s">
        <v>47</v>
      </c>
      <c r="H424" s="1">
        <v>44495</v>
      </c>
      <c r="I424" t="s">
        <v>517</v>
      </c>
      <c r="J424" t="s">
        <v>71</v>
      </c>
      <c r="K424" t="s">
        <v>86</v>
      </c>
      <c r="L424" s="2" t="s">
        <v>37</v>
      </c>
    </row>
    <row r="425" spans="1:12" x14ac:dyDescent="0.3">
      <c r="A425" t="s">
        <v>516</v>
      </c>
      <c r="B425">
        <v>6934</v>
      </c>
      <c r="C425">
        <v>1152</v>
      </c>
      <c r="D425">
        <v>6</v>
      </c>
      <c r="E425" t="s">
        <v>30</v>
      </c>
      <c r="F425" t="s">
        <v>31</v>
      </c>
      <c r="G425" t="s">
        <v>47</v>
      </c>
      <c r="H425" s="1">
        <v>44937</v>
      </c>
      <c r="I425" t="s">
        <v>518</v>
      </c>
      <c r="J425" t="s">
        <v>42</v>
      </c>
      <c r="K425" t="s">
        <v>43</v>
      </c>
      <c r="L425" s="2" t="s">
        <v>333</v>
      </c>
    </row>
    <row r="426" spans="1:12" x14ac:dyDescent="0.3">
      <c r="A426" t="s">
        <v>519</v>
      </c>
      <c r="B426">
        <v>9640</v>
      </c>
      <c r="C426">
        <v>2606</v>
      </c>
      <c r="D426">
        <v>2</v>
      </c>
      <c r="E426" t="s">
        <v>45</v>
      </c>
      <c r="F426" t="s">
        <v>109</v>
      </c>
      <c r="G426" t="s">
        <v>47</v>
      </c>
      <c r="H426" s="1">
        <v>44500</v>
      </c>
      <c r="I426" t="s">
        <v>520</v>
      </c>
      <c r="J426" t="s">
        <v>21</v>
      </c>
      <c r="K426" t="s">
        <v>172</v>
      </c>
      <c r="L426" s="2" t="s">
        <v>37</v>
      </c>
    </row>
    <row r="427" spans="1:12" x14ac:dyDescent="0.3">
      <c r="A427" t="s">
        <v>521</v>
      </c>
      <c r="B427">
        <v>7930</v>
      </c>
      <c r="C427">
        <v>1981</v>
      </c>
      <c r="D427">
        <v>13</v>
      </c>
      <c r="E427" t="s">
        <v>45</v>
      </c>
      <c r="F427" t="s">
        <v>49</v>
      </c>
      <c r="G427" t="s">
        <v>47</v>
      </c>
      <c r="H427" s="1">
        <v>45050</v>
      </c>
      <c r="I427" t="s">
        <v>522</v>
      </c>
      <c r="J427" t="s">
        <v>98</v>
      </c>
      <c r="K427" t="s">
        <v>117</v>
      </c>
      <c r="L427" s="2" t="s">
        <v>127</v>
      </c>
    </row>
    <row r="428" spans="1:12" x14ac:dyDescent="0.3">
      <c r="A428" t="s">
        <v>521</v>
      </c>
      <c r="B428">
        <v>7930</v>
      </c>
      <c r="C428">
        <v>1981</v>
      </c>
      <c r="D428">
        <v>13</v>
      </c>
      <c r="E428" t="s">
        <v>45</v>
      </c>
      <c r="F428" t="s">
        <v>49</v>
      </c>
      <c r="G428" t="s">
        <v>47</v>
      </c>
      <c r="H428" s="1">
        <v>45513</v>
      </c>
      <c r="I428" t="s">
        <v>523</v>
      </c>
      <c r="J428" t="s">
        <v>21</v>
      </c>
      <c r="K428" t="s">
        <v>63</v>
      </c>
      <c r="L428" s="2" t="s">
        <v>114</v>
      </c>
    </row>
    <row r="429" spans="1:12" x14ac:dyDescent="0.3">
      <c r="A429" t="s">
        <v>524</v>
      </c>
      <c r="B429">
        <v>9894</v>
      </c>
      <c r="C429">
        <v>829</v>
      </c>
      <c r="D429">
        <v>1</v>
      </c>
      <c r="E429" t="s">
        <v>30</v>
      </c>
      <c r="F429" t="s">
        <v>78</v>
      </c>
      <c r="G429" t="s">
        <v>65</v>
      </c>
      <c r="H429" s="1">
        <v>44794</v>
      </c>
      <c r="I429" t="s">
        <v>525</v>
      </c>
      <c r="J429" t="s">
        <v>42</v>
      </c>
      <c r="K429" t="s">
        <v>75</v>
      </c>
      <c r="L429" s="2" t="s">
        <v>209</v>
      </c>
    </row>
    <row r="430" spans="1:12" x14ac:dyDescent="0.3">
      <c r="A430" t="s">
        <v>524</v>
      </c>
      <c r="B430">
        <v>4534</v>
      </c>
      <c r="C430">
        <v>2235</v>
      </c>
      <c r="D430">
        <v>4</v>
      </c>
      <c r="E430" t="s">
        <v>45</v>
      </c>
      <c r="F430" t="s">
        <v>46</v>
      </c>
      <c r="G430" t="s">
        <v>65</v>
      </c>
      <c r="H430" s="1">
        <v>44794</v>
      </c>
      <c r="I430" t="s">
        <v>525</v>
      </c>
      <c r="J430" t="s">
        <v>42</v>
      </c>
      <c r="K430" t="s">
        <v>75</v>
      </c>
      <c r="L430" s="2" t="s">
        <v>209</v>
      </c>
    </row>
    <row r="431" spans="1:12" x14ac:dyDescent="0.3">
      <c r="A431" t="s">
        <v>526</v>
      </c>
      <c r="B431">
        <v>4911</v>
      </c>
      <c r="C431">
        <v>186</v>
      </c>
      <c r="D431">
        <v>20</v>
      </c>
      <c r="E431" t="s">
        <v>13</v>
      </c>
      <c r="F431" t="s">
        <v>82</v>
      </c>
      <c r="G431" t="s">
        <v>32</v>
      </c>
      <c r="H431" s="1">
        <v>44731</v>
      </c>
      <c r="I431" t="s">
        <v>527</v>
      </c>
      <c r="J431" t="s">
        <v>25</v>
      </c>
      <c r="K431" t="s">
        <v>26</v>
      </c>
      <c r="L431" s="2" t="s">
        <v>165</v>
      </c>
    </row>
    <row r="432" spans="1:12" x14ac:dyDescent="0.3">
      <c r="A432" t="s">
        <v>526</v>
      </c>
      <c r="B432">
        <v>531</v>
      </c>
      <c r="C432">
        <v>189</v>
      </c>
      <c r="D432">
        <v>20</v>
      </c>
      <c r="E432" t="s">
        <v>45</v>
      </c>
      <c r="F432" t="s">
        <v>109</v>
      </c>
      <c r="G432" t="s">
        <v>32</v>
      </c>
      <c r="H432" s="1">
        <v>44731</v>
      </c>
      <c r="I432" t="s">
        <v>527</v>
      </c>
      <c r="J432" t="s">
        <v>25</v>
      </c>
      <c r="K432" t="s">
        <v>26</v>
      </c>
      <c r="L432" s="2" t="s">
        <v>165</v>
      </c>
    </row>
    <row r="433" spans="1:12" x14ac:dyDescent="0.3">
      <c r="A433" t="s">
        <v>528</v>
      </c>
      <c r="B433">
        <v>9707</v>
      </c>
      <c r="C433">
        <v>3483</v>
      </c>
      <c r="D433">
        <v>10</v>
      </c>
      <c r="E433" t="s">
        <v>13</v>
      </c>
      <c r="F433" t="s">
        <v>14</v>
      </c>
      <c r="G433" t="s">
        <v>40</v>
      </c>
      <c r="H433" s="1">
        <v>45686</v>
      </c>
      <c r="I433" t="s">
        <v>529</v>
      </c>
      <c r="J433" t="s">
        <v>21</v>
      </c>
      <c r="K433" t="s">
        <v>172</v>
      </c>
      <c r="L433" s="2" t="s">
        <v>308</v>
      </c>
    </row>
    <row r="434" spans="1:12" x14ac:dyDescent="0.3">
      <c r="A434" t="s">
        <v>528</v>
      </c>
      <c r="B434">
        <v>8521</v>
      </c>
      <c r="C434">
        <v>2584</v>
      </c>
      <c r="D434">
        <v>7</v>
      </c>
      <c r="E434" t="s">
        <v>30</v>
      </c>
      <c r="F434" t="s">
        <v>64</v>
      </c>
      <c r="G434" t="s">
        <v>65</v>
      </c>
      <c r="H434" s="1">
        <v>45686</v>
      </c>
      <c r="I434" t="s">
        <v>529</v>
      </c>
      <c r="J434" t="s">
        <v>21</v>
      </c>
      <c r="K434" t="s">
        <v>172</v>
      </c>
      <c r="L434" s="2" t="s">
        <v>308</v>
      </c>
    </row>
    <row r="435" spans="1:12" x14ac:dyDescent="0.3">
      <c r="A435" t="s">
        <v>530</v>
      </c>
      <c r="B435">
        <v>8438</v>
      </c>
      <c r="C435">
        <v>3427</v>
      </c>
      <c r="D435">
        <v>12</v>
      </c>
      <c r="E435" t="s">
        <v>30</v>
      </c>
      <c r="F435" t="s">
        <v>78</v>
      </c>
      <c r="G435" t="s">
        <v>47</v>
      </c>
      <c r="H435" s="1">
        <v>44575</v>
      </c>
      <c r="I435" t="s">
        <v>531</v>
      </c>
      <c r="J435" t="s">
        <v>25</v>
      </c>
      <c r="K435" t="s">
        <v>26</v>
      </c>
      <c r="L435" s="2" t="s">
        <v>87</v>
      </c>
    </row>
    <row r="436" spans="1:12" x14ac:dyDescent="0.3">
      <c r="A436" t="s">
        <v>530</v>
      </c>
      <c r="B436">
        <v>1689</v>
      </c>
      <c r="C436">
        <v>109</v>
      </c>
      <c r="D436">
        <v>9</v>
      </c>
      <c r="E436" t="s">
        <v>13</v>
      </c>
      <c r="F436" t="s">
        <v>14</v>
      </c>
      <c r="G436" t="s">
        <v>15</v>
      </c>
      <c r="H436" s="1">
        <v>44575</v>
      </c>
      <c r="I436" t="s">
        <v>531</v>
      </c>
      <c r="J436" t="s">
        <v>25</v>
      </c>
      <c r="K436" t="s">
        <v>26</v>
      </c>
      <c r="L436" s="2" t="s">
        <v>87</v>
      </c>
    </row>
    <row r="437" spans="1:12" x14ac:dyDescent="0.3">
      <c r="A437" t="s">
        <v>530</v>
      </c>
      <c r="B437">
        <v>3936</v>
      </c>
      <c r="C437">
        <v>1626</v>
      </c>
      <c r="D437">
        <v>14</v>
      </c>
      <c r="E437" t="s">
        <v>30</v>
      </c>
      <c r="F437" t="s">
        <v>64</v>
      </c>
      <c r="G437" t="s">
        <v>65</v>
      </c>
      <c r="H437" s="1">
        <v>44575</v>
      </c>
      <c r="I437" t="s">
        <v>531</v>
      </c>
      <c r="J437" t="s">
        <v>25</v>
      </c>
      <c r="K437" t="s">
        <v>26</v>
      </c>
      <c r="L437" s="2" t="s">
        <v>87</v>
      </c>
    </row>
    <row r="438" spans="1:12" x14ac:dyDescent="0.3">
      <c r="A438" t="s">
        <v>532</v>
      </c>
      <c r="B438">
        <v>7664</v>
      </c>
      <c r="C438">
        <v>1753</v>
      </c>
      <c r="D438">
        <v>19</v>
      </c>
      <c r="E438" t="s">
        <v>13</v>
      </c>
      <c r="F438" t="s">
        <v>82</v>
      </c>
      <c r="G438" t="s">
        <v>32</v>
      </c>
      <c r="H438" s="1">
        <v>45092</v>
      </c>
      <c r="I438" t="s">
        <v>533</v>
      </c>
      <c r="J438" t="s">
        <v>98</v>
      </c>
      <c r="K438" t="s">
        <v>107</v>
      </c>
      <c r="L438" s="2" t="s">
        <v>19</v>
      </c>
    </row>
    <row r="439" spans="1:12" x14ac:dyDescent="0.3">
      <c r="A439" t="s">
        <v>534</v>
      </c>
      <c r="B439">
        <v>721</v>
      </c>
      <c r="C439">
        <v>258</v>
      </c>
      <c r="D439">
        <v>13</v>
      </c>
      <c r="E439" t="s">
        <v>13</v>
      </c>
      <c r="F439" t="s">
        <v>39</v>
      </c>
      <c r="G439" t="s">
        <v>32</v>
      </c>
      <c r="H439" s="1">
        <v>45217</v>
      </c>
      <c r="I439" t="s">
        <v>535</v>
      </c>
      <c r="J439" t="s">
        <v>21</v>
      </c>
      <c r="K439" t="s">
        <v>172</v>
      </c>
      <c r="L439" s="2" t="s">
        <v>442</v>
      </c>
    </row>
    <row r="440" spans="1:12" x14ac:dyDescent="0.3">
      <c r="A440" t="s">
        <v>534</v>
      </c>
      <c r="B440">
        <v>721</v>
      </c>
      <c r="C440">
        <v>258</v>
      </c>
      <c r="D440">
        <v>13</v>
      </c>
      <c r="E440" t="s">
        <v>13</v>
      </c>
      <c r="F440" t="s">
        <v>39</v>
      </c>
      <c r="G440" t="s">
        <v>32</v>
      </c>
      <c r="H440" s="1">
        <v>44725</v>
      </c>
      <c r="I440" t="s">
        <v>536</v>
      </c>
      <c r="J440" t="s">
        <v>25</v>
      </c>
      <c r="K440" t="s">
        <v>26</v>
      </c>
      <c r="L440" s="2" t="s">
        <v>165</v>
      </c>
    </row>
    <row r="441" spans="1:12" x14ac:dyDescent="0.3">
      <c r="A441" t="s">
        <v>534</v>
      </c>
      <c r="B441">
        <v>8364</v>
      </c>
      <c r="C441">
        <v>3055</v>
      </c>
      <c r="D441">
        <v>17</v>
      </c>
      <c r="E441" t="s">
        <v>13</v>
      </c>
      <c r="F441" t="s">
        <v>39</v>
      </c>
      <c r="G441" t="s">
        <v>47</v>
      </c>
      <c r="H441" s="1">
        <v>45217</v>
      </c>
      <c r="I441" t="s">
        <v>535</v>
      </c>
      <c r="J441" t="s">
        <v>21</v>
      </c>
      <c r="K441" t="s">
        <v>172</v>
      </c>
      <c r="L441" s="2" t="s">
        <v>442</v>
      </c>
    </row>
    <row r="442" spans="1:12" x14ac:dyDescent="0.3">
      <c r="A442" t="s">
        <v>534</v>
      </c>
      <c r="B442">
        <v>8364</v>
      </c>
      <c r="C442">
        <v>3055</v>
      </c>
      <c r="D442">
        <v>17</v>
      </c>
      <c r="E442" t="s">
        <v>13</v>
      </c>
      <c r="F442" t="s">
        <v>39</v>
      </c>
      <c r="G442" t="s">
        <v>47</v>
      </c>
      <c r="H442" s="1">
        <v>44725</v>
      </c>
      <c r="I442" t="s">
        <v>536</v>
      </c>
      <c r="J442" t="s">
        <v>25</v>
      </c>
      <c r="K442" t="s">
        <v>26</v>
      </c>
      <c r="L442" s="2" t="s">
        <v>165</v>
      </c>
    </row>
    <row r="443" spans="1:12" x14ac:dyDescent="0.3">
      <c r="A443" t="s">
        <v>534</v>
      </c>
      <c r="B443">
        <v>5234</v>
      </c>
      <c r="C443">
        <v>2021</v>
      </c>
      <c r="D443">
        <v>15</v>
      </c>
      <c r="E443" t="s">
        <v>45</v>
      </c>
      <c r="F443" t="s">
        <v>109</v>
      </c>
      <c r="G443" t="s">
        <v>40</v>
      </c>
      <c r="H443" s="1">
        <v>45217</v>
      </c>
      <c r="I443" t="s">
        <v>535</v>
      </c>
      <c r="J443" t="s">
        <v>21</v>
      </c>
      <c r="K443" t="s">
        <v>172</v>
      </c>
      <c r="L443" s="2" t="s">
        <v>442</v>
      </c>
    </row>
    <row r="444" spans="1:12" x14ac:dyDescent="0.3">
      <c r="A444" t="s">
        <v>534</v>
      </c>
      <c r="B444">
        <v>5234</v>
      </c>
      <c r="C444">
        <v>2021</v>
      </c>
      <c r="D444">
        <v>15</v>
      </c>
      <c r="E444" t="s">
        <v>45</v>
      </c>
      <c r="F444" t="s">
        <v>109</v>
      </c>
      <c r="G444" t="s">
        <v>40</v>
      </c>
      <c r="H444" s="1">
        <v>44725</v>
      </c>
      <c r="I444" t="s">
        <v>536</v>
      </c>
      <c r="J444" t="s">
        <v>25</v>
      </c>
      <c r="K444" t="s">
        <v>26</v>
      </c>
      <c r="L444" s="2" t="s">
        <v>165</v>
      </c>
    </row>
    <row r="445" spans="1:12" x14ac:dyDescent="0.3">
      <c r="A445" t="s">
        <v>537</v>
      </c>
      <c r="B445">
        <v>3944</v>
      </c>
      <c r="C445">
        <v>1559</v>
      </c>
      <c r="D445">
        <v>18</v>
      </c>
      <c r="E445" t="s">
        <v>13</v>
      </c>
      <c r="F445" t="s">
        <v>82</v>
      </c>
      <c r="G445" t="s">
        <v>47</v>
      </c>
      <c r="H445" s="1">
        <v>45455</v>
      </c>
      <c r="I445" t="s">
        <v>538</v>
      </c>
      <c r="J445" t="s">
        <v>42</v>
      </c>
      <c r="K445" t="s">
        <v>92</v>
      </c>
      <c r="L445" s="2" t="s">
        <v>262</v>
      </c>
    </row>
    <row r="446" spans="1:12" x14ac:dyDescent="0.3">
      <c r="A446" t="s">
        <v>537</v>
      </c>
      <c r="B446">
        <v>6711</v>
      </c>
      <c r="C446">
        <v>1045</v>
      </c>
      <c r="D446">
        <v>12</v>
      </c>
      <c r="E446" t="s">
        <v>30</v>
      </c>
      <c r="F446" t="s">
        <v>31</v>
      </c>
      <c r="G446" t="s">
        <v>47</v>
      </c>
      <c r="H446" s="1">
        <v>45455</v>
      </c>
      <c r="I446" t="s">
        <v>538</v>
      </c>
      <c r="J446" t="s">
        <v>42</v>
      </c>
      <c r="K446" t="s">
        <v>92</v>
      </c>
      <c r="L446" s="2" t="s">
        <v>262</v>
      </c>
    </row>
    <row r="447" spans="1:12" x14ac:dyDescent="0.3">
      <c r="A447" t="s">
        <v>537</v>
      </c>
      <c r="B447">
        <v>5031</v>
      </c>
      <c r="C447">
        <v>714</v>
      </c>
      <c r="D447">
        <v>4</v>
      </c>
      <c r="E447" t="s">
        <v>45</v>
      </c>
      <c r="F447" t="s">
        <v>46</v>
      </c>
      <c r="G447" t="s">
        <v>47</v>
      </c>
      <c r="H447" s="1">
        <v>45455</v>
      </c>
      <c r="I447" t="s">
        <v>538</v>
      </c>
      <c r="J447" t="s">
        <v>42</v>
      </c>
      <c r="K447" t="s">
        <v>92</v>
      </c>
      <c r="L447" s="2" t="s">
        <v>262</v>
      </c>
    </row>
    <row r="448" spans="1:12" x14ac:dyDescent="0.3">
      <c r="A448" t="s">
        <v>537</v>
      </c>
      <c r="B448">
        <v>6295</v>
      </c>
      <c r="C448">
        <v>2469</v>
      </c>
      <c r="D448">
        <v>14</v>
      </c>
      <c r="E448" t="s">
        <v>30</v>
      </c>
      <c r="F448" t="s">
        <v>78</v>
      </c>
      <c r="G448" t="s">
        <v>40</v>
      </c>
      <c r="H448" s="1">
        <v>45455</v>
      </c>
      <c r="I448" t="s">
        <v>538</v>
      </c>
      <c r="J448" t="s">
        <v>42</v>
      </c>
      <c r="K448" t="s">
        <v>92</v>
      </c>
      <c r="L448" s="2" t="s">
        <v>262</v>
      </c>
    </row>
    <row r="449" spans="1:12" x14ac:dyDescent="0.3">
      <c r="A449" t="s">
        <v>539</v>
      </c>
      <c r="B449">
        <v>9654</v>
      </c>
      <c r="C449">
        <v>4111</v>
      </c>
      <c r="D449">
        <v>1</v>
      </c>
      <c r="E449" t="s">
        <v>30</v>
      </c>
      <c r="F449" t="s">
        <v>64</v>
      </c>
      <c r="G449" t="s">
        <v>15</v>
      </c>
      <c r="H449" s="1">
        <v>44739</v>
      </c>
      <c r="I449" t="s">
        <v>540</v>
      </c>
      <c r="J449" t="s">
        <v>42</v>
      </c>
      <c r="K449" t="s">
        <v>92</v>
      </c>
      <c r="L449" s="2" t="s">
        <v>165</v>
      </c>
    </row>
    <row r="450" spans="1:12" x14ac:dyDescent="0.3">
      <c r="A450" t="s">
        <v>539</v>
      </c>
      <c r="B450">
        <v>3112</v>
      </c>
      <c r="C450">
        <v>1065</v>
      </c>
      <c r="D450">
        <v>20</v>
      </c>
      <c r="E450" t="s">
        <v>30</v>
      </c>
      <c r="F450" t="s">
        <v>78</v>
      </c>
      <c r="G450" t="s">
        <v>65</v>
      </c>
      <c r="H450" s="1">
        <v>44739</v>
      </c>
      <c r="I450" t="s">
        <v>540</v>
      </c>
      <c r="J450" t="s">
        <v>42</v>
      </c>
      <c r="K450" t="s">
        <v>92</v>
      </c>
      <c r="L450" s="2" t="s">
        <v>165</v>
      </c>
    </row>
    <row r="451" spans="1:12" x14ac:dyDescent="0.3">
      <c r="A451" t="s">
        <v>541</v>
      </c>
      <c r="B451">
        <v>7838</v>
      </c>
      <c r="C451">
        <v>1142</v>
      </c>
      <c r="D451">
        <v>13</v>
      </c>
      <c r="E451" t="s">
        <v>13</v>
      </c>
      <c r="F451" t="s">
        <v>82</v>
      </c>
      <c r="G451" t="s">
        <v>15</v>
      </c>
      <c r="H451" s="1">
        <v>44245</v>
      </c>
      <c r="I451" t="s">
        <v>542</v>
      </c>
      <c r="J451" t="s">
        <v>42</v>
      </c>
      <c r="K451" t="s">
        <v>92</v>
      </c>
      <c r="L451" s="2" t="s">
        <v>292</v>
      </c>
    </row>
    <row r="452" spans="1:12" x14ac:dyDescent="0.3">
      <c r="A452" t="s">
        <v>541</v>
      </c>
      <c r="B452">
        <v>9300</v>
      </c>
      <c r="C452">
        <v>3146</v>
      </c>
      <c r="D452">
        <v>6</v>
      </c>
      <c r="E452" t="s">
        <v>13</v>
      </c>
      <c r="F452" t="s">
        <v>82</v>
      </c>
      <c r="G452" t="s">
        <v>47</v>
      </c>
      <c r="H452" s="1">
        <v>44245</v>
      </c>
      <c r="I452" t="s">
        <v>542</v>
      </c>
      <c r="J452" t="s">
        <v>42</v>
      </c>
      <c r="K452" t="s">
        <v>92</v>
      </c>
      <c r="L452" s="2" t="s">
        <v>292</v>
      </c>
    </row>
    <row r="453" spans="1:12" x14ac:dyDescent="0.3">
      <c r="A453" t="s">
        <v>541</v>
      </c>
      <c r="B453">
        <v>1733</v>
      </c>
      <c r="C453">
        <v>133</v>
      </c>
      <c r="D453">
        <v>17</v>
      </c>
      <c r="E453" t="s">
        <v>30</v>
      </c>
      <c r="F453" t="s">
        <v>64</v>
      </c>
      <c r="G453" t="s">
        <v>32</v>
      </c>
      <c r="H453" s="1">
        <v>44245</v>
      </c>
      <c r="I453" t="s">
        <v>542</v>
      </c>
      <c r="J453" t="s">
        <v>42</v>
      </c>
      <c r="K453" t="s">
        <v>92</v>
      </c>
      <c r="L453" s="2" t="s">
        <v>292</v>
      </c>
    </row>
    <row r="454" spans="1:12" x14ac:dyDescent="0.3">
      <c r="A454" t="s">
        <v>543</v>
      </c>
      <c r="B454">
        <v>874</v>
      </c>
      <c r="C454">
        <v>235</v>
      </c>
      <c r="D454">
        <v>15</v>
      </c>
      <c r="E454" t="s">
        <v>30</v>
      </c>
      <c r="F454" t="s">
        <v>78</v>
      </c>
      <c r="G454" t="s">
        <v>32</v>
      </c>
      <c r="H454" s="1">
        <v>45075</v>
      </c>
      <c r="I454" t="s">
        <v>544</v>
      </c>
      <c r="J454" t="s">
        <v>25</v>
      </c>
      <c r="K454" t="s">
        <v>68</v>
      </c>
      <c r="L454" s="2" t="s">
        <v>127</v>
      </c>
    </row>
    <row r="455" spans="1:12" x14ac:dyDescent="0.3">
      <c r="A455" t="s">
        <v>543</v>
      </c>
      <c r="B455">
        <v>874</v>
      </c>
      <c r="C455">
        <v>235</v>
      </c>
      <c r="D455">
        <v>15</v>
      </c>
      <c r="E455" t="s">
        <v>30</v>
      </c>
      <c r="F455" t="s">
        <v>78</v>
      </c>
      <c r="G455" t="s">
        <v>32</v>
      </c>
      <c r="H455" s="1">
        <v>44351</v>
      </c>
      <c r="I455" t="s">
        <v>545</v>
      </c>
      <c r="J455" t="s">
        <v>17</v>
      </c>
      <c r="K455" t="s">
        <v>18</v>
      </c>
      <c r="L455" s="2" t="s">
        <v>125</v>
      </c>
    </row>
    <row r="456" spans="1:12" x14ac:dyDescent="0.3">
      <c r="A456" t="s">
        <v>546</v>
      </c>
      <c r="B456">
        <v>1248</v>
      </c>
      <c r="C456">
        <v>584</v>
      </c>
      <c r="D456">
        <v>13</v>
      </c>
      <c r="E456" t="s">
        <v>30</v>
      </c>
      <c r="F456" t="s">
        <v>31</v>
      </c>
      <c r="G456" t="s">
        <v>40</v>
      </c>
      <c r="H456" s="1">
        <v>45313</v>
      </c>
      <c r="I456" t="s">
        <v>547</v>
      </c>
      <c r="J456" t="s">
        <v>98</v>
      </c>
      <c r="K456" t="s">
        <v>99</v>
      </c>
      <c r="L456" s="2" t="s">
        <v>76</v>
      </c>
    </row>
    <row r="457" spans="1:12" x14ac:dyDescent="0.3">
      <c r="A457" t="s">
        <v>546</v>
      </c>
      <c r="B457">
        <v>1248</v>
      </c>
      <c r="C457">
        <v>584</v>
      </c>
      <c r="D457">
        <v>13</v>
      </c>
      <c r="E457" t="s">
        <v>30</v>
      </c>
      <c r="F457" t="s">
        <v>31</v>
      </c>
      <c r="G457" t="s">
        <v>40</v>
      </c>
      <c r="H457" s="1">
        <v>44922</v>
      </c>
      <c r="I457" t="s">
        <v>548</v>
      </c>
      <c r="J457" t="s">
        <v>42</v>
      </c>
      <c r="K457" t="s">
        <v>92</v>
      </c>
      <c r="L457" s="2" t="s">
        <v>152</v>
      </c>
    </row>
    <row r="458" spans="1:12" x14ac:dyDescent="0.3">
      <c r="A458" t="s">
        <v>546</v>
      </c>
      <c r="B458">
        <v>3669</v>
      </c>
      <c r="C458">
        <v>154</v>
      </c>
      <c r="D458">
        <v>14</v>
      </c>
      <c r="E458" t="s">
        <v>30</v>
      </c>
      <c r="F458" t="s">
        <v>57</v>
      </c>
      <c r="G458" t="s">
        <v>40</v>
      </c>
      <c r="H458" s="1">
        <v>45313</v>
      </c>
      <c r="I458" t="s">
        <v>547</v>
      </c>
      <c r="J458" t="s">
        <v>98</v>
      </c>
      <c r="K458" t="s">
        <v>99</v>
      </c>
      <c r="L458" s="2" t="s">
        <v>76</v>
      </c>
    </row>
    <row r="459" spans="1:12" x14ac:dyDescent="0.3">
      <c r="A459" t="s">
        <v>546</v>
      </c>
      <c r="B459">
        <v>3669</v>
      </c>
      <c r="C459">
        <v>154</v>
      </c>
      <c r="D459">
        <v>14</v>
      </c>
      <c r="E459" t="s">
        <v>30</v>
      </c>
      <c r="F459" t="s">
        <v>57</v>
      </c>
      <c r="G459" t="s">
        <v>40</v>
      </c>
      <c r="H459" s="1">
        <v>44922</v>
      </c>
      <c r="I459" t="s">
        <v>548</v>
      </c>
      <c r="J459" t="s">
        <v>42</v>
      </c>
      <c r="K459" t="s">
        <v>92</v>
      </c>
      <c r="L459" s="2" t="s">
        <v>152</v>
      </c>
    </row>
    <row r="460" spans="1:12" x14ac:dyDescent="0.3">
      <c r="A460" t="s">
        <v>546</v>
      </c>
      <c r="B460">
        <v>514</v>
      </c>
      <c r="C460">
        <v>109</v>
      </c>
      <c r="D460">
        <v>15</v>
      </c>
      <c r="E460" t="s">
        <v>30</v>
      </c>
      <c r="F460" t="s">
        <v>64</v>
      </c>
      <c r="G460" t="s">
        <v>32</v>
      </c>
      <c r="H460" s="1">
        <v>45313</v>
      </c>
      <c r="I460" t="s">
        <v>547</v>
      </c>
      <c r="J460" t="s">
        <v>98</v>
      </c>
      <c r="K460" t="s">
        <v>99</v>
      </c>
      <c r="L460" s="2" t="s">
        <v>76</v>
      </c>
    </row>
    <row r="461" spans="1:12" x14ac:dyDescent="0.3">
      <c r="A461" t="s">
        <v>546</v>
      </c>
      <c r="B461">
        <v>514</v>
      </c>
      <c r="C461">
        <v>109</v>
      </c>
      <c r="D461">
        <v>15</v>
      </c>
      <c r="E461" t="s">
        <v>30</v>
      </c>
      <c r="F461" t="s">
        <v>64</v>
      </c>
      <c r="G461" t="s">
        <v>32</v>
      </c>
      <c r="H461" s="1">
        <v>44922</v>
      </c>
      <c r="I461" t="s">
        <v>548</v>
      </c>
      <c r="J461" t="s">
        <v>42</v>
      </c>
      <c r="K461" t="s">
        <v>92</v>
      </c>
      <c r="L461" s="2" t="s">
        <v>152</v>
      </c>
    </row>
    <row r="462" spans="1:12" x14ac:dyDescent="0.3">
      <c r="A462" t="s">
        <v>549</v>
      </c>
      <c r="B462">
        <v>3273</v>
      </c>
      <c r="C462">
        <v>85</v>
      </c>
      <c r="D462">
        <v>16</v>
      </c>
      <c r="E462" t="s">
        <v>13</v>
      </c>
      <c r="F462" t="s">
        <v>82</v>
      </c>
      <c r="G462" t="s">
        <v>15</v>
      </c>
      <c r="H462" s="1">
        <v>45381</v>
      </c>
      <c r="I462" t="s">
        <v>550</v>
      </c>
      <c r="J462" t="s">
        <v>98</v>
      </c>
      <c r="K462" t="s">
        <v>107</v>
      </c>
      <c r="L462" s="2" t="s">
        <v>338</v>
      </c>
    </row>
    <row r="463" spans="1:12" x14ac:dyDescent="0.3">
      <c r="A463" t="s">
        <v>551</v>
      </c>
      <c r="B463">
        <v>5035</v>
      </c>
      <c r="C463">
        <v>2008</v>
      </c>
      <c r="D463">
        <v>2</v>
      </c>
      <c r="E463" t="s">
        <v>45</v>
      </c>
      <c r="F463" t="s">
        <v>49</v>
      </c>
      <c r="G463" t="s">
        <v>65</v>
      </c>
      <c r="H463" s="1">
        <v>43925</v>
      </c>
      <c r="I463" t="s">
        <v>552</v>
      </c>
      <c r="J463" t="s">
        <v>17</v>
      </c>
      <c r="K463" t="s">
        <v>18</v>
      </c>
      <c r="L463" s="2" t="s">
        <v>162</v>
      </c>
    </row>
    <row r="464" spans="1:12" x14ac:dyDescent="0.3">
      <c r="A464" t="s">
        <v>551</v>
      </c>
      <c r="B464">
        <v>7702</v>
      </c>
      <c r="C464">
        <v>60</v>
      </c>
      <c r="D464">
        <v>19</v>
      </c>
      <c r="E464" t="s">
        <v>13</v>
      </c>
      <c r="F464" t="s">
        <v>28</v>
      </c>
      <c r="G464" t="s">
        <v>15</v>
      </c>
      <c r="H464" s="1">
        <v>43925</v>
      </c>
      <c r="I464" t="s">
        <v>552</v>
      </c>
      <c r="J464" t="s">
        <v>17</v>
      </c>
      <c r="K464" t="s">
        <v>18</v>
      </c>
      <c r="L464" s="2" t="s">
        <v>162</v>
      </c>
    </row>
    <row r="465" spans="1:12" x14ac:dyDescent="0.3">
      <c r="A465" t="s">
        <v>551</v>
      </c>
      <c r="B465">
        <v>9884</v>
      </c>
      <c r="C465">
        <v>4446</v>
      </c>
      <c r="D465">
        <v>7</v>
      </c>
      <c r="E465" t="s">
        <v>13</v>
      </c>
      <c r="F465" t="s">
        <v>28</v>
      </c>
      <c r="G465" t="s">
        <v>40</v>
      </c>
      <c r="H465" s="1">
        <v>43925</v>
      </c>
      <c r="I465" t="s">
        <v>552</v>
      </c>
      <c r="J465" t="s">
        <v>17</v>
      </c>
      <c r="K465" t="s">
        <v>18</v>
      </c>
      <c r="L465" s="2" t="s">
        <v>162</v>
      </c>
    </row>
    <row r="466" spans="1:12" x14ac:dyDescent="0.3">
      <c r="A466" t="s">
        <v>553</v>
      </c>
      <c r="B466">
        <v>5564</v>
      </c>
      <c r="C466">
        <v>175</v>
      </c>
      <c r="D466">
        <v>11</v>
      </c>
      <c r="E466" t="s">
        <v>13</v>
      </c>
      <c r="F466" t="s">
        <v>39</v>
      </c>
      <c r="G466" t="s">
        <v>65</v>
      </c>
      <c r="H466" s="1">
        <v>44948</v>
      </c>
      <c r="I466" t="s">
        <v>554</v>
      </c>
      <c r="J466" t="s">
        <v>21</v>
      </c>
      <c r="K466" t="s">
        <v>22</v>
      </c>
      <c r="L466" s="2" t="s">
        <v>333</v>
      </c>
    </row>
    <row r="467" spans="1:12" x14ac:dyDescent="0.3">
      <c r="A467" t="s">
        <v>553</v>
      </c>
      <c r="B467">
        <v>5564</v>
      </c>
      <c r="C467">
        <v>175</v>
      </c>
      <c r="D467">
        <v>11</v>
      </c>
      <c r="E467" t="s">
        <v>13</v>
      </c>
      <c r="F467" t="s">
        <v>39</v>
      </c>
      <c r="G467" t="s">
        <v>65</v>
      </c>
      <c r="H467" s="1">
        <v>44663</v>
      </c>
      <c r="I467" t="s">
        <v>555</v>
      </c>
      <c r="J467" t="s">
        <v>71</v>
      </c>
      <c r="K467" t="s">
        <v>138</v>
      </c>
      <c r="L467" s="2" t="s">
        <v>187</v>
      </c>
    </row>
    <row r="468" spans="1:12" x14ac:dyDescent="0.3">
      <c r="A468" t="s">
        <v>553</v>
      </c>
      <c r="B468">
        <v>5564</v>
      </c>
      <c r="C468">
        <v>175</v>
      </c>
      <c r="D468">
        <v>11</v>
      </c>
      <c r="E468" t="s">
        <v>13</v>
      </c>
      <c r="F468" t="s">
        <v>39</v>
      </c>
      <c r="G468" t="s">
        <v>65</v>
      </c>
      <c r="H468" s="1">
        <v>45273</v>
      </c>
      <c r="I468" t="s">
        <v>556</v>
      </c>
      <c r="J468" t="s">
        <v>17</v>
      </c>
      <c r="K468" t="s">
        <v>18</v>
      </c>
      <c r="L468" s="2" t="s">
        <v>102</v>
      </c>
    </row>
    <row r="469" spans="1:12" x14ac:dyDescent="0.3">
      <c r="A469" t="s">
        <v>553</v>
      </c>
      <c r="B469">
        <v>3953</v>
      </c>
      <c r="C469">
        <v>1776</v>
      </c>
      <c r="D469">
        <v>15</v>
      </c>
      <c r="E469" t="s">
        <v>13</v>
      </c>
      <c r="F469" t="s">
        <v>14</v>
      </c>
      <c r="G469" t="s">
        <v>15</v>
      </c>
      <c r="H469" s="1">
        <v>44948</v>
      </c>
      <c r="I469" t="s">
        <v>554</v>
      </c>
      <c r="J469" t="s">
        <v>21</v>
      </c>
      <c r="K469" t="s">
        <v>22</v>
      </c>
      <c r="L469" s="2" t="s">
        <v>333</v>
      </c>
    </row>
    <row r="470" spans="1:12" x14ac:dyDescent="0.3">
      <c r="A470" t="s">
        <v>553</v>
      </c>
      <c r="B470">
        <v>3953</v>
      </c>
      <c r="C470">
        <v>1776</v>
      </c>
      <c r="D470">
        <v>15</v>
      </c>
      <c r="E470" t="s">
        <v>13</v>
      </c>
      <c r="F470" t="s">
        <v>14</v>
      </c>
      <c r="G470" t="s">
        <v>15</v>
      </c>
      <c r="H470" s="1">
        <v>44663</v>
      </c>
      <c r="I470" t="s">
        <v>555</v>
      </c>
      <c r="J470" t="s">
        <v>71</v>
      </c>
      <c r="K470" t="s">
        <v>138</v>
      </c>
      <c r="L470" s="2" t="s">
        <v>187</v>
      </c>
    </row>
    <row r="471" spans="1:12" x14ac:dyDescent="0.3">
      <c r="A471" t="s">
        <v>553</v>
      </c>
      <c r="B471">
        <v>3953</v>
      </c>
      <c r="C471">
        <v>1776</v>
      </c>
      <c r="D471">
        <v>15</v>
      </c>
      <c r="E471" t="s">
        <v>13</v>
      </c>
      <c r="F471" t="s">
        <v>14</v>
      </c>
      <c r="G471" t="s">
        <v>15</v>
      </c>
      <c r="H471" s="1">
        <v>45273</v>
      </c>
      <c r="I471" t="s">
        <v>556</v>
      </c>
      <c r="J471" t="s">
        <v>17</v>
      </c>
      <c r="K471" t="s">
        <v>18</v>
      </c>
      <c r="L471" s="2" t="s">
        <v>102</v>
      </c>
    </row>
    <row r="472" spans="1:12" x14ac:dyDescent="0.3">
      <c r="A472" t="s">
        <v>557</v>
      </c>
      <c r="B472">
        <v>6488</v>
      </c>
      <c r="C472">
        <v>1591</v>
      </c>
      <c r="D472">
        <v>18</v>
      </c>
      <c r="E472" t="s">
        <v>13</v>
      </c>
      <c r="F472" t="s">
        <v>28</v>
      </c>
      <c r="G472" t="s">
        <v>40</v>
      </c>
      <c r="H472" s="1">
        <v>45070</v>
      </c>
      <c r="I472" t="s">
        <v>558</v>
      </c>
      <c r="J472" t="s">
        <v>71</v>
      </c>
      <c r="K472" t="s">
        <v>72</v>
      </c>
      <c r="L472" s="2" t="s">
        <v>127</v>
      </c>
    </row>
    <row r="473" spans="1:12" x14ac:dyDescent="0.3">
      <c r="A473" t="s">
        <v>557</v>
      </c>
      <c r="B473">
        <v>6488</v>
      </c>
      <c r="C473">
        <v>1591</v>
      </c>
      <c r="D473">
        <v>18</v>
      </c>
      <c r="E473" t="s">
        <v>13</v>
      </c>
      <c r="F473" t="s">
        <v>28</v>
      </c>
      <c r="G473" t="s">
        <v>40</v>
      </c>
      <c r="H473" s="1">
        <v>44164</v>
      </c>
      <c r="I473" t="s">
        <v>559</v>
      </c>
      <c r="J473" t="s">
        <v>71</v>
      </c>
      <c r="K473" t="s">
        <v>138</v>
      </c>
      <c r="L473" s="2" t="s">
        <v>80</v>
      </c>
    </row>
    <row r="474" spans="1:12" x14ac:dyDescent="0.3">
      <c r="A474" t="s">
        <v>560</v>
      </c>
      <c r="B474">
        <v>7856</v>
      </c>
      <c r="C474">
        <v>3699</v>
      </c>
      <c r="D474">
        <v>17</v>
      </c>
      <c r="E474" t="s">
        <v>13</v>
      </c>
      <c r="F474" t="s">
        <v>14</v>
      </c>
      <c r="G474" t="s">
        <v>15</v>
      </c>
      <c r="H474" s="1">
        <v>44279</v>
      </c>
      <c r="I474" t="s">
        <v>561</v>
      </c>
      <c r="J474" t="s">
        <v>17</v>
      </c>
      <c r="K474" t="s">
        <v>34</v>
      </c>
      <c r="L474" s="2" t="s">
        <v>167</v>
      </c>
    </row>
    <row r="475" spans="1:12" x14ac:dyDescent="0.3">
      <c r="A475" t="s">
        <v>560</v>
      </c>
      <c r="B475">
        <v>1165</v>
      </c>
      <c r="C475">
        <v>51</v>
      </c>
      <c r="D475">
        <v>3</v>
      </c>
      <c r="E475" t="s">
        <v>30</v>
      </c>
      <c r="F475" t="s">
        <v>31</v>
      </c>
      <c r="G475" t="s">
        <v>40</v>
      </c>
      <c r="H475" s="1">
        <v>44279</v>
      </c>
      <c r="I475" t="s">
        <v>561</v>
      </c>
      <c r="J475" t="s">
        <v>17</v>
      </c>
      <c r="K475" t="s">
        <v>34</v>
      </c>
      <c r="L475" s="2" t="s">
        <v>167</v>
      </c>
    </row>
    <row r="476" spans="1:12" x14ac:dyDescent="0.3">
      <c r="A476" t="s">
        <v>562</v>
      </c>
      <c r="B476">
        <v>9386</v>
      </c>
      <c r="C476">
        <v>2555</v>
      </c>
      <c r="D476">
        <v>20</v>
      </c>
      <c r="E476" t="s">
        <v>30</v>
      </c>
      <c r="F476" t="s">
        <v>57</v>
      </c>
      <c r="G476" t="s">
        <v>47</v>
      </c>
      <c r="H476" s="1">
        <v>44062</v>
      </c>
      <c r="I476" t="s">
        <v>563</v>
      </c>
      <c r="J476" t="s">
        <v>42</v>
      </c>
      <c r="K476" t="s">
        <v>75</v>
      </c>
      <c r="L476" s="2" t="s">
        <v>185</v>
      </c>
    </row>
    <row r="477" spans="1:12" x14ac:dyDescent="0.3">
      <c r="A477" t="s">
        <v>562</v>
      </c>
      <c r="B477">
        <v>9386</v>
      </c>
      <c r="C477">
        <v>2555</v>
      </c>
      <c r="D477">
        <v>20</v>
      </c>
      <c r="E477" t="s">
        <v>30</v>
      </c>
      <c r="F477" t="s">
        <v>57</v>
      </c>
      <c r="G477" t="s">
        <v>47</v>
      </c>
      <c r="H477" s="1">
        <v>44854</v>
      </c>
      <c r="I477" t="s">
        <v>564</v>
      </c>
      <c r="J477" t="s">
        <v>98</v>
      </c>
      <c r="K477" t="s">
        <v>117</v>
      </c>
      <c r="L477" s="2" t="s">
        <v>96</v>
      </c>
    </row>
    <row r="478" spans="1:12" x14ac:dyDescent="0.3">
      <c r="A478" t="s">
        <v>565</v>
      </c>
      <c r="B478">
        <v>3956</v>
      </c>
      <c r="C478">
        <v>142</v>
      </c>
      <c r="D478">
        <v>12</v>
      </c>
      <c r="E478" t="s">
        <v>30</v>
      </c>
      <c r="F478" t="s">
        <v>31</v>
      </c>
      <c r="G478" t="s">
        <v>32</v>
      </c>
      <c r="H478" s="1">
        <v>45189</v>
      </c>
      <c r="I478" t="s">
        <v>566</v>
      </c>
      <c r="J478" t="s">
        <v>17</v>
      </c>
      <c r="K478" t="s">
        <v>150</v>
      </c>
      <c r="L478" s="2" t="s">
        <v>273</v>
      </c>
    </row>
    <row r="479" spans="1:12" x14ac:dyDescent="0.3">
      <c r="A479" t="s">
        <v>565</v>
      </c>
      <c r="B479">
        <v>3956</v>
      </c>
      <c r="C479">
        <v>142</v>
      </c>
      <c r="D479">
        <v>12</v>
      </c>
      <c r="E479" t="s">
        <v>30</v>
      </c>
      <c r="F479" t="s">
        <v>31</v>
      </c>
      <c r="G479" t="s">
        <v>32</v>
      </c>
      <c r="H479" s="1">
        <v>45652</v>
      </c>
      <c r="I479" t="s">
        <v>567</v>
      </c>
      <c r="J479" t="s">
        <v>71</v>
      </c>
      <c r="K479" t="s">
        <v>72</v>
      </c>
      <c r="L479" s="2" t="s">
        <v>23</v>
      </c>
    </row>
    <row r="480" spans="1:12" x14ac:dyDescent="0.3">
      <c r="A480" t="s">
        <v>565</v>
      </c>
      <c r="B480">
        <v>6449</v>
      </c>
      <c r="C480">
        <v>2628</v>
      </c>
      <c r="D480">
        <v>11</v>
      </c>
      <c r="E480" t="s">
        <v>45</v>
      </c>
      <c r="F480" t="s">
        <v>109</v>
      </c>
      <c r="G480" t="s">
        <v>40</v>
      </c>
      <c r="H480" s="1">
        <v>45189</v>
      </c>
      <c r="I480" t="s">
        <v>566</v>
      </c>
      <c r="J480" t="s">
        <v>17</v>
      </c>
      <c r="K480" t="s">
        <v>150</v>
      </c>
      <c r="L480" s="2" t="s">
        <v>273</v>
      </c>
    </row>
    <row r="481" spans="1:12" x14ac:dyDescent="0.3">
      <c r="A481" t="s">
        <v>565</v>
      </c>
      <c r="B481">
        <v>6449</v>
      </c>
      <c r="C481">
        <v>2628</v>
      </c>
      <c r="D481">
        <v>11</v>
      </c>
      <c r="E481" t="s">
        <v>45</v>
      </c>
      <c r="F481" t="s">
        <v>109</v>
      </c>
      <c r="G481" t="s">
        <v>40</v>
      </c>
      <c r="H481" s="1">
        <v>45652</v>
      </c>
      <c r="I481" t="s">
        <v>567</v>
      </c>
      <c r="J481" t="s">
        <v>71</v>
      </c>
      <c r="K481" t="s">
        <v>72</v>
      </c>
      <c r="L481" s="2" t="s">
        <v>23</v>
      </c>
    </row>
    <row r="482" spans="1:12" x14ac:dyDescent="0.3">
      <c r="A482" t="s">
        <v>568</v>
      </c>
      <c r="B482">
        <v>6255</v>
      </c>
      <c r="C482">
        <v>437</v>
      </c>
      <c r="D482">
        <v>18</v>
      </c>
      <c r="E482" t="s">
        <v>30</v>
      </c>
      <c r="F482" t="s">
        <v>57</v>
      </c>
      <c r="G482" t="s">
        <v>65</v>
      </c>
      <c r="H482" s="1">
        <v>44533</v>
      </c>
      <c r="I482" t="s">
        <v>569</v>
      </c>
      <c r="J482" t="s">
        <v>25</v>
      </c>
      <c r="K482" t="s">
        <v>68</v>
      </c>
      <c r="L482" s="2" t="s">
        <v>90</v>
      </c>
    </row>
    <row r="483" spans="1:12" x14ac:dyDescent="0.3">
      <c r="A483" t="s">
        <v>568</v>
      </c>
      <c r="B483">
        <v>2109</v>
      </c>
      <c r="C483">
        <v>681</v>
      </c>
      <c r="D483">
        <v>20</v>
      </c>
      <c r="E483" t="s">
        <v>13</v>
      </c>
      <c r="F483" t="s">
        <v>14</v>
      </c>
      <c r="G483" t="s">
        <v>15</v>
      </c>
      <c r="H483" s="1">
        <v>44533</v>
      </c>
      <c r="I483" t="s">
        <v>569</v>
      </c>
      <c r="J483" t="s">
        <v>25</v>
      </c>
      <c r="K483" t="s">
        <v>68</v>
      </c>
      <c r="L483" s="2" t="s">
        <v>90</v>
      </c>
    </row>
    <row r="484" spans="1:12" x14ac:dyDescent="0.3">
      <c r="A484" t="s">
        <v>570</v>
      </c>
      <c r="B484">
        <v>6707</v>
      </c>
      <c r="C484">
        <v>1041</v>
      </c>
      <c r="D484">
        <v>20</v>
      </c>
      <c r="E484" t="s">
        <v>13</v>
      </c>
      <c r="F484" t="s">
        <v>82</v>
      </c>
      <c r="G484" t="s">
        <v>47</v>
      </c>
      <c r="H484" s="1">
        <v>44453</v>
      </c>
      <c r="I484" t="s">
        <v>571</v>
      </c>
      <c r="J484" t="s">
        <v>71</v>
      </c>
      <c r="K484" t="s">
        <v>86</v>
      </c>
      <c r="L484" s="2" t="s">
        <v>224</v>
      </c>
    </row>
    <row r="485" spans="1:12" x14ac:dyDescent="0.3">
      <c r="A485" t="s">
        <v>572</v>
      </c>
      <c r="B485">
        <v>7633</v>
      </c>
      <c r="C485">
        <v>184</v>
      </c>
      <c r="D485">
        <v>13</v>
      </c>
      <c r="E485" t="s">
        <v>30</v>
      </c>
      <c r="F485" t="s">
        <v>31</v>
      </c>
      <c r="G485" t="s">
        <v>65</v>
      </c>
      <c r="H485" s="1">
        <v>44469</v>
      </c>
      <c r="I485" t="s">
        <v>573</v>
      </c>
      <c r="J485" t="s">
        <v>21</v>
      </c>
      <c r="K485" t="s">
        <v>63</v>
      </c>
      <c r="L485" s="2" t="s">
        <v>224</v>
      </c>
    </row>
    <row r="486" spans="1:12" x14ac:dyDescent="0.3">
      <c r="A486" t="s">
        <v>574</v>
      </c>
      <c r="B486">
        <v>975</v>
      </c>
      <c r="C486">
        <v>224</v>
      </c>
      <c r="D486">
        <v>18</v>
      </c>
      <c r="E486" t="s">
        <v>30</v>
      </c>
      <c r="F486" t="s">
        <v>31</v>
      </c>
      <c r="G486" t="s">
        <v>65</v>
      </c>
      <c r="H486" s="1">
        <v>44552</v>
      </c>
      <c r="I486" t="s">
        <v>575</v>
      </c>
      <c r="J486" t="s">
        <v>42</v>
      </c>
      <c r="K486" t="s">
        <v>75</v>
      </c>
      <c r="L486" s="2" t="s">
        <v>90</v>
      </c>
    </row>
    <row r="487" spans="1:12" x14ac:dyDescent="0.3">
      <c r="A487" t="s">
        <v>574</v>
      </c>
      <c r="B487">
        <v>4492</v>
      </c>
      <c r="C487">
        <v>1450</v>
      </c>
      <c r="D487">
        <v>7</v>
      </c>
      <c r="E487" t="s">
        <v>45</v>
      </c>
      <c r="F487" t="s">
        <v>46</v>
      </c>
      <c r="G487" t="s">
        <v>40</v>
      </c>
      <c r="H487" s="1">
        <v>44552</v>
      </c>
      <c r="I487" t="s">
        <v>575</v>
      </c>
      <c r="J487" t="s">
        <v>42</v>
      </c>
      <c r="K487" t="s">
        <v>75</v>
      </c>
      <c r="L487" s="2" t="s">
        <v>90</v>
      </c>
    </row>
    <row r="488" spans="1:12" x14ac:dyDescent="0.3">
      <c r="A488" t="s">
        <v>574</v>
      </c>
      <c r="B488">
        <v>7957</v>
      </c>
      <c r="C488">
        <v>2834</v>
      </c>
      <c r="D488">
        <v>12</v>
      </c>
      <c r="E488" t="s">
        <v>45</v>
      </c>
      <c r="F488" t="s">
        <v>49</v>
      </c>
      <c r="G488" t="s">
        <v>15</v>
      </c>
      <c r="H488" s="1">
        <v>44552</v>
      </c>
      <c r="I488" t="s">
        <v>575</v>
      </c>
      <c r="J488" t="s">
        <v>42</v>
      </c>
      <c r="K488" t="s">
        <v>75</v>
      </c>
      <c r="L488" s="2" t="s">
        <v>90</v>
      </c>
    </row>
    <row r="489" spans="1:12" x14ac:dyDescent="0.3">
      <c r="A489" t="s">
        <v>576</v>
      </c>
      <c r="B489">
        <v>4906</v>
      </c>
      <c r="C489">
        <v>975</v>
      </c>
      <c r="D489">
        <v>7</v>
      </c>
      <c r="E489" t="s">
        <v>45</v>
      </c>
      <c r="F489" t="s">
        <v>46</v>
      </c>
      <c r="G489" t="s">
        <v>32</v>
      </c>
      <c r="H489" s="1">
        <v>44699</v>
      </c>
      <c r="I489" t="s">
        <v>577</v>
      </c>
      <c r="J489" t="s">
        <v>71</v>
      </c>
      <c r="K489" t="s">
        <v>138</v>
      </c>
      <c r="L489" s="2" t="s">
        <v>180</v>
      </c>
    </row>
    <row r="490" spans="1:12" x14ac:dyDescent="0.3">
      <c r="A490" t="s">
        <v>578</v>
      </c>
      <c r="B490">
        <v>1379</v>
      </c>
      <c r="C490">
        <v>250</v>
      </c>
      <c r="D490">
        <v>3</v>
      </c>
      <c r="E490" t="s">
        <v>30</v>
      </c>
      <c r="F490" t="s">
        <v>31</v>
      </c>
      <c r="G490" t="s">
        <v>47</v>
      </c>
      <c r="H490" s="1">
        <v>44112</v>
      </c>
      <c r="I490" t="s">
        <v>579</v>
      </c>
      <c r="J490" t="s">
        <v>25</v>
      </c>
      <c r="K490" t="s">
        <v>26</v>
      </c>
      <c r="L490" s="2" t="s">
        <v>119</v>
      </c>
    </row>
    <row r="491" spans="1:12" x14ac:dyDescent="0.3">
      <c r="A491" t="s">
        <v>578</v>
      </c>
      <c r="B491">
        <v>4244</v>
      </c>
      <c r="C491">
        <v>340</v>
      </c>
      <c r="D491">
        <v>10</v>
      </c>
      <c r="E491" t="s">
        <v>13</v>
      </c>
      <c r="F491" t="s">
        <v>39</v>
      </c>
      <c r="G491" t="s">
        <v>32</v>
      </c>
      <c r="H491" s="1">
        <v>44112</v>
      </c>
      <c r="I491" t="s">
        <v>579</v>
      </c>
      <c r="J491" t="s">
        <v>25</v>
      </c>
      <c r="K491" t="s">
        <v>26</v>
      </c>
      <c r="L491" s="2" t="s">
        <v>119</v>
      </c>
    </row>
    <row r="492" spans="1:12" x14ac:dyDescent="0.3">
      <c r="A492" t="s">
        <v>580</v>
      </c>
      <c r="B492">
        <v>5911</v>
      </c>
      <c r="C492">
        <v>2333</v>
      </c>
      <c r="D492">
        <v>14</v>
      </c>
      <c r="E492" t="s">
        <v>45</v>
      </c>
      <c r="F492" t="s">
        <v>109</v>
      </c>
      <c r="G492" t="s">
        <v>40</v>
      </c>
      <c r="H492" s="1">
        <v>44793</v>
      </c>
      <c r="I492" t="s">
        <v>581</v>
      </c>
      <c r="J492" t="s">
        <v>42</v>
      </c>
      <c r="K492" t="s">
        <v>75</v>
      </c>
      <c r="L492" s="2" t="s">
        <v>209</v>
      </c>
    </row>
    <row r="493" spans="1:12" x14ac:dyDescent="0.3">
      <c r="A493" t="s">
        <v>580</v>
      </c>
      <c r="B493">
        <v>5911</v>
      </c>
      <c r="C493">
        <v>2333</v>
      </c>
      <c r="D493">
        <v>14</v>
      </c>
      <c r="E493" t="s">
        <v>45</v>
      </c>
      <c r="F493" t="s">
        <v>109</v>
      </c>
      <c r="G493" t="s">
        <v>40</v>
      </c>
      <c r="H493" s="1">
        <v>45621</v>
      </c>
      <c r="I493" t="s">
        <v>582</v>
      </c>
      <c r="J493" t="s">
        <v>42</v>
      </c>
      <c r="K493" t="s">
        <v>92</v>
      </c>
      <c r="L493" s="2" t="s">
        <v>255</v>
      </c>
    </row>
    <row r="494" spans="1:12" x14ac:dyDescent="0.3">
      <c r="A494" t="s">
        <v>580</v>
      </c>
      <c r="B494">
        <v>1818</v>
      </c>
      <c r="C494">
        <v>738</v>
      </c>
      <c r="D494">
        <v>11</v>
      </c>
      <c r="E494" t="s">
        <v>30</v>
      </c>
      <c r="F494" t="s">
        <v>57</v>
      </c>
      <c r="G494" t="s">
        <v>40</v>
      </c>
      <c r="H494" s="1">
        <v>44793</v>
      </c>
      <c r="I494" t="s">
        <v>581</v>
      </c>
      <c r="J494" t="s">
        <v>42</v>
      </c>
      <c r="K494" t="s">
        <v>75</v>
      </c>
      <c r="L494" s="2" t="s">
        <v>209</v>
      </c>
    </row>
    <row r="495" spans="1:12" x14ac:dyDescent="0.3">
      <c r="A495" t="s">
        <v>580</v>
      </c>
      <c r="B495">
        <v>1818</v>
      </c>
      <c r="C495">
        <v>738</v>
      </c>
      <c r="D495">
        <v>11</v>
      </c>
      <c r="E495" t="s">
        <v>30</v>
      </c>
      <c r="F495" t="s">
        <v>57</v>
      </c>
      <c r="G495" t="s">
        <v>40</v>
      </c>
      <c r="H495" s="1">
        <v>45621</v>
      </c>
      <c r="I495" t="s">
        <v>582</v>
      </c>
      <c r="J495" t="s">
        <v>42</v>
      </c>
      <c r="K495" t="s">
        <v>92</v>
      </c>
      <c r="L495" s="2" t="s">
        <v>255</v>
      </c>
    </row>
    <row r="496" spans="1:12" x14ac:dyDescent="0.3">
      <c r="A496" t="s">
        <v>583</v>
      </c>
      <c r="B496">
        <v>2140</v>
      </c>
      <c r="C496">
        <v>970</v>
      </c>
      <c r="D496">
        <v>4</v>
      </c>
      <c r="E496" t="s">
        <v>30</v>
      </c>
      <c r="F496" t="s">
        <v>64</v>
      </c>
      <c r="G496" t="s">
        <v>47</v>
      </c>
      <c r="H496" s="1">
        <v>44104</v>
      </c>
      <c r="I496" t="s">
        <v>584</v>
      </c>
      <c r="J496" t="s">
        <v>42</v>
      </c>
      <c r="K496" t="s">
        <v>75</v>
      </c>
      <c r="L496" s="2" t="s">
        <v>389</v>
      </c>
    </row>
    <row r="497" spans="1:12" x14ac:dyDescent="0.3">
      <c r="A497" t="s">
        <v>583</v>
      </c>
      <c r="B497">
        <v>2140</v>
      </c>
      <c r="C497">
        <v>970</v>
      </c>
      <c r="D497">
        <v>4</v>
      </c>
      <c r="E497" t="s">
        <v>30</v>
      </c>
      <c r="F497" t="s">
        <v>64</v>
      </c>
      <c r="G497" t="s">
        <v>47</v>
      </c>
      <c r="H497" s="1">
        <v>45708</v>
      </c>
      <c r="I497" t="s">
        <v>585</v>
      </c>
      <c r="J497" t="s">
        <v>17</v>
      </c>
      <c r="K497" t="s">
        <v>34</v>
      </c>
      <c r="L497" s="2" t="s">
        <v>73</v>
      </c>
    </row>
    <row r="498" spans="1:12" x14ac:dyDescent="0.3">
      <c r="A498" t="s">
        <v>583</v>
      </c>
      <c r="B498">
        <v>2140</v>
      </c>
      <c r="C498">
        <v>970</v>
      </c>
      <c r="D498">
        <v>4</v>
      </c>
      <c r="E498" t="s">
        <v>30</v>
      </c>
      <c r="F498" t="s">
        <v>64</v>
      </c>
      <c r="G498" t="s">
        <v>47</v>
      </c>
      <c r="H498" s="1">
        <v>44640</v>
      </c>
      <c r="I498" t="s">
        <v>586</v>
      </c>
      <c r="J498" t="s">
        <v>42</v>
      </c>
      <c r="K498" t="s">
        <v>92</v>
      </c>
      <c r="L498" s="2" t="s">
        <v>134</v>
      </c>
    </row>
    <row r="499" spans="1:12" x14ac:dyDescent="0.3">
      <c r="A499" t="s">
        <v>583</v>
      </c>
      <c r="B499">
        <v>2670</v>
      </c>
      <c r="C499">
        <v>1026</v>
      </c>
      <c r="D499">
        <v>1</v>
      </c>
      <c r="E499" t="s">
        <v>13</v>
      </c>
      <c r="F499" t="s">
        <v>39</v>
      </c>
      <c r="G499" t="s">
        <v>32</v>
      </c>
      <c r="H499" s="1">
        <v>44104</v>
      </c>
      <c r="I499" t="s">
        <v>584</v>
      </c>
      <c r="J499" t="s">
        <v>42</v>
      </c>
      <c r="K499" t="s">
        <v>75</v>
      </c>
      <c r="L499" s="2" t="s">
        <v>389</v>
      </c>
    </row>
    <row r="500" spans="1:12" x14ac:dyDescent="0.3">
      <c r="A500" t="s">
        <v>583</v>
      </c>
      <c r="B500">
        <v>2670</v>
      </c>
      <c r="C500">
        <v>1026</v>
      </c>
      <c r="D500">
        <v>1</v>
      </c>
      <c r="E500" t="s">
        <v>13</v>
      </c>
      <c r="F500" t="s">
        <v>39</v>
      </c>
      <c r="G500" t="s">
        <v>32</v>
      </c>
      <c r="H500" s="1">
        <v>45708</v>
      </c>
      <c r="I500" t="s">
        <v>585</v>
      </c>
      <c r="J500" t="s">
        <v>17</v>
      </c>
      <c r="K500" t="s">
        <v>34</v>
      </c>
      <c r="L500" s="2" t="s">
        <v>73</v>
      </c>
    </row>
    <row r="501" spans="1:12" x14ac:dyDescent="0.3">
      <c r="A501" t="s">
        <v>583</v>
      </c>
      <c r="B501">
        <v>2670</v>
      </c>
      <c r="C501">
        <v>1026</v>
      </c>
      <c r="D501">
        <v>1</v>
      </c>
      <c r="E501" t="s">
        <v>13</v>
      </c>
      <c r="F501" t="s">
        <v>39</v>
      </c>
      <c r="G501" t="s">
        <v>32</v>
      </c>
      <c r="H501" s="1">
        <v>44640</v>
      </c>
      <c r="I501" t="s">
        <v>586</v>
      </c>
      <c r="J501" t="s">
        <v>42</v>
      </c>
      <c r="K501" t="s">
        <v>92</v>
      </c>
      <c r="L501" s="2" t="s">
        <v>134</v>
      </c>
    </row>
    <row r="502" spans="1:12" x14ac:dyDescent="0.3">
      <c r="A502" t="s">
        <v>587</v>
      </c>
      <c r="B502">
        <v>1108</v>
      </c>
      <c r="C502">
        <v>167</v>
      </c>
      <c r="D502">
        <v>18</v>
      </c>
      <c r="E502" t="s">
        <v>13</v>
      </c>
      <c r="F502" t="s">
        <v>39</v>
      </c>
      <c r="G502" t="s">
        <v>32</v>
      </c>
      <c r="H502" s="1">
        <v>45723</v>
      </c>
      <c r="I502" t="s">
        <v>588</v>
      </c>
      <c r="J502" t="s">
        <v>21</v>
      </c>
      <c r="K502" t="s">
        <v>63</v>
      </c>
      <c r="L502" s="2" t="s">
        <v>157</v>
      </c>
    </row>
    <row r="503" spans="1:12" x14ac:dyDescent="0.3">
      <c r="A503" t="s">
        <v>587</v>
      </c>
      <c r="B503">
        <v>9776</v>
      </c>
      <c r="C503">
        <v>3750</v>
      </c>
      <c r="D503">
        <v>9</v>
      </c>
      <c r="E503" t="s">
        <v>30</v>
      </c>
      <c r="F503" t="s">
        <v>78</v>
      </c>
      <c r="G503" t="s">
        <v>15</v>
      </c>
      <c r="H503" s="1">
        <v>45723</v>
      </c>
      <c r="I503" t="s">
        <v>588</v>
      </c>
      <c r="J503" t="s">
        <v>21</v>
      </c>
      <c r="K503" t="s">
        <v>63</v>
      </c>
      <c r="L503" s="2" t="s">
        <v>157</v>
      </c>
    </row>
    <row r="504" spans="1:12" x14ac:dyDescent="0.3">
      <c r="A504" t="s">
        <v>587</v>
      </c>
      <c r="B504">
        <v>535</v>
      </c>
      <c r="C504">
        <v>72</v>
      </c>
      <c r="D504">
        <v>6</v>
      </c>
      <c r="E504" t="s">
        <v>45</v>
      </c>
      <c r="F504" t="s">
        <v>109</v>
      </c>
      <c r="G504" t="s">
        <v>65</v>
      </c>
      <c r="H504" s="1">
        <v>45723</v>
      </c>
      <c r="I504" t="s">
        <v>588</v>
      </c>
      <c r="J504" t="s">
        <v>21</v>
      </c>
      <c r="K504" t="s">
        <v>63</v>
      </c>
      <c r="L504" s="2" t="s">
        <v>157</v>
      </c>
    </row>
    <row r="505" spans="1:12" x14ac:dyDescent="0.3">
      <c r="A505" t="s">
        <v>589</v>
      </c>
      <c r="B505">
        <v>7564</v>
      </c>
      <c r="C505">
        <v>3463</v>
      </c>
      <c r="D505">
        <v>5</v>
      </c>
      <c r="E505" t="s">
        <v>30</v>
      </c>
      <c r="F505" t="s">
        <v>64</v>
      </c>
      <c r="G505" t="s">
        <v>47</v>
      </c>
      <c r="H505" s="1">
        <v>45459</v>
      </c>
      <c r="I505" t="s">
        <v>590</v>
      </c>
      <c r="J505" t="s">
        <v>17</v>
      </c>
      <c r="K505" t="s">
        <v>150</v>
      </c>
      <c r="L505" s="2" t="s">
        <v>262</v>
      </c>
    </row>
    <row r="506" spans="1:12" x14ac:dyDescent="0.3">
      <c r="A506" t="s">
        <v>589</v>
      </c>
      <c r="B506">
        <v>7564</v>
      </c>
      <c r="C506">
        <v>3463</v>
      </c>
      <c r="D506">
        <v>5</v>
      </c>
      <c r="E506" t="s">
        <v>30</v>
      </c>
      <c r="F506" t="s">
        <v>64</v>
      </c>
      <c r="G506" t="s">
        <v>47</v>
      </c>
      <c r="H506" s="1">
        <v>44156</v>
      </c>
      <c r="I506" t="s">
        <v>591</v>
      </c>
      <c r="J506" t="s">
        <v>21</v>
      </c>
      <c r="K506" t="s">
        <v>172</v>
      </c>
      <c r="L506" s="2" t="s">
        <v>80</v>
      </c>
    </row>
    <row r="507" spans="1:12" x14ac:dyDescent="0.3">
      <c r="A507" t="s">
        <v>589</v>
      </c>
      <c r="B507">
        <v>7564</v>
      </c>
      <c r="C507">
        <v>3463</v>
      </c>
      <c r="D507">
        <v>5</v>
      </c>
      <c r="E507" t="s">
        <v>30</v>
      </c>
      <c r="F507" t="s">
        <v>64</v>
      </c>
      <c r="G507" t="s">
        <v>47</v>
      </c>
      <c r="H507" s="1">
        <v>45566</v>
      </c>
      <c r="I507" t="s">
        <v>592</v>
      </c>
      <c r="J507" t="s">
        <v>17</v>
      </c>
      <c r="K507" t="s">
        <v>18</v>
      </c>
      <c r="L507" s="2" t="s">
        <v>360</v>
      </c>
    </row>
    <row r="508" spans="1:12" x14ac:dyDescent="0.3">
      <c r="A508" t="s">
        <v>589</v>
      </c>
      <c r="B508">
        <v>7564</v>
      </c>
      <c r="C508">
        <v>3463</v>
      </c>
      <c r="D508">
        <v>5</v>
      </c>
      <c r="E508" t="s">
        <v>30</v>
      </c>
      <c r="F508" t="s">
        <v>64</v>
      </c>
      <c r="G508" t="s">
        <v>47</v>
      </c>
      <c r="H508" s="1">
        <v>45474</v>
      </c>
      <c r="I508" t="s">
        <v>593</v>
      </c>
      <c r="J508" t="s">
        <v>71</v>
      </c>
      <c r="K508" t="s">
        <v>138</v>
      </c>
      <c r="L508" s="2" t="s">
        <v>215</v>
      </c>
    </row>
    <row r="509" spans="1:12" x14ac:dyDescent="0.3">
      <c r="A509" t="s">
        <v>589</v>
      </c>
      <c r="B509">
        <v>3409</v>
      </c>
      <c r="C509">
        <v>1605</v>
      </c>
      <c r="D509">
        <v>20</v>
      </c>
      <c r="E509" t="s">
        <v>13</v>
      </c>
      <c r="F509" t="s">
        <v>14</v>
      </c>
      <c r="G509" t="s">
        <v>15</v>
      </c>
      <c r="H509" s="1">
        <v>45459</v>
      </c>
      <c r="I509" t="s">
        <v>590</v>
      </c>
      <c r="J509" t="s">
        <v>17</v>
      </c>
      <c r="K509" t="s">
        <v>150</v>
      </c>
      <c r="L509" s="2" t="s">
        <v>262</v>
      </c>
    </row>
    <row r="510" spans="1:12" x14ac:dyDescent="0.3">
      <c r="A510" t="s">
        <v>589</v>
      </c>
      <c r="B510">
        <v>3409</v>
      </c>
      <c r="C510">
        <v>1605</v>
      </c>
      <c r="D510">
        <v>20</v>
      </c>
      <c r="E510" t="s">
        <v>13</v>
      </c>
      <c r="F510" t="s">
        <v>14</v>
      </c>
      <c r="G510" t="s">
        <v>15</v>
      </c>
      <c r="H510" s="1">
        <v>44156</v>
      </c>
      <c r="I510" t="s">
        <v>591</v>
      </c>
      <c r="J510" t="s">
        <v>21</v>
      </c>
      <c r="K510" t="s">
        <v>172</v>
      </c>
      <c r="L510" s="2" t="s">
        <v>80</v>
      </c>
    </row>
    <row r="511" spans="1:12" x14ac:dyDescent="0.3">
      <c r="A511" t="s">
        <v>589</v>
      </c>
      <c r="B511">
        <v>3409</v>
      </c>
      <c r="C511">
        <v>1605</v>
      </c>
      <c r="D511">
        <v>20</v>
      </c>
      <c r="E511" t="s">
        <v>13</v>
      </c>
      <c r="F511" t="s">
        <v>14</v>
      </c>
      <c r="G511" t="s">
        <v>15</v>
      </c>
      <c r="H511" s="1">
        <v>45566</v>
      </c>
      <c r="I511" t="s">
        <v>592</v>
      </c>
      <c r="J511" t="s">
        <v>17</v>
      </c>
      <c r="K511" t="s">
        <v>18</v>
      </c>
      <c r="L511" s="2" t="s">
        <v>360</v>
      </c>
    </row>
    <row r="512" spans="1:12" x14ac:dyDescent="0.3">
      <c r="A512" t="s">
        <v>589</v>
      </c>
      <c r="B512">
        <v>3409</v>
      </c>
      <c r="C512">
        <v>1605</v>
      </c>
      <c r="D512">
        <v>20</v>
      </c>
      <c r="E512" t="s">
        <v>13</v>
      </c>
      <c r="F512" t="s">
        <v>14</v>
      </c>
      <c r="G512" t="s">
        <v>15</v>
      </c>
      <c r="H512" s="1">
        <v>45474</v>
      </c>
      <c r="I512" t="s">
        <v>593</v>
      </c>
      <c r="J512" t="s">
        <v>71</v>
      </c>
      <c r="K512" t="s">
        <v>138</v>
      </c>
      <c r="L512" s="2" t="s">
        <v>215</v>
      </c>
    </row>
    <row r="513" spans="1:12" x14ac:dyDescent="0.3">
      <c r="A513" t="s">
        <v>594</v>
      </c>
      <c r="B513">
        <v>9751</v>
      </c>
      <c r="C513">
        <v>2459</v>
      </c>
      <c r="D513">
        <v>13</v>
      </c>
      <c r="E513" t="s">
        <v>30</v>
      </c>
      <c r="F513" t="s">
        <v>31</v>
      </c>
      <c r="G513" t="s">
        <v>65</v>
      </c>
      <c r="H513" s="1">
        <v>44158</v>
      </c>
      <c r="I513" t="s">
        <v>595</v>
      </c>
      <c r="J513" t="s">
        <v>25</v>
      </c>
      <c r="K513" t="s">
        <v>26</v>
      </c>
      <c r="L513" s="2" t="s">
        <v>80</v>
      </c>
    </row>
    <row r="514" spans="1:12" x14ac:dyDescent="0.3">
      <c r="A514" t="s">
        <v>596</v>
      </c>
      <c r="B514">
        <v>6385</v>
      </c>
      <c r="C514">
        <v>2656</v>
      </c>
      <c r="D514">
        <v>11</v>
      </c>
      <c r="E514" t="s">
        <v>13</v>
      </c>
      <c r="F514" t="s">
        <v>28</v>
      </c>
      <c r="G514" t="s">
        <v>47</v>
      </c>
      <c r="H514" s="1">
        <v>45003</v>
      </c>
      <c r="I514" t="s">
        <v>597</v>
      </c>
      <c r="J514" t="s">
        <v>17</v>
      </c>
      <c r="K514" t="s">
        <v>34</v>
      </c>
      <c r="L514" s="2" t="s">
        <v>245</v>
      </c>
    </row>
    <row r="515" spans="1:12" x14ac:dyDescent="0.3">
      <c r="A515" t="s">
        <v>596</v>
      </c>
      <c r="B515">
        <v>6385</v>
      </c>
      <c r="C515">
        <v>2656</v>
      </c>
      <c r="D515">
        <v>11</v>
      </c>
      <c r="E515" t="s">
        <v>13</v>
      </c>
      <c r="F515" t="s">
        <v>28</v>
      </c>
      <c r="G515" t="s">
        <v>47</v>
      </c>
      <c r="H515" s="1">
        <v>44853</v>
      </c>
      <c r="I515" t="s">
        <v>598</v>
      </c>
      <c r="J515" t="s">
        <v>17</v>
      </c>
      <c r="K515" t="s">
        <v>150</v>
      </c>
      <c r="L515" s="2" t="s">
        <v>96</v>
      </c>
    </row>
    <row r="516" spans="1:12" x14ac:dyDescent="0.3">
      <c r="A516" t="s">
        <v>599</v>
      </c>
      <c r="B516">
        <v>6355</v>
      </c>
      <c r="C516">
        <v>1335</v>
      </c>
      <c r="D516">
        <v>15</v>
      </c>
      <c r="E516" t="s">
        <v>13</v>
      </c>
      <c r="F516" t="s">
        <v>14</v>
      </c>
      <c r="G516" t="s">
        <v>32</v>
      </c>
      <c r="H516" s="1">
        <v>45169</v>
      </c>
      <c r="I516" t="s">
        <v>600</v>
      </c>
      <c r="J516" t="s">
        <v>71</v>
      </c>
      <c r="K516" t="s">
        <v>86</v>
      </c>
      <c r="L516" s="2" t="s">
        <v>121</v>
      </c>
    </row>
    <row r="517" spans="1:12" x14ac:dyDescent="0.3">
      <c r="A517" t="s">
        <v>599</v>
      </c>
      <c r="B517">
        <v>6355</v>
      </c>
      <c r="C517">
        <v>1335</v>
      </c>
      <c r="D517">
        <v>15</v>
      </c>
      <c r="E517" t="s">
        <v>13</v>
      </c>
      <c r="F517" t="s">
        <v>14</v>
      </c>
      <c r="G517" t="s">
        <v>32</v>
      </c>
      <c r="H517" s="1">
        <v>44353</v>
      </c>
      <c r="I517" t="s">
        <v>601</v>
      </c>
      <c r="J517" t="s">
        <v>71</v>
      </c>
      <c r="K517" t="s">
        <v>86</v>
      </c>
      <c r="L517" s="2" t="s">
        <v>125</v>
      </c>
    </row>
    <row r="518" spans="1:12" x14ac:dyDescent="0.3">
      <c r="A518" t="s">
        <v>602</v>
      </c>
      <c r="B518">
        <v>7377</v>
      </c>
      <c r="C518">
        <v>320</v>
      </c>
      <c r="D518">
        <v>15</v>
      </c>
      <c r="E518" t="s">
        <v>13</v>
      </c>
      <c r="F518" t="s">
        <v>28</v>
      </c>
      <c r="G518" t="s">
        <v>32</v>
      </c>
      <c r="H518" s="1">
        <v>44916</v>
      </c>
      <c r="I518" t="s">
        <v>603</v>
      </c>
      <c r="J518" t="s">
        <v>71</v>
      </c>
      <c r="K518" t="s">
        <v>86</v>
      </c>
      <c r="L518" s="2" t="s">
        <v>152</v>
      </c>
    </row>
    <row r="519" spans="1:12" x14ac:dyDescent="0.3">
      <c r="A519" t="s">
        <v>602</v>
      </c>
      <c r="B519">
        <v>2054</v>
      </c>
      <c r="C519">
        <v>371</v>
      </c>
      <c r="D519">
        <v>12</v>
      </c>
      <c r="E519" t="s">
        <v>30</v>
      </c>
      <c r="F519" t="s">
        <v>57</v>
      </c>
      <c r="G519" t="s">
        <v>40</v>
      </c>
      <c r="H519" s="1">
        <v>44916</v>
      </c>
      <c r="I519" t="s">
        <v>603</v>
      </c>
      <c r="J519" t="s">
        <v>71</v>
      </c>
      <c r="K519" t="s">
        <v>86</v>
      </c>
      <c r="L519" s="2" t="s">
        <v>152</v>
      </c>
    </row>
    <row r="520" spans="1:12" x14ac:dyDescent="0.3">
      <c r="A520" t="s">
        <v>604</v>
      </c>
      <c r="B520">
        <v>7497</v>
      </c>
      <c r="C520">
        <v>319</v>
      </c>
      <c r="D520">
        <v>18</v>
      </c>
      <c r="E520" t="s">
        <v>45</v>
      </c>
      <c r="F520" t="s">
        <v>49</v>
      </c>
      <c r="G520" t="s">
        <v>65</v>
      </c>
      <c r="H520" s="1">
        <v>45334</v>
      </c>
      <c r="I520" t="s">
        <v>605</v>
      </c>
      <c r="J520" t="s">
        <v>21</v>
      </c>
      <c r="K520" t="s">
        <v>172</v>
      </c>
      <c r="L520" s="2" t="s">
        <v>218</v>
      </c>
    </row>
    <row r="521" spans="1:12" x14ac:dyDescent="0.3">
      <c r="A521" t="s">
        <v>606</v>
      </c>
      <c r="B521">
        <v>2565</v>
      </c>
      <c r="C521">
        <v>983</v>
      </c>
      <c r="D521">
        <v>20</v>
      </c>
      <c r="E521" t="s">
        <v>13</v>
      </c>
      <c r="F521" t="s">
        <v>14</v>
      </c>
      <c r="G521" t="s">
        <v>32</v>
      </c>
      <c r="H521" s="1">
        <v>44900</v>
      </c>
      <c r="I521" t="s">
        <v>607</v>
      </c>
      <c r="J521" t="s">
        <v>17</v>
      </c>
      <c r="K521" t="s">
        <v>18</v>
      </c>
      <c r="L521" s="2" t="s">
        <v>152</v>
      </c>
    </row>
    <row r="522" spans="1:12" x14ac:dyDescent="0.3">
      <c r="A522" t="s">
        <v>606</v>
      </c>
      <c r="B522">
        <v>5024</v>
      </c>
      <c r="C522">
        <v>1544</v>
      </c>
      <c r="D522">
        <v>19</v>
      </c>
      <c r="E522" t="s">
        <v>30</v>
      </c>
      <c r="F522" t="s">
        <v>31</v>
      </c>
      <c r="G522" t="s">
        <v>65</v>
      </c>
      <c r="H522" s="1">
        <v>44900</v>
      </c>
      <c r="I522" t="s">
        <v>607</v>
      </c>
      <c r="J522" t="s">
        <v>17</v>
      </c>
      <c r="K522" t="s">
        <v>18</v>
      </c>
      <c r="L522" s="2" t="s">
        <v>152</v>
      </c>
    </row>
    <row r="523" spans="1:12" x14ac:dyDescent="0.3">
      <c r="A523" t="s">
        <v>608</v>
      </c>
      <c r="B523">
        <v>8243</v>
      </c>
      <c r="C523">
        <v>1346</v>
      </c>
      <c r="D523">
        <v>15</v>
      </c>
      <c r="E523" t="s">
        <v>30</v>
      </c>
      <c r="F523" t="s">
        <v>78</v>
      </c>
      <c r="G523" t="s">
        <v>32</v>
      </c>
      <c r="H523" s="1">
        <v>44290</v>
      </c>
      <c r="I523" t="s">
        <v>609</v>
      </c>
      <c r="J523" t="s">
        <v>71</v>
      </c>
      <c r="K523" t="s">
        <v>138</v>
      </c>
      <c r="L523" s="2" t="s">
        <v>139</v>
      </c>
    </row>
    <row r="524" spans="1:12" x14ac:dyDescent="0.3">
      <c r="A524" t="s">
        <v>610</v>
      </c>
      <c r="B524">
        <v>7792</v>
      </c>
      <c r="C524">
        <v>1403</v>
      </c>
      <c r="D524">
        <v>13</v>
      </c>
      <c r="E524" t="s">
        <v>30</v>
      </c>
      <c r="F524" t="s">
        <v>64</v>
      </c>
      <c r="G524" t="s">
        <v>15</v>
      </c>
      <c r="H524" s="1">
        <v>44239</v>
      </c>
      <c r="I524" t="s">
        <v>611</v>
      </c>
      <c r="J524" t="s">
        <v>21</v>
      </c>
      <c r="K524" t="s">
        <v>172</v>
      </c>
      <c r="L524" s="2" t="s">
        <v>292</v>
      </c>
    </row>
    <row r="525" spans="1:12" x14ac:dyDescent="0.3">
      <c r="A525" t="s">
        <v>610</v>
      </c>
      <c r="B525">
        <v>7792</v>
      </c>
      <c r="C525">
        <v>1403</v>
      </c>
      <c r="D525">
        <v>13</v>
      </c>
      <c r="E525" t="s">
        <v>30</v>
      </c>
      <c r="F525" t="s">
        <v>64</v>
      </c>
      <c r="G525" t="s">
        <v>15</v>
      </c>
      <c r="H525" s="1">
        <v>44922</v>
      </c>
      <c r="I525" t="s">
        <v>612</v>
      </c>
      <c r="J525" t="s">
        <v>25</v>
      </c>
      <c r="K525" t="s">
        <v>68</v>
      </c>
      <c r="L525" s="2" t="s">
        <v>152</v>
      </c>
    </row>
    <row r="526" spans="1:12" x14ac:dyDescent="0.3">
      <c r="A526" t="s">
        <v>610</v>
      </c>
      <c r="B526">
        <v>7792</v>
      </c>
      <c r="C526">
        <v>1403</v>
      </c>
      <c r="D526">
        <v>13</v>
      </c>
      <c r="E526" t="s">
        <v>30</v>
      </c>
      <c r="F526" t="s">
        <v>64</v>
      </c>
      <c r="G526" t="s">
        <v>15</v>
      </c>
      <c r="H526" s="1">
        <v>45310</v>
      </c>
      <c r="I526" t="s">
        <v>613</v>
      </c>
      <c r="J526" t="s">
        <v>42</v>
      </c>
      <c r="K526" t="s">
        <v>75</v>
      </c>
      <c r="L526" s="2" t="s">
        <v>76</v>
      </c>
    </row>
    <row r="527" spans="1:12" x14ac:dyDescent="0.3">
      <c r="A527" t="s">
        <v>610</v>
      </c>
      <c r="B527">
        <v>2346</v>
      </c>
      <c r="C527">
        <v>388</v>
      </c>
      <c r="D527">
        <v>14</v>
      </c>
      <c r="E527" t="s">
        <v>45</v>
      </c>
      <c r="F527" t="s">
        <v>49</v>
      </c>
      <c r="G527" t="s">
        <v>32</v>
      </c>
      <c r="H527" s="1">
        <v>44239</v>
      </c>
      <c r="I527" t="s">
        <v>611</v>
      </c>
      <c r="J527" t="s">
        <v>21</v>
      </c>
      <c r="K527" t="s">
        <v>172</v>
      </c>
      <c r="L527" s="2" t="s">
        <v>292</v>
      </c>
    </row>
    <row r="528" spans="1:12" x14ac:dyDescent="0.3">
      <c r="A528" t="s">
        <v>610</v>
      </c>
      <c r="B528">
        <v>2346</v>
      </c>
      <c r="C528">
        <v>388</v>
      </c>
      <c r="D528">
        <v>14</v>
      </c>
      <c r="E528" t="s">
        <v>45</v>
      </c>
      <c r="F528" t="s">
        <v>49</v>
      </c>
      <c r="G528" t="s">
        <v>32</v>
      </c>
      <c r="H528" s="1">
        <v>44922</v>
      </c>
      <c r="I528" t="s">
        <v>612</v>
      </c>
      <c r="J528" t="s">
        <v>25</v>
      </c>
      <c r="K528" t="s">
        <v>68</v>
      </c>
      <c r="L528" s="2" t="s">
        <v>152</v>
      </c>
    </row>
    <row r="529" spans="1:12" x14ac:dyDescent="0.3">
      <c r="A529" t="s">
        <v>610</v>
      </c>
      <c r="B529">
        <v>2346</v>
      </c>
      <c r="C529">
        <v>388</v>
      </c>
      <c r="D529">
        <v>14</v>
      </c>
      <c r="E529" t="s">
        <v>45</v>
      </c>
      <c r="F529" t="s">
        <v>49</v>
      </c>
      <c r="G529" t="s">
        <v>32</v>
      </c>
      <c r="H529" s="1">
        <v>45310</v>
      </c>
      <c r="I529" t="s">
        <v>613</v>
      </c>
      <c r="J529" t="s">
        <v>42</v>
      </c>
      <c r="K529" t="s">
        <v>75</v>
      </c>
      <c r="L529" s="2" t="s">
        <v>76</v>
      </c>
    </row>
    <row r="530" spans="1:12" x14ac:dyDescent="0.3">
      <c r="A530" t="s">
        <v>614</v>
      </c>
      <c r="B530">
        <v>7346</v>
      </c>
      <c r="C530">
        <v>1043</v>
      </c>
      <c r="D530">
        <v>10</v>
      </c>
      <c r="E530" t="s">
        <v>45</v>
      </c>
      <c r="F530" t="s">
        <v>60</v>
      </c>
      <c r="G530" t="s">
        <v>47</v>
      </c>
      <c r="H530" s="1">
        <v>44920</v>
      </c>
      <c r="I530" t="s">
        <v>615</v>
      </c>
      <c r="J530" t="s">
        <v>98</v>
      </c>
      <c r="K530" t="s">
        <v>99</v>
      </c>
      <c r="L530" s="2" t="s">
        <v>152</v>
      </c>
    </row>
    <row r="531" spans="1:12" x14ac:dyDescent="0.3">
      <c r="A531" t="s">
        <v>614</v>
      </c>
      <c r="B531">
        <v>9770</v>
      </c>
      <c r="C531">
        <v>4132</v>
      </c>
      <c r="D531">
        <v>7</v>
      </c>
      <c r="E531" t="s">
        <v>13</v>
      </c>
      <c r="F531" t="s">
        <v>14</v>
      </c>
      <c r="G531" t="s">
        <v>15</v>
      </c>
      <c r="H531" s="1">
        <v>44920</v>
      </c>
      <c r="I531" t="s">
        <v>615</v>
      </c>
      <c r="J531" t="s">
        <v>98</v>
      </c>
      <c r="K531" t="s">
        <v>99</v>
      </c>
      <c r="L531" s="2" t="s">
        <v>152</v>
      </c>
    </row>
    <row r="532" spans="1:12" x14ac:dyDescent="0.3">
      <c r="A532" t="s">
        <v>614</v>
      </c>
      <c r="B532">
        <v>7179</v>
      </c>
      <c r="C532">
        <v>683</v>
      </c>
      <c r="D532">
        <v>13</v>
      </c>
      <c r="E532" t="s">
        <v>13</v>
      </c>
      <c r="F532" t="s">
        <v>39</v>
      </c>
      <c r="G532" t="s">
        <v>47</v>
      </c>
      <c r="H532" s="1">
        <v>44920</v>
      </c>
      <c r="I532" t="s">
        <v>615</v>
      </c>
      <c r="J532" t="s">
        <v>98</v>
      </c>
      <c r="K532" t="s">
        <v>99</v>
      </c>
      <c r="L532" s="2" t="s">
        <v>152</v>
      </c>
    </row>
    <row r="533" spans="1:12" x14ac:dyDescent="0.3">
      <c r="A533" t="s">
        <v>616</v>
      </c>
      <c r="B533">
        <v>5449</v>
      </c>
      <c r="C533">
        <v>2389</v>
      </c>
      <c r="D533">
        <v>2</v>
      </c>
      <c r="E533" t="s">
        <v>13</v>
      </c>
      <c r="F533" t="s">
        <v>82</v>
      </c>
      <c r="G533" t="s">
        <v>15</v>
      </c>
      <c r="H533" s="1">
        <v>44840</v>
      </c>
      <c r="I533" t="s">
        <v>617</v>
      </c>
      <c r="J533" t="s">
        <v>17</v>
      </c>
      <c r="K533" t="s">
        <v>18</v>
      </c>
      <c r="L533" s="2" t="s">
        <v>96</v>
      </c>
    </row>
    <row r="534" spans="1:12" x14ac:dyDescent="0.3">
      <c r="A534" t="s">
        <v>618</v>
      </c>
      <c r="B534">
        <v>2895</v>
      </c>
      <c r="C534">
        <v>104</v>
      </c>
      <c r="D534">
        <v>6</v>
      </c>
      <c r="E534" t="s">
        <v>45</v>
      </c>
      <c r="F534" t="s">
        <v>49</v>
      </c>
      <c r="G534" t="s">
        <v>65</v>
      </c>
      <c r="H534" s="1">
        <v>43948</v>
      </c>
      <c r="I534" t="s">
        <v>619</v>
      </c>
      <c r="J534" t="s">
        <v>25</v>
      </c>
      <c r="K534" t="s">
        <v>26</v>
      </c>
      <c r="L534" s="2" t="s">
        <v>162</v>
      </c>
    </row>
    <row r="535" spans="1:12" x14ac:dyDescent="0.3">
      <c r="A535" t="s">
        <v>618</v>
      </c>
      <c r="B535">
        <v>2895</v>
      </c>
      <c r="C535">
        <v>104</v>
      </c>
      <c r="D535">
        <v>6</v>
      </c>
      <c r="E535" t="s">
        <v>45</v>
      </c>
      <c r="F535" t="s">
        <v>49</v>
      </c>
      <c r="G535" t="s">
        <v>65</v>
      </c>
      <c r="H535" s="1">
        <v>45425</v>
      </c>
      <c r="I535" t="s">
        <v>620</v>
      </c>
      <c r="J535" t="s">
        <v>71</v>
      </c>
      <c r="K535" t="s">
        <v>138</v>
      </c>
      <c r="L535" s="2" t="s">
        <v>35</v>
      </c>
    </row>
    <row r="536" spans="1:12" x14ac:dyDescent="0.3">
      <c r="A536" t="s">
        <v>618</v>
      </c>
      <c r="B536">
        <v>697</v>
      </c>
      <c r="C536">
        <v>116</v>
      </c>
      <c r="D536">
        <v>1</v>
      </c>
      <c r="E536" t="s">
        <v>45</v>
      </c>
      <c r="F536" t="s">
        <v>49</v>
      </c>
      <c r="G536" t="s">
        <v>15</v>
      </c>
      <c r="H536" s="1">
        <v>43948</v>
      </c>
      <c r="I536" t="s">
        <v>619</v>
      </c>
      <c r="J536" t="s">
        <v>25</v>
      </c>
      <c r="K536" t="s">
        <v>26</v>
      </c>
      <c r="L536" s="2" t="s">
        <v>162</v>
      </c>
    </row>
    <row r="537" spans="1:12" x14ac:dyDescent="0.3">
      <c r="A537" t="s">
        <v>618</v>
      </c>
      <c r="B537">
        <v>697</v>
      </c>
      <c r="C537">
        <v>116</v>
      </c>
      <c r="D537">
        <v>1</v>
      </c>
      <c r="E537" t="s">
        <v>45</v>
      </c>
      <c r="F537" t="s">
        <v>49</v>
      </c>
      <c r="G537" t="s">
        <v>15</v>
      </c>
      <c r="H537" s="1">
        <v>45425</v>
      </c>
      <c r="I537" t="s">
        <v>620</v>
      </c>
      <c r="J537" t="s">
        <v>71</v>
      </c>
      <c r="K537" t="s">
        <v>138</v>
      </c>
      <c r="L537" s="2" t="s">
        <v>35</v>
      </c>
    </row>
    <row r="538" spans="1:12" x14ac:dyDescent="0.3">
      <c r="A538" t="s">
        <v>621</v>
      </c>
      <c r="B538">
        <v>6145</v>
      </c>
      <c r="C538">
        <v>1414</v>
      </c>
      <c r="D538">
        <v>4</v>
      </c>
      <c r="E538" t="s">
        <v>45</v>
      </c>
      <c r="F538" t="s">
        <v>49</v>
      </c>
      <c r="G538" t="s">
        <v>65</v>
      </c>
      <c r="H538" s="1">
        <v>44127</v>
      </c>
      <c r="I538" t="s">
        <v>622</v>
      </c>
      <c r="J538" t="s">
        <v>42</v>
      </c>
      <c r="K538" t="s">
        <v>43</v>
      </c>
      <c r="L538" s="2" t="s">
        <v>119</v>
      </c>
    </row>
    <row r="539" spans="1:12" x14ac:dyDescent="0.3">
      <c r="A539" t="s">
        <v>621</v>
      </c>
      <c r="B539">
        <v>2504</v>
      </c>
      <c r="C539">
        <v>440</v>
      </c>
      <c r="D539">
        <v>18</v>
      </c>
      <c r="E539" t="s">
        <v>13</v>
      </c>
      <c r="F539" t="s">
        <v>28</v>
      </c>
      <c r="G539" t="s">
        <v>15</v>
      </c>
      <c r="H539" s="1">
        <v>44127</v>
      </c>
      <c r="I539" t="s">
        <v>622</v>
      </c>
      <c r="J539" t="s">
        <v>42</v>
      </c>
      <c r="K539" t="s">
        <v>43</v>
      </c>
      <c r="L539" s="2" t="s">
        <v>119</v>
      </c>
    </row>
    <row r="540" spans="1:12" x14ac:dyDescent="0.3">
      <c r="A540" t="s">
        <v>621</v>
      </c>
      <c r="B540">
        <v>3124</v>
      </c>
      <c r="C540">
        <v>138</v>
      </c>
      <c r="D540">
        <v>16</v>
      </c>
      <c r="E540" t="s">
        <v>13</v>
      </c>
      <c r="F540" t="s">
        <v>82</v>
      </c>
      <c r="G540" t="s">
        <v>32</v>
      </c>
      <c r="H540" s="1">
        <v>44127</v>
      </c>
      <c r="I540" t="s">
        <v>622</v>
      </c>
      <c r="J540" t="s">
        <v>42</v>
      </c>
      <c r="K540" t="s">
        <v>43</v>
      </c>
      <c r="L540" s="2" t="s">
        <v>119</v>
      </c>
    </row>
    <row r="541" spans="1:12" x14ac:dyDescent="0.3">
      <c r="A541" t="s">
        <v>623</v>
      </c>
      <c r="B541">
        <v>6934</v>
      </c>
      <c r="C541">
        <v>1226</v>
      </c>
      <c r="D541">
        <v>1</v>
      </c>
      <c r="E541" t="s">
        <v>13</v>
      </c>
      <c r="F541" t="s">
        <v>14</v>
      </c>
      <c r="G541" t="s">
        <v>32</v>
      </c>
      <c r="H541" s="1">
        <v>44358</v>
      </c>
      <c r="I541" t="s">
        <v>624</v>
      </c>
      <c r="J541" t="s">
        <v>98</v>
      </c>
      <c r="K541" t="s">
        <v>107</v>
      </c>
      <c r="L541" s="2" t="s">
        <v>125</v>
      </c>
    </row>
    <row r="542" spans="1:12" x14ac:dyDescent="0.3">
      <c r="A542" t="s">
        <v>623</v>
      </c>
      <c r="B542">
        <v>6934</v>
      </c>
      <c r="C542">
        <v>1226</v>
      </c>
      <c r="D542">
        <v>1</v>
      </c>
      <c r="E542" t="s">
        <v>13</v>
      </c>
      <c r="F542" t="s">
        <v>14</v>
      </c>
      <c r="G542" t="s">
        <v>32</v>
      </c>
      <c r="H542" s="1">
        <v>44447</v>
      </c>
      <c r="I542" t="s">
        <v>595</v>
      </c>
      <c r="J542" t="s">
        <v>25</v>
      </c>
      <c r="K542" t="s">
        <v>68</v>
      </c>
      <c r="L542" s="2" t="s">
        <v>224</v>
      </c>
    </row>
    <row r="543" spans="1:12" x14ac:dyDescent="0.3">
      <c r="A543" t="s">
        <v>625</v>
      </c>
      <c r="B543">
        <v>4202</v>
      </c>
      <c r="C543">
        <v>1171</v>
      </c>
      <c r="D543">
        <v>3</v>
      </c>
      <c r="E543" t="s">
        <v>30</v>
      </c>
      <c r="F543" t="s">
        <v>57</v>
      </c>
      <c r="G543" t="s">
        <v>65</v>
      </c>
      <c r="H543" s="1">
        <v>44888</v>
      </c>
      <c r="I543" t="s">
        <v>626</v>
      </c>
      <c r="J543" t="s">
        <v>21</v>
      </c>
      <c r="K543" t="s">
        <v>172</v>
      </c>
      <c r="L543" s="2" t="s">
        <v>44</v>
      </c>
    </row>
    <row r="544" spans="1:12" x14ac:dyDescent="0.3">
      <c r="A544" t="s">
        <v>625</v>
      </c>
      <c r="B544">
        <v>4202</v>
      </c>
      <c r="C544">
        <v>1171</v>
      </c>
      <c r="D544">
        <v>3</v>
      </c>
      <c r="E544" t="s">
        <v>30</v>
      </c>
      <c r="F544" t="s">
        <v>57</v>
      </c>
      <c r="G544" t="s">
        <v>65</v>
      </c>
      <c r="H544" s="1">
        <v>44865</v>
      </c>
      <c r="I544" t="s">
        <v>627</v>
      </c>
      <c r="J544" t="s">
        <v>25</v>
      </c>
      <c r="K544" t="s">
        <v>68</v>
      </c>
      <c r="L544" s="2" t="s">
        <v>96</v>
      </c>
    </row>
    <row r="545" spans="1:12" x14ac:dyDescent="0.3">
      <c r="A545" t="s">
        <v>625</v>
      </c>
      <c r="B545">
        <v>4202</v>
      </c>
      <c r="C545">
        <v>1171</v>
      </c>
      <c r="D545">
        <v>3</v>
      </c>
      <c r="E545" t="s">
        <v>30</v>
      </c>
      <c r="F545" t="s">
        <v>57</v>
      </c>
      <c r="G545" t="s">
        <v>65</v>
      </c>
      <c r="H545" s="1">
        <v>45236</v>
      </c>
      <c r="I545" t="s">
        <v>628</v>
      </c>
      <c r="J545" t="s">
        <v>17</v>
      </c>
      <c r="K545" t="s">
        <v>150</v>
      </c>
      <c r="L545" s="2" t="s">
        <v>52</v>
      </c>
    </row>
    <row r="546" spans="1:12" x14ac:dyDescent="0.3">
      <c r="A546" t="s">
        <v>625</v>
      </c>
      <c r="B546">
        <v>4202</v>
      </c>
      <c r="C546">
        <v>1171</v>
      </c>
      <c r="D546">
        <v>3</v>
      </c>
      <c r="E546" t="s">
        <v>30</v>
      </c>
      <c r="F546" t="s">
        <v>57</v>
      </c>
      <c r="G546" t="s">
        <v>65</v>
      </c>
      <c r="H546" s="1">
        <v>45242</v>
      </c>
      <c r="I546" t="s">
        <v>629</v>
      </c>
      <c r="J546" t="s">
        <v>71</v>
      </c>
      <c r="K546" t="s">
        <v>138</v>
      </c>
      <c r="L546" s="2" t="s">
        <v>52</v>
      </c>
    </row>
    <row r="547" spans="1:12" x14ac:dyDescent="0.3">
      <c r="A547" t="s">
        <v>630</v>
      </c>
      <c r="B547">
        <v>2239</v>
      </c>
      <c r="C547">
        <v>828</v>
      </c>
      <c r="D547">
        <v>1</v>
      </c>
      <c r="E547" t="s">
        <v>13</v>
      </c>
      <c r="F547" t="s">
        <v>28</v>
      </c>
      <c r="G547" t="s">
        <v>15</v>
      </c>
      <c r="H547" s="1">
        <v>45103</v>
      </c>
      <c r="I547" t="s">
        <v>631</v>
      </c>
      <c r="J547" t="s">
        <v>42</v>
      </c>
      <c r="K547" t="s">
        <v>43</v>
      </c>
      <c r="L547" s="2" t="s">
        <v>19</v>
      </c>
    </row>
    <row r="548" spans="1:12" x14ac:dyDescent="0.3">
      <c r="A548" t="s">
        <v>630</v>
      </c>
      <c r="B548">
        <v>2239</v>
      </c>
      <c r="C548">
        <v>828</v>
      </c>
      <c r="D548">
        <v>1</v>
      </c>
      <c r="E548" t="s">
        <v>13</v>
      </c>
      <c r="F548" t="s">
        <v>28</v>
      </c>
      <c r="G548" t="s">
        <v>15</v>
      </c>
      <c r="H548" s="1">
        <v>45199</v>
      </c>
      <c r="I548" t="s">
        <v>632</v>
      </c>
      <c r="J548" t="s">
        <v>21</v>
      </c>
      <c r="K548" t="s">
        <v>22</v>
      </c>
      <c r="L548" s="2" t="s">
        <v>273</v>
      </c>
    </row>
    <row r="549" spans="1:12" x14ac:dyDescent="0.3">
      <c r="A549" t="s">
        <v>630</v>
      </c>
      <c r="B549">
        <v>2450</v>
      </c>
      <c r="C549">
        <v>1002</v>
      </c>
      <c r="D549">
        <v>4</v>
      </c>
      <c r="E549" t="s">
        <v>13</v>
      </c>
      <c r="F549" t="s">
        <v>82</v>
      </c>
      <c r="G549" t="s">
        <v>32</v>
      </c>
      <c r="H549" s="1">
        <v>45103</v>
      </c>
      <c r="I549" t="s">
        <v>631</v>
      </c>
      <c r="J549" t="s">
        <v>42</v>
      </c>
      <c r="K549" t="s">
        <v>43</v>
      </c>
      <c r="L549" s="2" t="s">
        <v>19</v>
      </c>
    </row>
    <row r="550" spans="1:12" x14ac:dyDescent="0.3">
      <c r="A550" t="s">
        <v>630</v>
      </c>
      <c r="B550">
        <v>2450</v>
      </c>
      <c r="C550">
        <v>1002</v>
      </c>
      <c r="D550">
        <v>4</v>
      </c>
      <c r="E550" t="s">
        <v>13</v>
      </c>
      <c r="F550" t="s">
        <v>82</v>
      </c>
      <c r="G550" t="s">
        <v>32</v>
      </c>
      <c r="H550" s="1">
        <v>45199</v>
      </c>
      <c r="I550" t="s">
        <v>632</v>
      </c>
      <c r="J550" t="s">
        <v>21</v>
      </c>
      <c r="K550" t="s">
        <v>22</v>
      </c>
      <c r="L550" s="2" t="s">
        <v>273</v>
      </c>
    </row>
    <row r="551" spans="1:12" x14ac:dyDescent="0.3">
      <c r="A551" t="s">
        <v>633</v>
      </c>
      <c r="B551">
        <v>9827</v>
      </c>
      <c r="C551">
        <v>4208</v>
      </c>
      <c r="D551">
        <v>13</v>
      </c>
      <c r="E551" t="s">
        <v>45</v>
      </c>
      <c r="F551" t="s">
        <v>49</v>
      </c>
      <c r="G551" t="s">
        <v>32</v>
      </c>
      <c r="H551" s="1">
        <v>44086</v>
      </c>
      <c r="I551" t="s">
        <v>634</v>
      </c>
      <c r="J551" t="s">
        <v>25</v>
      </c>
      <c r="K551" t="s">
        <v>51</v>
      </c>
      <c r="L551" s="2" t="s">
        <v>389</v>
      </c>
    </row>
    <row r="552" spans="1:12" x14ac:dyDescent="0.3">
      <c r="A552" t="s">
        <v>633</v>
      </c>
      <c r="B552">
        <v>8077</v>
      </c>
      <c r="C552">
        <v>240</v>
      </c>
      <c r="D552">
        <v>15</v>
      </c>
      <c r="E552" t="s">
        <v>45</v>
      </c>
      <c r="F552" t="s">
        <v>60</v>
      </c>
      <c r="G552" t="s">
        <v>47</v>
      </c>
      <c r="H552" s="1">
        <v>44086</v>
      </c>
      <c r="I552" t="s">
        <v>634</v>
      </c>
      <c r="J552" t="s">
        <v>25</v>
      </c>
      <c r="K552" t="s">
        <v>51</v>
      </c>
      <c r="L552" s="2" t="s">
        <v>389</v>
      </c>
    </row>
    <row r="553" spans="1:12" x14ac:dyDescent="0.3">
      <c r="A553" t="s">
        <v>635</v>
      </c>
      <c r="B553">
        <v>5152</v>
      </c>
      <c r="C553">
        <v>2045</v>
      </c>
      <c r="D553">
        <v>14</v>
      </c>
      <c r="E553" t="s">
        <v>13</v>
      </c>
      <c r="F553" t="s">
        <v>82</v>
      </c>
      <c r="G553" t="s">
        <v>15</v>
      </c>
      <c r="H553" s="1">
        <v>44162</v>
      </c>
      <c r="I553" t="s">
        <v>636</v>
      </c>
      <c r="J553" t="s">
        <v>21</v>
      </c>
      <c r="K553" t="s">
        <v>63</v>
      </c>
      <c r="L553" s="2" t="s">
        <v>80</v>
      </c>
    </row>
    <row r="554" spans="1:12" x14ac:dyDescent="0.3">
      <c r="A554" t="s">
        <v>635</v>
      </c>
      <c r="B554">
        <v>5152</v>
      </c>
      <c r="C554">
        <v>2045</v>
      </c>
      <c r="D554">
        <v>14</v>
      </c>
      <c r="E554" t="s">
        <v>13</v>
      </c>
      <c r="F554" t="s">
        <v>82</v>
      </c>
      <c r="G554" t="s">
        <v>15</v>
      </c>
      <c r="H554" s="1">
        <v>44798</v>
      </c>
      <c r="I554" t="s">
        <v>637</v>
      </c>
      <c r="J554" t="s">
        <v>42</v>
      </c>
      <c r="K554" t="s">
        <v>43</v>
      </c>
      <c r="L554" s="2" t="s">
        <v>209</v>
      </c>
    </row>
    <row r="555" spans="1:12" x14ac:dyDescent="0.3">
      <c r="A555" t="s">
        <v>635</v>
      </c>
      <c r="B555">
        <v>5152</v>
      </c>
      <c r="C555">
        <v>2045</v>
      </c>
      <c r="D555">
        <v>14</v>
      </c>
      <c r="E555" t="s">
        <v>13</v>
      </c>
      <c r="F555" t="s">
        <v>82</v>
      </c>
      <c r="G555" t="s">
        <v>15</v>
      </c>
      <c r="H555" s="1">
        <v>45161</v>
      </c>
      <c r="I555" t="s">
        <v>638</v>
      </c>
      <c r="J555" t="s">
        <v>21</v>
      </c>
      <c r="K555" t="s">
        <v>22</v>
      </c>
      <c r="L555" s="2" t="s">
        <v>121</v>
      </c>
    </row>
    <row r="556" spans="1:12" x14ac:dyDescent="0.3">
      <c r="A556" t="s">
        <v>635</v>
      </c>
      <c r="B556">
        <v>5152</v>
      </c>
      <c r="C556">
        <v>2045</v>
      </c>
      <c r="D556">
        <v>14</v>
      </c>
      <c r="E556" t="s">
        <v>13</v>
      </c>
      <c r="F556" t="s">
        <v>82</v>
      </c>
      <c r="G556" t="s">
        <v>15</v>
      </c>
      <c r="H556" s="1">
        <v>45210</v>
      </c>
      <c r="I556" t="s">
        <v>639</v>
      </c>
      <c r="J556" t="s">
        <v>25</v>
      </c>
      <c r="K556" t="s">
        <v>68</v>
      </c>
      <c r="L556" s="2" t="s">
        <v>442</v>
      </c>
    </row>
    <row r="557" spans="1:12" x14ac:dyDescent="0.3">
      <c r="A557" t="s">
        <v>640</v>
      </c>
      <c r="B557">
        <v>2542</v>
      </c>
      <c r="C557">
        <v>190</v>
      </c>
      <c r="D557">
        <v>1</v>
      </c>
      <c r="E557" t="s">
        <v>30</v>
      </c>
      <c r="F557" t="s">
        <v>57</v>
      </c>
      <c r="G557" t="s">
        <v>47</v>
      </c>
      <c r="H557" s="1">
        <v>44672</v>
      </c>
      <c r="I557" t="s">
        <v>641</v>
      </c>
      <c r="J557" t="s">
        <v>71</v>
      </c>
      <c r="K557" t="s">
        <v>138</v>
      </c>
      <c r="L557" s="2" t="s">
        <v>187</v>
      </c>
    </row>
    <row r="558" spans="1:12" x14ac:dyDescent="0.3">
      <c r="A558" t="s">
        <v>642</v>
      </c>
      <c r="B558">
        <v>8102</v>
      </c>
      <c r="C558">
        <v>1800</v>
      </c>
      <c r="D558">
        <v>5</v>
      </c>
      <c r="E558" t="s">
        <v>30</v>
      </c>
      <c r="F558" t="s">
        <v>57</v>
      </c>
      <c r="G558" t="s">
        <v>15</v>
      </c>
      <c r="H558" s="1">
        <v>45183</v>
      </c>
      <c r="I558" t="s">
        <v>643</v>
      </c>
      <c r="J558" t="s">
        <v>42</v>
      </c>
      <c r="K558" t="s">
        <v>92</v>
      </c>
      <c r="L558" s="2" t="s">
        <v>273</v>
      </c>
    </row>
    <row r="559" spans="1:12" x14ac:dyDescent="0.3">
      <c r="A559" t="s">
        <v>642</v>
      </c>
      <c r="B559">
        <v>8102</v>
      </c>
      <c r="C559">
        <v>1800</v>
      </c>
      <c r="D559">
        <v>5</v>
      </c>
      <c r="E559" t="s">
        <v>30</v>
      </c>
      <c r="F559" t="s">
        <v>57</v>
      </c>
      <c r="G559" t="s">
        <v>15</v>
      </c>
      <c r="H559" s="1">
        <v>43950</v>
      </c>
      <c r="I559" t="s">
        <v>644</v>
      </c>
      <c r="J559" t="s">
        <v>25</v>
      </c>
      <c r="K559" t="s">
        <v>26</v>
      </c>
      <c r="L559" s="2" t="s">
        <v>162</v>
      </c>
    </row>
    <row r="560" spans="1:12" x14ac:dyDescent="0.3">
      <c r="A560" t="s">
        <v>642</v>
      </c>
      <c r="B560">
        <v>8102</v>
      </c>
      <c r="C560">
        <v>1800</v>
      </c>
      <c r="D560">
        <v>5</v>
      </c>
      <c r="E560" t="s">
        <v>30</v>
      </c>
      <c r="F560" t="s">
        <v>57</v>
      </c>
      <c r="G560" t="s">
        <v>15</v>
      </c>
      <c r="H560" s="1">
        <v>44180</v>
      </c>
      <c r="I560" t="s">
        <v>645</v>
      </c>
      <c r="J560" t="s">
        <v>98</v>
      </c>
      <c r="K560" t="s">
        <v>117</v>
      </c>
      <c r="L560" s="2" t="s">
        <v>287</v>
      </c>
    </row>
    <row r="561" spans="1:12" x14ac:dyDescent="0.3">
      <c r="A561" t="s">
        <v>642</v>
      </c>
      <c r="B561">
        <v>3234</v>
      </c>
      <c r="C561">
        <v>1274</v>
      </c>
      <c r="D561">
        <v>10</v>
      </c>
      <c r="E561" t="s">
        <v>45</v>
      </c>
      <c r="F561" t="s">
        <v>46</v>
      </c>
      <c r="G561" t="s">
        <v>40</v>
      </c>
      <c r="H561" s="1">
        <v>45183</v>
      </c>
      <c r="I561" t="s">
        <v>643</v>
      </c>
      <c r="J561" t="s">
        <v>42</v>
      </c>
      <c r="K561" t="s">
        <v>92</v>
      </c>
      <c r="L561" s="2" t="s">
        <v>273</v>
      </c>
    </row>
    <row r="562" spans="1:12" x14ac:dyDescent="0.3">
      <c r="A562" t="s">
        <v>642</v>
      </c>
      <c r="B562">
        <v>3234</v>
      </c>
      <c r="C562">
        <v>1274</v>
      </c>
      <c r="D562">
        <v>10</v>
      </c>
      <c r="E562" t="s">
        <v>45</v>
      </c>
      <c r="F562" t="s">
        <v>46</v>
      </c>
      <c r="G562" t="s">
        <v>40</v>
      </c>
      <c r="H562" s="1">
        <v>43950</v>
      </c>
      <c r="I562" t="s">
        <v>644</v>
      </c>
      <c r="J562" t="s">
        <v>25</v>
      </c>
      <c r="K562" t="s">
        <v>26</v>
      </c>
      <c r="L562" s="2" t="s">
        <v>162</v>
      </c>
    </row>
    <row r="563" spans="1:12" x14ac:dyDescent="0.3">
      <c r="A563" t="s">
        <v>642</v>
      </c>
      <c r="B563">
        <v>3234</v>
      </c>
      <c r="C563">
        <v>1274</v>
      </c>
      <c r="D563">
        <v>10</v>
      </c>
      <c r="E563" t="s">
        <v>45</v>
      </c>
      <c r="F563" t="s">
        <v>46</v>
      </c>
      <c r="G563" t="s">
        <v>40</v>
      </c>
      <c r="H563" s="1">
        <v>44180</v>
      </c>
      <c r="I563" t="s">
        <v>645</v>
      </c>
      <c r="J563" t="s">
        <v>98</v>
      </c>
      <c r="K563" t="s">
        <v>117</v>
      </c>
      <c r="L563" s="2" t="s">
        <v>287</v>
      </c>
    </row>
    <row r="564" spans="1:12" x14ac:dyDescent="0.3">
      <c r="A564" t="s">
        <v>646</v>
      </c>
      <c r="B564">
        <v>6200</v>
      </c>
      <c r="C564">
        <v>2321</v>
      </c>
      <c r="D564">
        <v>18</v>
      </c>
      <c r="E564" t="s">
        <v>45</v>
      </c>
      <c r="F564" t="s">
        <v>46</v>
      </c>
      <c r="G564" t="s">
        <v>47</v>
      </c>
      <c r="H564" s="1">
        <v>45484</v>
      </c>
      <c r="I564" t="s">
        <v>647</v>
      </c>
      <c r="J564" t="s">
        <v>42</v>
      </c>
      <c r="K564" t="s">
        <v>43</v>
      </c>
      <c r="L564" s="2" t="s">
        <v>215</v>
      </c>
    </row>
    <row r="565" spans="1:12" x14ac:dyDescent="0.3">
      <c r="A565" t="s">
        <v>646</v>
      </c>
      <c r="B565">
        <v>6200</v>
      </c>
      <c r="C565">
        <v>2321</v>
      </c>
      <c r="D565">
        <v>18</v>
      </c>
      <c r="E565" t="s">
        <v>45</v>
      </c>
      <c r="F565" t="s">
        <v>46</v>
      </c>
      <c r="G565" t="s">
        <v>47</v>
      </c>
      <c r="H565" s="1">
        <v>45556</v>
      </c>
      <c r="I565" t="s">
        <v>648</v>
      </c>
      <c r="J565" t="s">
        <v>17</v>
      </c>
      <c r="K565" t="s">
        <v>18</v>
      </c>
      <c r="L565" s="2" t="s">
        <v>159</v>
      </c>
    </row>
    <row r="566" spans="1:12" x14ac:dyDescent="0.3">
      <c r="A566" t="s">
        <v>649</v>
      </c>
      <c r="B566">
        <v>4470</v>
      </c>
      <c r="C566">
        <v>413</v>
      </c>
      <c r="D566">
        <v>13</v>
      </c>
      <c r="E566" t="s">
        <v>13</v>
      </c>
      <c r="F566" t="s">
        <v>39</v>
      </c>
      <c r="G566" t="s">
        <v>15</v>
      </c>
      <c r="H566" s="1">
        <v>45690</v>
      </c>
      <c r="I566" t="s">
        <v>650</v>
      </c>
      <c r="J566" t="s">
        <v>42</v>
      </c>
      <c r="K566" t="s">
        <v>43</v>
      </c>
      <c r="L566" s="2" t="s">
        <v>73</v>
      </c>
    </row>
    <row r="567" spans="1:12" x14ac:dyDescent="0.3">
      <c r="A567" t="s">
        <v>651</v>
      </c>
      <c r="B567">
        <v>916</v>
      </c>
      <c r="C567">
        <v>362</v>
      </c>
      <c r="D567">
        <v>7</v>
      </c>
      <c r="E567" t="s">
        <v>30</v>
      </c>
      <c r="F567" t="s">
        <v>31</v>
      </c>
      <c r="G567" t="s">
        <v>15</v>
      </c>
      <c r="H567" s="1">
        <v>44855</v>
      </c>
      <c r="I567" t="s">
        <v>652</v>
      </c>
      <c r="J567" t="s">
        <v>21</v>
      </c>
      <c r="K567" t="s">
        <v>63</v>
      </c>
      <c r="L567" s="2" t="s">
        <v>96</v>
      </c>
    </row>
    <row r="568" spans="1:12" x14ac:dyDescent="0.3">
      <c r="A568" t="s">
        <v>651</v>
      </c>
      <c r="B568">
        <v>916</v>
      </c>
      <c r="C568">
        <v>362</v>
      </c>
      <c r="D568">
        <v>7</v>
      </c>
      <c r="E568" t="s">
        <v>30</v>
      </c>
      <c r="F568" t="s">
        <v>31</v>
      </c>
      <c r="G568" t="s">
        <v>15</v>
      </c>
      <c r="H568" s="1">
        <v>44125</v>
      </c>
      <c r="I568" t="s">
        <v>653</v>
      </c>
      <c r="J568" t="s">
        <v>42</v>
      </c>
      <c r="K568" t="s">
        <v>92</v>
      </c>
      <c r="L568" s="2" t="s">
        <v>119</v>
      </c>
    </row>
    <row r="569" spans="1:12" x14ac:dyDescent="0.3">
      <c r="A569" t="s">
        <v>651</v>
      </c>
      <c r="B569">
        <v>1165</v>
      </c>
      <c r="C569">
        <v>302</v>
      </c>
      <c r="D569">
        <v>20</v>
      </c>
      <c r="E569" t="s">
        <v>45</v>
      </c>
      <c r="F569" t="s">
        <v>60</v>
      </c>
      <c r="G569" t="s">
        <v>15</v>
      </c>
      <c r="H569" s="1">
        <v>44855</v>
      </c>
      <c r="I569" t="s">
        <v>652</v>
      </c>
      <c r="J569" t="s">
        <v>21</v>
      </c>
      <c r="K569" t="s">
        <v>63</v>
      </c>
      <c r="L569" s="2" t="s">
        <v>96</v>
      </c>
    </row>
    <row r="570" spans="1:12" x14ac:dyDescent="0.3">
      <c r="A570" t="s">
        <v>651</v>
      </c>
      <c r="B570">
        <v>1165</v>
      </c>
      <c r="C570">
        <v>302</v>
      </c>
      <c r="D570">
        <v>20</v>
      </c>
      <c r="E570" t="s">
        <v>45</v>
      </c>
      <c r="F570" t="s">
        <v>60</v>
      </c>
      <c r="G570" t="s">
        <v>15</v>
      </c>
      <c r="H570" s="1">
        <v>44125</v>
      </c>
      <c r="I570" t="s">
        <v>653</v>
      </c>
      <c r="J570" t="s">
        <v>42</v>
      </c>
      <c r="K570" t="s">
        <v>92</v>
      </c>
      <c r="L570" s="2" t="s">
        <v>119</v>
      </c>
    </row>
    <row r="571" spans="1:12" x14ac:dyDescent="0.3">
      <c r="A571" t="s">
        <v>651</v>
      </c>
      <c r="B571">
        <v>7846</v>
      </c>
      <c r="C571">
        <v>677</v>
      </c>
      <c r="D571">
        <v>12</v>
      </c>
      <c r="E571" t="s">
        <v>45</v>
      </c>
      <c r="F571" t="s">
        <v>49</v>
      </c>
      <c r="G571" t="s">
        <v>15</v>
      </c>
      <c r="H571" s="1">
        <v>44855</v>
      </c>
      <c r="I571" t="s">
        <v>652</v>
      </c>
      <c r="J571" t="s">
        <v>21</v>
      </c>
      <c r="K571" t="s">
        <v>63</v>
      </c>
      <c r="L571" s="2" t="s">
        <v>96</v>
      </c>
    </row>
    <row r="572" spans="1:12" x14ac:dyDescent="0.3">
      <c r="A572" t="s">
        <v>651</v>
      </c>
      <c r="B572">
        <v>7846</v>
      </c>
      <c r="C572">
        <v>677</v>
      </c>
      <c r="D572">
        <v>12</v>
      </c>
      <c r="E572" t="s">
        <v>45</v>
      </c>
      <c r="F572" t="s">
        <v>49</v>
      </c>
      <c r="G572" t="s">
        <v>15</v>
      </c>
      <c r="H572" s="1">
        <v>44125</v>
      </c>
      <c r="I572" t="s">
        <v>653</v>
      </c>
      <c r="J572" t="s">
        <v>42</v>
      </c>
      <c r="K572" t="s">
        <v>92</v>
      </c>
      <c r="L572" s="2" t="s">
        <v>119</v>
      </c>
    </row>
    <row r="573" spans="1:12" x14ac:dyDescent="0.3">
      <c r="A573" t="s">
        <v>654</v>
      </c>
      <c r="B573">
        <v>3022</v>
      </c>
      <c r="C573">
        <v>384</v>
      </c>
      <c r="D573">
        <v>1</v>
      </c>
      <c r="E573" t="s">
        <v>30</v>
      </c>
      <c r="F573" t="s">
        <v>31</v>
      </c>
      <c r="G573" t="s">
        <v>47</v>
      </c>
      <c r="H573" s="1">
        <v>44572</v>
      </c>
      <c r="I573" t="s">
        <v>655</v>
      </c>
      <c r="J573" t="s">
        <v>71</v>
      </c>
      <c r="K573" t="s">
        <v>86</v>
      </c>
      <c r="L573" s="2" t="s">
        <v>87</v>
      </c>
    </row>
    <row r="574" spans="1:12" x14ac:dyDescent="0.3">
      <c r="A574" t="s">
        <v>654</v>
      </c>
      <c r="B574">
        <v>3022</v>
      </c>
      <c r="C574">
        <v>384</v>
      </c>
      <c r="D574">
        <v>1</v>
      </c>
      <c r="E574" t="s">
        <v>30</v>
      </c>
      <c r="F574" t="s">
        <v>31</v>
      </c>
      <c r="G574" t="s">
        <v>47</v>
      </c>
      <c r="H574" s="1">
        <v>44244</v>
      </c>
      <c r="I574" t="s">
        <v>656</v>
      </c>
      <c r="J574" t="s">
        <v>21</v>
      </c>
      <c r="K574" t="s">
        <v>22</v>
      </c>
      <c r="L574" s="2" t="s">
        <v>292</v>
      </c>
    </row>
    <row r="575" spans="1:12" x14ac:dyDescent="0.3">
      <c r="A575" t="s">
        <v>654</v>
      </c>
      <c r="B575">
        <v>5266</v>
      </c>
      <c r="C575">
        <v>1111</v>
      </c>
      <c r="D575">
        <v>13</v>
      </c>
      <c r="E575" t="s">
        <v>13</v>
      </c>
      <c r="F575" t="s">
        <v>14</v>
      </c>
      <c r="G575" t="s">
        <v>32</v>
      </c>
      <c r="H575" s="1">
        <v>44572</v>
      </c>
      <c r="I575" t="s">
        <v>655</v>
      </c>
      <c r="J575" t="s">
        <v>71</v>
      </c>
      <c r="K575" t="s">
        <v>86</v>
      </c>
      <c r="L575" s="2" t="s">
        <v>87</v>
      </c>
    </row>
    <row r="576" spans="1:12" x14ac:dyDescent="0.3">
      <c r="A576" t="s">
        <v>654</v>
      </c>
      <c r="B576">
        <v>5266</v>
      </c>
      <c r="C576">
        <v>1111</v>
      </c>
      <c r="D576">
        <v>13</v>
      </c>
      <c r="E576" t="s">
        <v>13</v>
      </c>
      <c r="F576" t="s">
        <v>14</v>
      </c>
      <c r="G576" t="s">
        <v>32</v>
      </c>
      <c r="H576" s="1">
        <v>44244</v>
      </c>
      <c r="I576" t="s">
        <v>656</v>
      </c>
      <c r="J576" t="s">
        <v>21</v>
      </c>
      <c r="K576" t="s">
        <v>22</v>
      </c>
      <c r="L576" s="2" t="s">
        <v>292</v>
      </c>
    </row>
    <row r="577" spans="1:12" x14ac:dyDescent="0.3">
      <c r="A577" t="s">
        <v>657</v>
      </c>
      <c r="B577">
        <v>4853</v>
      </c>
      <c r="C577">
        <v>1764</v>
      </c>
      <c r="D577">
        <v>9</v>
      </c>
      <c r="E577" t="s">
        <v>30</v>
      </c>
      <c r="F577" t="s">
        <v>31</v>
      </c>
      <c r="G577" t="s">
        <v>32</v>
      </c>
      <c r="H577" s="1">
        <v>44506</v>
      </c>
      <c r="I577" t="s">
        <v>658</v>
      </c>
      <c r="J577" t="s">
        <v>17</v>
      </c>
      <c r="K577" t="s">
        <v>34</v>
      </c>
      <c r="L577" s="2" t="s">
        <v>175</v>
      </c>
    </row>
    <row r="578" spans="1:12" x14ac:dyDescent="0.3">
      <c r="A578" t="s">
        <v>657</v>
      </c>
      <c r="B578">
        <v>4853</v>
      </c>
      <c r="C578">
        <v>1764</v>
      </c>
      <c r="D578">
        <v>9</v>
      </c>
      <c r="E578" t="s">
        <v>30</v>
      </c>
      <c r="F578" t="s">
        <v>31</v>
      </c>
      <c r="G578" t="s">
        <v>32</v>
      </c>
      <c r="H578" s="1">
        <v>44803</v>
      </c>
      <c r="I578" t="s">
        <v>659</v>
      </c>
      <c r="J578" t="s">
        <v>71</v>
      </c>
      <c r="K578" t="s">
        <v>138</v>
      </c>
      <c r="L578" s="2" t="s">
        <v>209</v>
      </c>
    </row>
    <row r="579" spans="1:12" x14ac:dyDescent="0.3">
      <c r="A579" t="s">
        <v>660</v>
      </c>
      <c r="B579">
        <v>9832</v>
      </c>
      <c r="C579">
        <v>1270</v>
      </c>
      <c r="D579">
        <v>1</v>
      </c>
      <c r="E579" t="s">
        <v>30</v>
      </c>
      <c r="F579" t="s">
        <v>31</v>
      </c>
      <c r="G579" t="s">
        <v>65</v>
      </c>
      <c r="H579" s="1">
        <v>44841</v>
      </c>
      <c r="I579" t="s">
        <v>661</v>
      </c>
      <c r="J579" t="s">
        <v>42</v>
      </c>
      <c r="K579" t="s">
        <v>92</v>
      </c>
      <c r="L579" s="2" t="s">
        <v>96</v>
      </c>
    </row>
    <row r="580" spans="1:12" x14ac:dyDescent="0.3">
      <c r="A580" t="s">
        <v>660</v>
      </c>
      <c r="B580">
        <v>796</v>
      </c>
      <c r="C580">
        <v>153</v>
      </c>
      <c r="D580">
        <v>15</v>
      </c>
      <c r="E580" t="s">
        <v>30</v>
      </c>
      <c r="F580" t="s">
        <v>31</v>
      </c>
      <c r="G580" t="s">
        <v>47</v>
      </c>
      <c r="H580" s="1">
        <v>44841</v>
      </c>
      <c r="I580" t="s">
        <v>661</v>
      </c>
      <c r="J580" t="s">
        <v>42</v>
      </c>
      <c r="K580" t="s">
        <v>92</v>
      </c>
      <c r="L580" s="2" t="s">
        <v>96</v>
      </c>
    </row>
    <row r="581" spans="1:12" x14ac:dyDescent="0.3">
      <c r="A581" t="s">
        <v>662</v>
      </c>
      <c r="B581">
        <v>883</v>
      </c>
      <c r="C581">
        <v>127</v>
      </c>
      <c r="D581">
        <v>7</v>
      </c>
      <c r="E581" t="s">
        <v>45</v>
      </c>
      <c r="F581" t="s">
        <v>49</v>
      </c>
      <c r="G581" t="s">
        <v>65</v>
      </c>
      <c r="H581" s="1">
        <v>45081</v>
      </c>
      <c r="I581" t="s">
        <v>663</v>
      </c>
      <c r="J581" t="s">
        <v>42</v>
      </c>
      <c r="K581" t="s">
        <v>92</v>
      </c>
      <c r="L581" s="2" t="s">
        <v>19</v>
      </c>
    </row>
    <row r="582" spans="1:12" x14ac:dyDescent="0.3">
      <c r="A582" t="s">
        <v>662</v>
      </c>
      <c r="B582">
        <v>4539</v>
      </c>
      <c r="C582">
        <v>1155</v>
      </c>
      <c r="D582">
        <v>8</v>
      </c>
      <c r="E582" t="s">
        <v>45</v>
      </c>
      <c r="F582" t="s">
        <v>109</v>
      </c>
      <c r="G582" t="s">
        <v>32</v>
      </c>
      <c r="H582" s="1">
        <v>45081</v>
      </c>
      <c r="I582" t="s">
        <v>663</v>
      </c>
      <c r="J582" t="s">
        <v>42</v>
      </c>
      <c r="K582" t="s">
        <v>92</v>
      </c>
      <c r="L582" s="2" t="s">
        <v>19</v>
      </c>
    </row>
    <row r="583" spans="1:12" x14ac:dyDescent="0.3">
      <c r="A583" t="s">
        <v>662</v>
      </c>
      <c r="B583">
        <v>9659</v>
      </c>
      <c r="C583">
        <v>2226</v>
      </c>
      <c r="D583">
        <v>16</v>
      </c>
      <c r="E583" t="s">
        <v>30</v>
      </c>
      <c r="F583" t="s">
        <v>78</v>
      </c>
      <c r="G583" t="s">
        <v>32</v>
      </c>
      <c r="H583" s="1">
        <v>45081</v>
      </c>
      <c r="I583" t="s">
        <v>663</v>
      </c>
      <c r="J583" t="s">
        <v>42</v>
      </c>
      <c r="K583" t="s">
        <v>92</v>
      </c>
      <c r="L583" s="2" t="s">
        <v>19</v>
      </c>
    </row>
    <row r="584" spans="1:12" x14ac:dyDescent="0.3">
      <c r="A584" t="s">
        <v>664</v>
      </c>
      <c r="B584">
        <v>9562</v>
      </c>
      <c r="C584">
        <v>325</v>
      </c>
      <c r="D584">
        <v>2</v>
      </c>
      <c r="E584" t="s">
        <v>13</v>
      </c>
      <c r="F584" t="s">
        <v>28</v>
      </c>
      <c r="G584" t="s">
        <v>32</v>
      </c>
      <c r="H584" s="1">
        <v>44694</v>
      </c>
      <c r="I584" t="s">
        <v>665</v>
      </c>
      <c r="J584" t="s">
        <v>42</v>
      </c>
      <c r="K584" t="s">
        <v>75</v>
      </c>
      <c r="L584" s="2" t="s">
        <v>180</v>
      </c>
    </row>
    <row r="585" spans="1:12" x14ac:dyDescent="0.3">
      <c r="A585" t="s">
        <v>666</v>
      </c>
      <c r="B585">
        <v>4688</v>
      </c>
      <c r="C585">
        <v>1841</v>
      </c>
      <c r="D585">
        <v>3</v>
      </c>
      <c r="E585" t="s">
        <v>13</v>
      </c>
      <c r="F585" t="s">
        <v>39</v>
      </c>
      <c r="G585" t="s">
        <v>47</v>
      </c>
      <c r="H585" s="1">
        <v>44949</v>
      </c>
      <c r="I585" t="s">
        <v>667</v>
      </c>
      <c r="J585" t="s">
        <v>42</v>
      </c>
      <c r="K585" t="s">
        <v>92</v>
      </c>
      <c r="L585" s="2" t="s">
        <v>333</v>
      </c>
    </row>
    <row r="586" spans="1:12" x14ac:dyDescent="0.3">
      <c r="A586" t="s">
        <v>666</v>
      </c>
      <c r="B586">
        <v>4688</v>
      </c>
      <c r="C586">
        <v>1841</v>
      </c>
      <c r="D586">
        <v>3</v>
      </c>
      <c r="E586" t="s">
        <v>13</v>
      </c>
      <c r="F586" t="s">
        <v>39</v>
      </c>
      <c r="G586" t="s">
        <v>47</v>
      </c>
      <c r="H586" s="1">
        <v>44402</v>
      </c>
      <c r="I586" t="s">
        <v>668</v>
      </c>
      <c r="J586" t="s">
        <v>42</v>
      </c>
      <c r="K586" t="s">
        <v>75</v>
      </c>
      <c r="L586" s="2" t="s">
        <v>27</v>
      </c>
    </row>
    <row r="587" spans="1:12" x14ac:dyDescent="0.3">
      <c r="A587" t="s">
        <v>669</v>
      </c>
      <c r="B587">
        <v>7900</v>
      </c>
      <c r="C587">
        <v>482</v>
      </c>
      <c r="D587">
        <v>4</v>
      </c>
      <c r="E587" t="s">
        <v>13</v>
      </c>
      <c r="F587" t="s">
        <v>82</v>
      </c>
      <c r="G587" t="s">
        <v>65</v>
      </c>
      <c r="H587" s="1">
        <v>45724</v>
      </c>
      <c r="I587" t="s">
        <v>670</v>
      </c>
      <c r="J587" t="s">
        <v>98</v>
      </c>
      <c r="K587" t="s">
        <v>99</v>
      </c>
      <c r="L587" s="2" t="s">
        <v>157</v>
      </c>
    </row>
    <row r="588" spans="1:12" x14ac:dyDescent="0.3">
      <c r="A588" t="s">
        <v>671</v>
      </c>
      <c r="B588">
        <v>6967</v>
      </c>
      <c r="C588">
        <v>3257</v>
      </c>
      <c r="D588">
        <v>17</v>
      </c>
      <c r="E588" t="s">
        <v>45</v>
      </c>
      <c r="F588" t="s">
        <v>109</v>
      </c>
      <c r="G588" t="s">
        <v>65</v>
      </c>
      <c r="H588" s="1">
        <v>44920</v>
      </c>
      <c r="I588" t="s">
        <v>672</v>
      </c>
      <c r="J588" t="s">
        <v>98</v>
      </c>
      <c r="K588" t="s">
        <v>107</v>
      </c>
      <c r="L588" s="2" t="s">
        <v>152</v>
      </c>
    </row>
    <row r="589" spans="1:12" x14ac:dyDescent="0.3">
      <c r="A589" t="s">
        <v>671</v>
      </c>
      <c r="B589">
        <v>1091</v>
      </c>
      <c r="C589">
        <v>277</v>
      </c>
      <c r="D589">
        <v>6</v>
      </c>
      <c r="E589" t="s">
        <v>30</v>
      </c>
      <c r="F589" t="s">
        <v>64</v>
      </c>
      <c r="G589" t="s">
        <v>65</v>
      </c>
      <c r="H589" s="1">
        <v>44920</v>
      </c>
      <c r="I589" t="s">
        <v>672</v>
      </c>
      <c r="J589" t="s">
        <v>98</v>
      </c>
      <c r="K589" t="s">
        <v>107</v>
      </c>
      <c r="L589" s="2" t="s">
        <v>152</v>
      </c>
    </row>
    <row r="590" spans="1:12" x14ac:dyDescent="0.3">
      <c r="A590" t="s">
        <v>671</v>
      </c>
      <c r="B590">
        <v>6027</v>
      </c>
      <c r="C590">
        <v>1530</v>
      </c>
      <c r="D590">
        <v>2</v>
      </c>
      <c r="E590" t="s">
        <v>30</v>
      </c>
      <c r="F590" t="s">
        <v>78</v>
      </c>
      <c r="G590" t="s">
        <v>47</v>
      </c>
      <c r="H590" s="1">
        <v>44920</v>
      </c>
      <c r="I590" t="s">
        <v>672</v>
      </c>
      <c r="J590" t="s">
        <v>98</v>
      </c>
      <c r="K590" t="s">
        <v>107</v>
      </c>
      <c r="L590" s="2" t="s">
        <v>152</v>
      </c>
    </row>
    <row r="591" spans="1:12" x14ac:dyDescent="0.3">
      <c r="A591" t="s">
        <v>673</v>
      </c>
      <c r="B591">
        <v>4852</v>
      </c>
      <c r="C591">
        <v>218</v>
      </c>
      <c r="D591">
        <v>2</v>
      </c>
      <c r="E591" t="s">
        <v>45</v>
      </c>
      <c r="F591" t="s">
        <v>46</v>
      </c>
      <c r="G591" t="s">
        <v>40</v>
      </c>
      <c r="H591" s="1">
        <v>45406</v>
      </c>
      <c r="I591" t="s">
        <v>674</v>
      </c>
      <c r="J591" t="s">
        <v>71</v>
      </c>
      <c r="K591" t="s">
        <v>72</v>
      </c>
      <c r="L591" s="2" t="s">
        <v>235</v>
      </c>
    </row>
    <row r="592" spans="1:12" x14ac:dyDescent="0.3">
      <c r="A592" t="s">
        <v>673</v>
      </c>
      <c r="B592">
        <v>4852</v>
      </c>
      <c r="C592">
        <v>218</v>
      </c>
      <c r="D592">
        <v>2</v>
      </c>
      <c r="E592" t="s">
        <v>45</v>
      </c>
      <c r="F592" t="s">
        <v>46</v>
      </c>
      <c r="G592" t="s">
        <v>40</v>
      </c>
      <c r="H592" s="1">
        <v>44554</v>
      </c>
      <c r="I592" t="s">
        <v>675</v>
      </c>
      <c r="J592" t="s">
        <v>17</v>
      </c>
      <c r="K592" t="s">
        <v>150</v>
      </c>
      <c r="L592" s="2" t="s">
        <v>90</v>
      </c>
    </row>
    <row r="593" spans="1:12" x14ac:dyDescent="0.3">
      <c r="A593" t="s">
        <v>673</v>
      </c>
      <c r="B593">
        <v>4852</v>
      </c>
      <c r="C593">
        <v>218</v>
      </c>
      <c r="D593">
        <v>2</v>
      </c>
      <c r="E593" t="s">
        <v>45</v>
      </c>
      <c r="F593" t="s">
        <v>46</v>
      </c>
      <c r="G593" t="s">
        <v>40</v>
      </c>
      <c r="H593" s="1">
        <v>45176</v>
      </c>
      <c r="I593" t="s">
        <v>676</v>
      </c>
      <c r="J593" t="s">
        <v>21</v>
      </c>
      <c r="K593" t="s">
        <v>63</v>
      </c>
      <c r="L593" s="2" t="s">
        <v>273</v>
      </c>
    </row>
    <row r="594" spans="1:12" x14ac:dyDescent="0.3">
      <c r="A594" t="s">
        <v>677</v>
      </c>
      <c r="B594">
        <v>4314</v>
      </c>
      <c r="C594">
        <v>1453</v>
      </c>
      <c r="D594">
        <v>6</v>
      </c>
      <c r="E594" t="s">
        <v>45</v>
      </c>
      <c r="F594" t="s">
        <v>60</v>
      </c>
      <c r="G594" t="s">
        <v>65</v>
      </c>
      <c r="H594" s="1">
        <v>44418</v>
      </c>
      <c r="I594" t="s">
        <v>678</v>
      </c>
      <c r="J594" t="s">
        <v>17</v>
      </c>
      <c r="K594" t="s">
        <v>150</v>
      </c>
      <c r="L594" s="2" t="s">
        <v>178</v>
      </c>
    </row>
    <row r="595" spans="1:12" x14ac:dyDescent="0.3">
      <c r="A595" t="s">
        <v>679</v>
      </c>
      <c r="B595">
        <v>3288</v>
      </c>
      <c r="C595">
        <v>1477</v>
      </c>
      <c r="D595">
        <v>3</v>
      </c>
      <c r="E595" t="s">
        <v>30</v>
      </c>
      <c r="F595" t="s">
        <v>31</v>
      </c>
      <c r="G595" t="s">
        <v>40</v>
      </c>
      <c r="H595" s="1">
        <v>45438</v>
      </c>
      <c r="I595" t="s">
        <v>680</v>
      </c>
      <c r="J595" t="s">
        <v>71</v>
      </c>
      <c r="K595" t="s">
        <v>86</v>
      </c>
      <c r="L595" s="2" t="s">
        <v>35</v>
      </c>
    </row>
    <row r="596" spans="1:12" x14ac:dyDescent="0.3">
      <c r="A596" t="s">
        <v>679</v>
      </c>
      <c r="B596">
        <v>3288</v>
      </c>
      <c r="C596">
        <v>1477</v>
      </c>
      <c r="D596">
        <v>3</v>
      </c>
      <c r="E596" t="s">
        <v>30</v>
      </c>
      <c r="F596" t="s">
        <v>31</v>
      </c>
      <c r="G596" t="s">
        <v>40</v>
      </c>
      <c r="H596" s="1">
        <v>44611</v>
      </c>
      <c r="I596" t="s">
        <v>681</v>
      </c>
      <c r="J596" t="s">
        <v>21</v>
      </c>
      <c r="K596" t="s">
        <v>63</v>
      </c>
      <c r="L596" s="2" t="s">
        <v>137</v>
      </c>
    </row>
    <row r="597" spans="1:12" x14ac:dyDescent="0.3">
      <c r="A597" t="s">
        <v>682</v>
      </c>
      <c r="B597">
        <v>3977</v>
      </c>
      <c r="C597">
        <v>813</v>
      </c>
      <c r="D597">
        <v>5</v>
      </c>
      <c r="E597" t="s">
        <v>30</v>
      </c>
      <c r="F597" t="s">
        <v>78</v>
      </c>
      <c r="G597" t="s">
        <v>47</v>
      </c>
      <c r="H597" s="1">
        <v>45635</v>
      </c>
      <c r="I597" t="s">
        <v>683</v>
      </c>
      <c r="J597" t="s">
        <v>25</v>
      </c>
      <c r="K597" t="s">
        <v>51</v>
      </c>
      <c r="L597" s="2" t="s">
        <v>23</v>
      </c>
    </row>
    <row r="598" spans="1:12" x14ac:dyDescent="0.3">
      <c r="A598" t="s">
        <v>684</v>
      </c>
      <c r="B598">
        <v>6252</v>
      </c>
      <c r="C598">
        <v>1377</v>
      </c>
      <c r="D598">
        <v>2</v>
      </c>
      <c r="E598" t="s">
        <v>13</v>
      </c>
      <c r="F598" t="s">
        <v>28</v>
      </c>
      <c r="G598" t="s">
        <v>40</v>
      </c>
      <c r="H598" s="1">
        <v>45078</v>
      </c>
      <c r="I598" t="s">
        <v>685</v>
      </c>
      <c r="J598" t="s">
        <v>21</v>
      </c>
      <c r="K598" t="s">
        <v>22</v>
      </c>
      <c r="L598" s="2" t="s">
        <v>19</v>
      </c>
    </row>
    <row r="599" spans="1:12" x14ac:dyDescent="0.3">
      <c r="A599" t="s">
        <v>686</v>
      </c>
      <c r="B599">
        <v>9084</v>
      </c>
      <c r="C599">
        <v>3253</v>
      </c>
      <c r="D599">
        <v>12</v>
      </c>
      <c r="E599" t="s">
        <v>30</v>
      </c>
      <c r="F599" t="s">
        <v>31</v>
      </c>
      <c r="G599" t="s">
        <v>32</v>
      </c>
      <c r="H599" s="1">
        <v>45235</v>
      </c>
      <c r="I599" t="s">
        <v>687</v>
      </c>
      <c r="J599" t="s">
        <v>25</v>
      </c>
      <c r="K599" t="s">
        <v>26</v>
      </c>
      <c r="L599" s="2" t="s">
        <v>52</v>
      </c>
    </row>
    <row r="600" spans="1:12" x14ac:dyDescent="0.3">
      <c r="A600" t="s">
        <v>688</v>
      </c>
      <c r="B600">
        <v>8994</v>
      </c>
      <c r="C600">
        <v>1481</v>
      </c>
      <c r="D600">
        <v>15</v>
      </c>
      <c r="E600" t="s">
        <v>13</v>
      </c>
      <c r="F600" t="s">
        <v>82</v>
      </c>
      <c r="G600" t="s">
        <v>47</v>
      </c>
      <c r="H600" s="1">
        <v>44003</v>
      </c>
      <c r="I600" t="s">
        <v>689</v>
      </c>
      <c r="J600" t="s">
        <v>42</v>
      </c>
      <c r="K600" t="s">
        <v>75</v>
      </c>
      <c r="L600" s="2" t="s">
        <v>313</v>
      </c>
    </row>
    <row r="601" spans="1:12" x14ac:dyDescent="0.3">
      <c r="A601" t="s">
        <v>690</v>
      </c>
      <c r="B601">
        <v>1089</v>
      </c>
      <c r="C601">
        <v>176</v>
      </c>
      <c r="D601">
        <v>16</v>
      </c>
      <c r="E601" t="s">
        <v>30</v>
      </c>
      <c r="F601" t="s">
        <v>57</v>
      </c>
      <c r="G601" t="s">
        <v>40</v>
      </c>
      <c r="H601" s="1">
        <v>44130</v>
      </c>
      <c r="I601" t="s">
        <v>691</v>
      </c>
      <c r="J601" t="s">
        <v>71</v>
      </c>
      <c r="K601" t="s">
        <v>72</v>
      </c>
      <c r="L601" s="2" t="s">
        <v>119</v>
      </c>
    </row>
    <row r="602" spans="1:12" x14ac:dyDescent="0.3">
      <c r="A602" t="s">
        <v>692</v>
      </c>
      <c r="B602">
        <v>6690</v>
      </c>
      <c r="C602">
        <v>1001</v>
      </c>
      <c r="D602">
        <v>19</v>
      </c>
      <c r="E602" t="s">
        <v>30</v>
      </c>
      <c r="F602" t="s">
        <v>78</v>
      </c>
      <c r="G602" t="s">
        <v>15</v>
      </c>
      <c r="H602" s="1">
        <v>44718</v>
      </c>
      <c r="I602" t="s">
        <v>693</v>
      </c>
      <c r="J602" t="s">
        <v>21</v>
      </c>
      <c r="K602" t="s">
        <v>63</v>
      </c>
      <c r="L602" s="2" t="s">
        <v>165</v>
      </c>
    </row>
    <row r="603" spans="1:12" x14ac:dyDescent="0.3">
      <c r="A603" t="s">
        <v>692</v>
      </c>
      <c r="B603">
        <v>6690</v>
      </c>
      <c r="C603">
        <v>1001</v>
      </c>
      <c r="D603">
        <v>19</v>
      </c>
      <c r="E603" t="s">
        <v>30</v>
      </c>
      <c r="F603" t="s">
        <v>78</v>
      </c>
      <c r="G603" t="s">
        <v>15</v>
      </c>
      <c r="H603" s="1">
        <v>44513</v>
      </c>
      <c r="I603" t="s">
        <v>694</v>
      </c>
      <c r="J603" t="s">
        <v>21</v>
      </c>
      <c r="K603" t="s">
        <v>22</v>
      </c>
      <c r="L603" s="2" t="s">
        <v>175</v>
      </c>
    </row>
    <row r="604" spans="1:12" x14ac:dyDescent="0.3">
      <c r="A604" t="s">
        <v>692</v>
      </c>
      <c r="B604">
        <v>4985</v>
      </c>
      <c r="C604">
        <v>1920</v>
      </c>
      <c r="D604">
        <v>10</v>
      </c>
      <c r="E604" t="s">
        <v>45</v>
      </c>
      <c r="F604" t="s">
        <v>109</v>
      </c>
      <c r="G604" t="s">
        <v>47</v>
      </c>
      <c r="H604" s="1">
        <v>44718</v>
      </c>
      <c r="I604" t="s">
        <v>693</v>
      </c>
      <c r="J604" t="s">
        <v>21</v>
      </c>
      <c r="K604" t="s">
        <v>63</v>
      </c>
      <c r="L604" s="2" t="s">
        <v>165</v>
      </c>
    </row>
    <row r="605" spans="1:12" x14ac:dyDescent="0.3">
      <c r="A605" t="s">
        <v>692</v>
      </c>
      <c r="B605">
        <v>4985</v>
      </c>
      <c r="C605">
        <v>1920</v>
      </c>
      <c r="D605">
        <v>10</v>
      </c>
      <c r="E605" t="s">
        <v>45</v>
      </c>
      <c r="F605" t="s">
        <v>109</v>
      </c>
      <c r="G605" t="s">
        <v>47</v>
      </c>
      <c r="H605" s="1">
        <v>44513</v>
      </c>
      <c r="I605" t="s">
        <v>694</v>
      </c>
      <c r="J605" t="s">
        <v>21</v>
      </c>
      <c r="K605" t="s">
        <v>22</v>
      </c>
      <c r="L605" s="2" t="s">
        <v>175</v>
      </c>
    </row>
    <row r="606" spans="1:12" x14ac:dyDescent="0.3">
      <c r="A606" t="s">
        <v>695</v>
      </c>
      <c r="B606">
        <v>8590</v>
      </c>
      <c r="C606">
        <v>3565</v>
      </c>
      <c r="D606">
        <v>15</v>
      </c>
      <c r="E606" t="s">
        <v>13</v>
      </c>
      <c r="F606" t="s">
        <v>14</v>
      </c>
      <c r="G606" t="s">
        <v>40</v>
      </c>
      <c r="H606" s="1">
        <v>44511</v>
      </c>
      <c r="I606" t="s">
        <v>696</v>
      </c>
      <c r="J606" t="s">
        <v>17</v>
      </c>
      <c r="K606" t="s">
        <v>18</v>
      </c>
      <c r="L606" s="2" t="s">
        <v>175</v>
      </c>
    </row>
    <row r="607" spans="1:12" x14ac:dyDescent="0.3">
      <c r="A607" t="s">
        <v>695</v>
      </c>
      <c r="B607">
        <v>6973</v>
      </c>
      <c r="C607">
        <v>3038</v>
      </c>
      <c r="D607">
        <v>10</v>
      </c>
      <c r="E607" t="s">
        <v>45</v>
      </c>
      <c r="F607" t="s">
        <v>46</v>
      </c>
      <c r="G607" t="s">
        <v>65</v>
      </c>
      <c r="H607" s="1">
        <v>44511</v>
      </c>
      <c r="I607" t="s">
        <v>696</v>
      </c>
      <c r="J607" t="s">
        <v>17</v>
      </c>
      <c r="K607" t="s">
        <v>18</v>
      </c>
      <c r="L607" s="2" t="s">
        <v>175</v>
      </c>
    </row>
    <row r="608" spans="1:12" x14ac:dyDescent="0.3">
      <c r="A608" t="s">
        <v>697</v>
      </c>
      <c r="B608">
        <v>4591</v>
      </c>
      <c r="C608">
        <v>1941</v>
      </c>
      <c r="D608">
        <v>19</v>
      </c>
      <c r="E608" t="s">
        <v>13</v>
      </c>
      <c r="F608" t="s">
        <v>28</v>
      </c>
      <c r="G608" t="s">
        <v>40</v>
      </c>
      <c r="H608" s="1">
        <v>44408</v>
      </c>
      <c r="I608" t="s">
        <v>476</v>
      </c>
      <c r="J608" t="s">
        <v>71</v>
      </c>
      <c r="K608" t="s">
        <v>72</v>
      </c>
      <c r="L608" s="2" t="s">
        <v>27</v>
      </c>
    </row>
    <row r="609" spans="1:12" x14ac:dyDescent="0.3">
      <c r="A609" t="s">
        <v>697</v>
      </c>
      <c r="B609">
        <v>9612</v>
      </c>
      <c r="C609">
        <v>2572</v>
      </c>
      <c r="D609">
        <v>17</v>
      </c>
      <c r="E609" t="s">
        <v>30</v>
      </c>
      <c r="F609" t="s">
        <v>31</v>
      </c>
      <c r="G609" t="s">
        <v>47</v>
      </c>
      <c r="H609" s="1">
        <v>44408</v>
      </c>
      <c r="I609" t="s">
        <v>476</v>
      </c>
      <c r="J609" t="s">
        <v>71</v>
      </c>
      <c r="K609" t="s">
        <v>72</v>
      </c>
      <c r="L609" s="2" t="s">
        <v>27</v>
      </c>
    </row>
    <row r="610" spans="1:12" x14ac:dyDescent="0.3">
      <c r="A610" t="s">
        <v>698</v>
      </c>
      <c r="B610">
        <v>5343</v>
      </c>
      <c r="C610">
        <v>655</v>
      </c>
      <c r="D610">
        <v>1</v>
      </c>
      <c r="E610" t="s">
        <v>45</v>
      </c>
      <c r="F610" t="s">
        <v>49</v>
      </c>
      <c r="G610" t="s">
        <v>40</v>
      </c>
      <c r="H610" s="1">
        <v>45395</v>
      </c>
      <c r="I610" t="s">
        <v>699</v>
      </c>
      <c r="J610" t="s">
        <v>42</v>
      </c>
      <c r="K610" t="s">
        <v>75</v>
      </c>
      <c r="L610" s="2" t="s">
        <v>235</v>
      </c>
    </row>
    <row r="611" spans="1:12" x14ac:dyDescent="0.3">
      <c r="A611" t="s">
        <v>700</v>
      </c>
      <c r="B611">
        <v>6956</v>
      </c>
      <c r="C611">
        <v>318</v>
      </c>
      <c r="D611">
        <v>20</v>
      </c>
      <c r="E611" t="s">
        <v>30</v>
      </c>
      <c r="F611" t="s">
        <v>57</v>
      </c>
      <c r="G611" t="s">
        <v>32</v>
      </c>
      <c r="H611" s="1">
        <v>44670</v>
      </c>
      <c r="I611" t="s">
        <v>701</v>
      </c>
      <c r="J611" t="s">
        <v>21</v>
      </c>
      <c r="K611" t="s">
        <v>63</v>
      </c>
      <c r="L611" s="2" t="s">
        <v>187</v>
      </c>
    </row>
    <row r="612" spans="1:12" x14ac:dyDescent="0.3">
      <c r="A612" t="s">
        <v>702</v>
      </c>
      <c r="B612">
        <v>5306</v>
      </c>
      <c r="C612">
        <v>2405</v>
      </c>
      <c r="D612">
        <v>17</v>
      </c>
      <c r="E612" t="s">
        <v>45</v>
      </c>
      <c r="F612" t="s">
        <v>46</v>
      </c>
      <c r="G612" t="s">
        <v>40</v>
      </c>
      <c r="H612" s="1">
        <v>45374</v>
      </c>
      <c r="I612" t="s">
        <v>703</v>
      </c>
      <c r="J612" t="s">
        <v>25</v>
      </c>
      <c r="K612" t="s">
        <v>26</v>
      </c>
      <c r="L612" s="2" t="s">
        <v>338</v>
      </c>
    </row>
    <row r="613" spans="1:12" x14ac:dyDescent="0.3">
      <c r="A613" t="s">
        <v>704</v>
      </c>
      <c r="B613">
        <v>8982</v>
      </c>
      <c r="C613">
        <v>448</v>
      </c>
      <c r="D613">
        <v>17</v>
      </c>
      <c r="E613" t="s">
        <v>45</v>
      </c>
      <c r="F613" t="s">
        <v>60</v>
      </c>
      <c r="G613" t="s">
        <v>15</v>
      </c>
      <c r="H613" s="1">
        <v>44323</v>
      </c>
      <c r="I613" t="s">
        <v>705</v>
      </c>
      <c r="J613" t="s">
        <v>25</v>
      </c>
      <c r="K613" t="s">
        <v>51</v>
      </c>
      <c r="L613" s="2" t="s">
        <v>108</v>
      </c>
    </row>
    <row r="614" spans="1:12" x14ac:dyDescent="0.3">
      <c r="A614" t="s">
        <v>704</v>
      </c>
      <c r="B614">
        <v>4826</v>
      </c>
      <c r="C614">
        <v>562</v>
      </c>
      <c r="D614">
        <v>5</v>
      </c>
      <c r="E614" t="s">
        <v>30</v>
      </c>
      <c r="F614" t="s">
        <v>64</v>
      </c>
      <c r="G614" t="s">
        <v>32</v>
      </c>
      <c r="H614" s="1">
        <v>44323</v>
      </c>
      <c r="I614" t="s">
        <v>705</v>
      </c>
      <c r="J614" t="s">
        <v>25</v>
      </c>
      <c r="K614" t="s">
        <v>51</v>
      </c>
      <c r="L614" s="2" t="s">
        <v>108</v>
      </c>
    </row>
    <row r="615" spans="1:12" x14ac:dyDescent="0.3">
      <c r="A615" t="s">
        <v>706</v>
      </c>
      <c r="B615">
        <v>972</v>
      </c>
      <c r="C615">
        <v>106</v>
      </c>
      <c r="D615">
        <v>15</v>
      </c>
      <c r="E615" t="s">
        <v>30</v>
      </c>
      <c r="F615" t="s">
        <v>31</v>
      </c>
      <c r="G615" t="s">
        <v>40</v>
      </c>
      <c r="H615" s="1">
        <v>44687</v>
      </c>
      <c r="I615" t="s">
        <v>707</v>
      </c>
      <c r="J615" t="s">
        <v>98</v>
      </c>
      <c r="K615" t="s">
        <v>107</v>
      </c>
      <c r="L615" s="2" t="s">
        <v>180</v>
      </c>
    </row>
    <row r="616" spans="1:12" x14ac:dyDescent="0.3">
      <c r="A616" t="s">
        <v>708</v>
      </c>
      <c r="B616">
        <v>3665</v>
      </c>
      <c r="C616">
        <v>802</v>
      </c>
      <c r="D616">
        <v>4</v>
      </c>
      <c r="E616" t="s">
        <v>30</v>
      </c>
      <c r="F616" t="s">
        <v>57</v>
      </c>
      <c r="G616" t="s">
        <v>47</v>
      </c>
      <c r="H616" s="1">
        <v>44417</v>
      </c>
      <c r="I616" t="s">
        <v>709</v>
      </c>
      <c r="J616" t="s">
        <v>17</v>
      </c>
      <c r="K616" t="s">
        <v>18</v>
      </c>
      <c r="L616" s="2" t="s">
        <v>178</v>
      </c>
    </row>
    <row r="617" spans="1:12" x14ac:dyDescent="0.3">
      <c r="A617" t="s">
        <v>708</v>
      </c>
      <c r="B617">
        <v>3665</v>
      </c>
      <c r="C617">
        <v>802</v>
      </c>
      <c r="D617">
        <v>4</v>
      </c>
      <c r="E617" t="s">
        <v>30</v>
      </c>
      <c r="F617" t="s">
        <v>57</v>
      </c>
      <c r="G617" t="s">
        <v>47</v>
      </c>
      <c r="H617" s="1">
        <v>45697</v>
      </c>
      <c r="I617" t="s">
        <v>710</v>
      </c>
      <c r="J617" t="s">
        <v>17</v>
      </c>
      <c r="K617" t="s">
        <v>150</v>
      </c>
      <c r="L617" s="2" t="s">
        <v>73</v>
      </c>
    </row>
    <row r="618" spans="1:12" x14ac:dyDescent="0.3">
      <c r="A618" t="s">
        <v>711</v>
      </c>
      <c r="B618">
        <v>9808</v>
      </c>
      <c r="C618">
        <v>2117</v>
      </c>
      <c r="D618">
        <v>2</v>
      </c>
      <c r="E618" t="s">
        <v>30</v>
      </c>
      <c r="F618" t="s">
        <v>31</v>
      </c>
      <c r="G618" t="s">
        <v>15</v>
      </c>
      <c r="H618" s="1">
        <v>45405</v>
      </c>
      <c r="I618" t="s">
        <v>712</v>
      </c>
      <c r="J618" t="s">
        <v>42</v>
      </c>
      <c r="K618" t="s">
        <v>43</v>
      </c>
      <c r="L618" s="2" t="s">
        <v>235</v>
      </c>
    </row>
    <row r="619" spans="1:12" x14ac:dyDescent="0.3">
      <c r="A619" t="s">
        <v>713</v>
      </c>
      <c r="B619">
        <v>1133</v>
      </c>
      <c r="C619">
        <v>73</v>
      </c>
      <c r="D619">
        <v>17</v>
      </c>
      <c r="E619" t="s">
        <v>45</v>
      </c>
      <c r="F619" t="s">
        <v>49</v>
      </c>
      <c r="G619" t="s">
        <v>15</v>
      </c>
      <c r="H619" s="1">
        <v>44980</v>
      </c>
      <c r="I619" t="s">
        <v>714</v>
      </c>
      <c r="J619" t="s">
        <v>98</v>
      </c>
      <c r="K619" t="s">
        <v>117</v>
      </c>
      <c r="L619" s="2" t="s">
        <v>93</v>
      </c>
    </row>
    <row r="620" spans="1:12" x14ac:dyDescent="0.3">
      <c r="A620" t="s">
        <v>713</v>
      </c>
      <c r="B620">
        <v>1133</v>
      </c>
      <c r="C620">
        <v>73</v>
      </c>
      <c r="D620">
        <v>17</v>
      </c>
      <c r="E620" t="s">
        <v>45</v>
      </c>
      <c r="F620" t="s">
        <v>49</v>
      </c>
      <c r="G620" t="s">
        <v>15</v>
      </c>
      <c r="H620" s="1">
        <v>45449</v>
      </c>
      <c r="I620" t="s">
        <v>715</v>
      </c>
      <c r="J620" t="s">
        <v>42</v>
      </c>
      <c r="K620" t="s">
        <v>75</v>
      </c>
      <c r="L620" s="2" t="s">
        <v>262</v>
      </c>
    </row>
    <row r="621" spans="1:12" x14ac:dyDescent="0.3">
      <c r="A621" t="s">
        <v>713</v>
      </c>
      <c r="B621">
        <v>6248</v>
      </c>
      <c r="C621">
        <v>1168</v>
      </c>
      <c r="D621">
        <v>19</v>
      </c>
      <c r="E621" t="s">
        <v>45</v>
      </c>
      <c r="F621" t="s">
        <v>109</v>
      </c>
      <c r="G621" t="s">
        <v>65</v>
      </c>
      <c r="H621" s="1">
        <v>44980</v>
      </c>
      <c r="I621" t="s">
        <v>714</v>
      </c>
      <c r="J621" t="s">
        <v>98</v>
      </c>
      <c r="K621" t="s">
        <v>117</v>
      </c>
      <c r="L621" s="2" t="s">
        <v>93</v>
      </c>
    </row>
    <row r="622" spans="1:12" x14ac:dyDescent="0.3">
      <c r="A622" t="s">
        <v>713</v>
      </c>
      <c r="B622">
        <v>6248</v>
      </c>
      <c r="C622">
        <v>1168</v>
      </c>
      <c r="D622">
        <v>19</v>
      </c>
      <c r="E622" t="s">
        <v>45</v>
      </c>
      <c r="F622" t="s">
        <v>109</v>
      </c>
      <c r="G622" t="s">
        <v>65</v>
      </c>
      <c r="H622" s="1">
        <v>45449</v>
      </c>
      <c r="I622" t="s">
        <v>715</v>
      </c>
      <c r="J622" t="s">
        <v>42</v>
      </c>
      <c r="K622" t="s">
        <v>75</v>
      </c>
      <c r="L622" s="2" t="s">
        <v>262</v>
      </c>
    </row>
    <row r="623" spans="1:12" x14ac:dyDescent="0.3">
      <c r="A623" t="s">
        <v>716</v>
      </c>
      <c r="B623">
        <v>5666</v>
      </c>
      <c r="C623">
        <v>2733</v>
      </c>
      <c r="D623">
        <v>17</v>
      </c>
      <c r="E623" t="s">
        <v>13</v>
      </c>
      <c r="F623" t="s">
        <v>14</v>
      </c>
      <c r="G623" t="s">
        <v>47</v>
      </c>
      <c r="H623" s="1">
        <v>45684</v>
      </c>
      <c r="I623" t="s">
        <v>717</v>
      </c>
      <c r="J623" t="s">
        <v>17</v>
      </c>
      <c r="K623" t="s">
        <v>150</v>
      </c>
      <c r="L623" s="2" t="s">
        <v>308</v>
      </c>
    </row>
    <row r="624" spans="1:12" x14ac:dyDescent="0.3">
      <c r="A624" t="s">
        <v>718</v>
      </c>
      <c r="B624">
        <v>4171</v>
      </c>
      <c r="C624">
        <v>1450</v>
      </c>
      <c r="D624">
        <v>18</v>
      </c>
      <c r="E624" t="s">
        <v>30</v>
      </c>
      <c r="F624" t="s">
        <v>57</v>
      </c>
      <c r="G624" t="s">
        <v>65</v>
      </c>
      <c r="H624" s="1">
        <v>45023</v>
      </c>
      <c r="I624" t="s">
        <v>719</v>
      </c>
      <c r="J624" t="s">
        <v>71</v>
      </c>
      <c r="K624" t="s">
        <v>72</v>
      </c>
      <c r="L624" s="2" t="s">
        <v>145</v>
      </c>
    </row>
    <row r="625" spans="1:12" x14ac:dyDescent="0.3">
      <c r="A625" t="s">
        <v>720</v>
      </c>
      <c r="B625">
        <v>6236</v>
      </c>
      <c r="C625">
        <v>2839</v>
      </c>
      <c r="D625">
        <v>7</v>
      </c>
      <c r="E625" t="s">
        <v>13</v>
      </c>
      <c r="F625" t="s">
        <v>28</v>
      </c>
      <c r="G625" t="s">
        <v>47</v>
      </c>
      <c r="H625" s="1">
        <v>44581</v>
      </c>
      <c r="I625" t="s">
        <v>721</v>
      </c>
      <c r="J625" t="s">
        <v>21</v>
      </c>
      <c r="K625" t="s">
        <v>63</v>
      </c>
      <c r="L625" s="2" t="s">
        <v>87</v>
      </c>
    </row>
    <row r="626" spans="1:12" x14ac:dyDescent="0.3">
      <c r="A626" t="s">
        <v>720</v>
      </c>
      <c r="B626">
        <v>6236</v>
      </c>
      <c r="C626">
        <v>2839</v>
      </c>
      <c r="D626">
        <v>7</v>
      </c>
      <c r="E626" t="s">
        <v>13</v>
      </c>
      <c r="F626" t="s">
        <v>28</v>
      </c>
      <c r="G626" t="s">
        <v>47</v>
      </c>
      <c r="H626" s="1">
        <v>44691</v>
      </c>
      <c r="I626" t="s">
        <v>722</v>
      </c>
      <c r="J626" t="s">
        <v>17</v>
      </c>
      <c r="K626" t="s">
        <v>34</v>
      </c>
      <c r="L626" s="2" t="s">
        <v>180</v>
      </c>
    </row>
    <row r="627" spans="1:12" x14ac:dyDescent="0.3">
      <c r="A627" t="s">
        <v>723</v>
      </c>
      <c r="B627">
        <v>5410</v>
      </c>
      <c r="C627">
        <v>2456</v>
      </c>
      <c r="D627">
        <v>8</v>
      </c>
      <c r="E627" t="s">
        <v>45</v>
      </c>
      <c r="F627" t="s">
        <v>49</v>
      </c>
      <c r="G627" t="s">
        <v>47</v>
      </c>
      <c r="H627" s="1">
        <v>45441</v>
      </c>
      <c r="I627" t="s">
        <v>724</v>
      </c>
      <c r="J627" t="s">
        <v>42</v>
      </c>
      <c r="K627" t="s">
        <v>43</v>
      </c>
      <c r="L627" s="2" t="s">
        <v>35</v>
      </c>
    </row>
    <row r="628" spans="1:12" x14ac:dyDescent="0.3">
      <c r="A628" t="s">
        <v>723</v>
      </c>
      <c r="B628">
        <v>5410</v>
      </c>
      <c r="C628">
        <v>2456</v>
      </c>
      <c r="D628">
        <v>8</v>
      </c>
      <c r="E628" t="s">
        <v>45</v>
      </c>
      <c r="F628" t="s">
        <v>49</v>
      </c>
      <c r="G628" t="s">
        <v>47</v>
      </c>
      <c r="H628" s="1">
        <v>44565</v>
      </c>
      <c r="I628" t="s">
        <v>725</v>
      </c>
      <c r="J628" t="s">
        <v>17</v>
      </c>
      <c r="K628" t="s">
        <v>150</v>
      </c>
      <c r="L628" s="2" t="s">
        <v>87</v>
      </c>
    </row>
    <row r="629" spans="1:12" x14ac:dyDescent="0.3">
      <c r="A629" t="s">
        <v>726</v>
      </c>
      <c r="B629">
        <v>3024</v>
      </c>
      <c r="C629">
        <v>1353</v>
      </c>
      <c r="D629">
        <v>1</v>
      </c>
      <c r="E629" t="s">
        <v>45</v>
      </c>
      <c r="F629" t="s">
        <v>60</v>
      </c>
      <c r="G629" t="s">
        <v>47</v>
      </c>
      <c r="H629" s="1">
        <v>45414</v>
      </c>
      <c r="I629" t="s">
        <v>727</v>
      </c>
      <c r="J629" t="s">
        <v>42</v>
      </c>
      <c r="K629" t="s">
        <v>43</v>
      </c>
      <c r="L629" s="2" t="s">
        <v>35</v>
      </c>
    </row>
    <row r="630" spans="1:12" x14ac:dyDescent="0.3">
      <c r="A630" t="s">
        <v>726</v>
      </c>
      <c r="B630">
        <v>3024</v>
      </c>
      <c r="C630">
        <v>1353</v>
      </c>
      <c r="D630">
        <v>1</v>
      </c>
      <c r="E630" t="s">
        <v>45</v>
      </c>
      <c r="F630" t="s">
        <v>60</v>
      </c>
      <c r="G630" t="s">
        <v>47</v>
      </c>
      <c r="H630" s="1">
        <v>44558</v>
      </c>
      <c r="I630" t="s">
        <v>728</v>
      </c>
      <c r="J630" t="s">
        <v>98</v>
      </c>
      <c r="K630" t="s">
        <v>99</v>
      </c>
      <c r="L630" s="2" t="s">
        <v>90</v>
      </c>
    </row>
    <row r="631" spans="1:12" x14ac:dyDescent="0.3">
      <c r="A631" t="s">
        <v>729</v>
      </c>
      <c r="B631">
        <v>7434</v>
      </c>
      <c r="C631">
        <v>2851</v>
      </c>
      <c r="D631">
        <v>5</v>
      </c>
      <c r="E631" t="s">
        <v>30</v>
      </c>
      <c r="F631" t="s">
        <v>57</v>
      </c>
      <c r="G631" t="s">
        <v>15</v>
      </c>
      <c r="H631" s="1">
        <v>44907</v>
      </c>
      <c r="I631" t="s">
        <v>730</v>
      </c>
      <c r="J631" t="s">
        <v>21</v>
      </c>
      <c r="K631" t="s">
        <v>63</v>
      </c>
      <c r="L631" s="2" t="s">
        <v>152</v>
      </c>
    </row>
    <row r="632" spans="1:12" x14ac:dyDescent="0.3">
      <c r="A632" t="s">
        <v>731</v>
      </c>
      <c r="B632">
        <v>7213</v>
      </c>
      <c r="C632">
        <v>508</v>
      </c>
      <c r="D632">
        <v>19</v>
      </c>
      <c r="E632" t="s">
        <v>13</v>
      </c>
      <c r="F632" t="s">
        <v>14</v>
      </c>
      <c r="G632" t="s">
        <v>32</v>
      </c>
      <c r="H632" s="1">
        <v>45155</v>
      </c>
      <c r="I632" t="s">
        <v>732</v>
      </c>
      <c r="J632" t="s">
        <v>71</v>
      </c>
      <c r="K632" t="s">
        <v>72</v>
      </c>
      <c r="L632" s="2" t="s">
        <v>121</v>
      </c>
    </row>
    <row r="633" spans="1:12" x14ac:dyDescent="0.3">
      <c r="A633" t="s">
        <v>731</v>
      </c>
      <c r="B633">
        <v>7213</v>
      </c>
      <c r="C633">
        <v>508</v>
      </c>
      <c r="D633">
        <v>19</v>
      </c>
      <c r="E633" t="s">
        <v>13</v>
      </c>
      <c r="F633" t="s">
        <v>14</v>
      </c>
      <c r="G633" t="s">
        <v>32</v>
      </c>
      <c r="H633" s="1">
        <v>44529</v>
      </c>
      <c r="I633" t="s">
        <v>733</v>
      </c>
      <c r="J633" t="s">
        <v>98</v>
      </c>
      <c r="K633" t="s">
        <v>107</v>
      </c>
      <c r="L633" s="2" t="s">
        <v>175</v>
      </c>
    </row>
    <row r="634" spans="1:12" x14ac:dyDescent="0.3">
      <c r="A634" t="s">
        <v>731</v>
      </c>
      <c r="B634">
        <v>3176</v>
      </c>
      <c r="C634">
        <v>586</v>
      </c>
      <c r="D634">
        <v>9</v>
      </c>
      <c r="E634" t="s">
        <v>45</v>
      </c>
      <c r="F634" t="s">
        <v>46</v>
      </c>
      <c r="G634" t="s">
        <v>40</v>
      </c>
      <c r="H634" s="1">
        <v>45155</v>
      </c>
      <c r="I634" t="s">
        <v>732</v>
      </c>
      <c r="J634" t="s">
        <v>71</v>
      </c>
      <c r="K634" t="s">
        <v>72</v>
      </c>
      <c r="L634" s="2" t="s">
        <v>121</v>
      </c>
    </row>
    <row r="635" spans="1:12" x14ac:dyDescent="0.3">
      <c r="A635" t="s">
        <v>731</v>
      </c>
      <c r="B635">
        <v>3176</v>
      </c>
      <c r="C635">
        <v>586</v>
      </c>
      <c r="D635">
        <v>9</v>
      </c>
      <c r="E635" t="s">
        <v>45</v>
      </c>
      <c r="F635" t="s">
        <v>46</v>
      </c>
      <c r="G635" t="s">
        <v>40</v>
      </c>
      <c r="H635" s="1">
        <v>44529</v>
      </c>
      <c r="I635" t="s">
        <v>733</v>
      </c>
      <c r="J635" t="s">
        <v>98</v>
      </c>
      <c r="K635" t="s">
        <v>107</v>
      </c>
      <c r="L635" s="2" t="s">
        <v>175</v>
      </c>
    </row>
    <row r="636" spans="1:12" x14ac:dyDescent="0.3">
      <c r="A636" t="s">
        <v>734</v>
      </c>
      <c r="B636">
        <v>9144</v>
      </c>
      <c r="C636">
        <v>2220</v>
      </c>
      <c r="D636">
        <v>18</v>
      </c>
      <c r="E636" t="s">
        <v>30</v>
      </c>
      <c r="F636" t="s">
        <v>78</v>
      </c>
      <c r="G636" t="s">
        <v>47</v>
      </c>
      <c r="H636" s="1">
        <v>44360</v>
      </c>
      <c r="I636" t="s">
        <v>735</v>
      </c>
      <c r="J636" t="s">
        <v>17</v>
      </c>
      <c r="K636" t="s">
        <v>18</v>
      </c>
      <c r="L636" s="2" t="s">
        <v>125</v>
      </c>
    </row>
    <row r="637" spans="1:12" x14ac:dyDescent="0.3">
      <c r="A637" t="s">
        <v>736</v>
      </c>
      <c r="B637">
        <v>4146</v>
      </c>
      <c r="C637">
        <v>865</v>
      </c>
      <c r="D637">
        <v>19</v>
      </c>
      <c r="E637" t="s">
        <v>45</v>
      </c>
      <c r="F637" t="s">
        <v>46</v>
      </c>
      <c r="G637" t="s">
        <v>40</v>
      </c>
      <c r="H637" s="1">
        <v>44746</v>
      </c>
      <c r="I637" t="s">
        <v>737</v>
      </c>
      <c r="J637" t="s">
        <v>71</v>
      </c>
      <c r="K637" t="s">
        <v>138</v>
      </c>
      <c r="L637" s="2" t="s">
        <v>418</v>
      </c>
    </row>
    <row r="638" spans="1:12" x14ac:dyDescent="0.3">
      <c r="A638" t="s">
        <v>736</v>
      </c>
      <c r="B638">
        <v>3793</v>
      </c>
      <c r="C638">
        <v>875</v>
      </c>
      <c r="D638">
        <v>7</v>
      </c>
      <c r="E638" t="s">
        <v>45</v>
      </c>
      <c r="F638" t="s">
        <v>46</v>
      </c>
      <c r="G638" t="s">
        <v>40</v>
      </c>
      <c r="H638" s="1">
        <v>44746</v>
      </c>
      <c r="I638" t="s">
        <v>737</v>
      </c>
      <c r="J638" t="s">
        <v>71</v>
      </c>
      <c r="K638" t="s">
        <v>138</v>
      </c>
      <c r="L638" s="2" t="s">
        <v>418</v>
      </c>
    </row>
    <row r="639" spans="1:12" x14ac:dyDescent="0.3">
      <c r="A639" t="s">
        <v>738</v>
      </c>
      <c r="B639">
        <v>7169</v>
      </c>
      <c r="C639">
        <v>2385</v>
      </c>
      <c r="D639">
        <v>11</v>
      </c>
      <c r="E639" t="s">
        <v>45</v>
      </c>
      <c r="F639" t="s">
        <v>60</v>
      </c>
      <c r="G639" t="s">
        <v>65</v>
      </c>
      <c r="H639" s="1">
        <v>44374</v>
      </c>
      <c r="I639" t="s">
        <v>739</v>
      </c>
      <c r="J639" t="s">
        <v>42</v>
      </c>
      <c r="K639" t="s">
        <v>43</v>
      </c>
      <c r="L639" s="2" t="s">
        <v>125</v>
      </c>
    </row>
    <row r="640" spans="1:12" x14ac:dyDescent="0.3">
      <c r="A640" t="s">
        <v>738</v>
      </c>
      <c r="B640">
        <v>4046</v>
      </c>
      <c r="C640">
        <v>417</v>
      </c>
      <c r="D640">
        <v>18</v>
      </c>
      <c r="E640" t="s">
        <v>45</v>
      </c>
      <c r="F640" t="s">
        <v>49</v>
      </c>
      <c r="G640" t="s">
        <v>47</v>
      </c>
      <c r="H640" s="1">
        <v>44374</v>
      </c>
      <c r="I640" t="s">
        <v>739</v>
      </c>
      <c r="J640" t="s">
        <v>42</v>
      </c>
      <c r="K640" t="s">
        <v>43</v>
      </c>
      <c r="L640" s="2" t="s">
        <v>125</v>
      </c>
    </row>
    <row r="641" spans="1:12" x14ac:dyDescent="0.3">
      <c r="A641" t="s">
        <v>740</v>
      </c>
      <c r="B641">
        <v>4164</v>
      </c>
      <c r="C641">
        <v>905</v>
      </c>
      <c r="D641">
        <v>11</v>
      </c>
      <c r="E641" t="s">
        <v>13</v>
      </c>
      <c r="F641" t="s">
        <v>82</v>
      </c>
      <c r="G641" t="s">
        <v>65</v>
      </c>
      <c r="H641" s="1">
        <v>45264</v>
      </c>
      <c r="I641" t="s">
        <v>741</v>
      </c>
      <c r="J641" t="s">
        <v>42</v>
      </c>
      <c r="K641" t="s">
        <v>75</v>
      </c>
      <c r="L641" s="2" t="s">
        <v>102</v>
      </c>
    </row>
    <row r="642" spans="1:12" x14ac:dyDescent="0.3">
      <c r="A642" t="s">
        <v>740</v>
      </c>
      <c r="B642">
        <v>5389</v>
      </c>
      <c r="C642">
        <v>2196</v>
      </c>
      <c r="D642">
        <v>5</v>
      </c>
      <c r="E642" t="s">
        <v>45</v>
      </c>
      <c r="F642" t="s">
        <v>46</v>
      </c>
      <c r="G642" t="s">
        <v>15</v>
      </c>
      <c r="H642" s="1">
        <v>45264</v>
      </c>
      <c r="I642" t="s">
        <v>741</v>
      </c>
      <c r="J642" t="s">
        <v>42</v>
      </c>
      <c r="K642" t="s">
        <v>75</v>
      </c>
      <c r="L642" s="2" t="s">
        <v>102</v>
      </c>
    </row>
    <row r="643" spans="1:12" x14ac:dyDescent="0.3">
      <c r="A643" t="s">
        <v>742</v>
      </c>
      <c r="B643">
        <v>5448</v>
      </c>
      <c r="C643">
        <v>2204</v>
      </c>
      <c r="D643">
        <v>5</v>
      </c>
      <c r="E643" t="s">
        <v>45</v>
      </c>
      <c r="F643" t="s">
        <v>60</v>
      </c>
      <c r="G643" t="s">
        <v>65</v>
      </c>
      <c r="H643" s="1">
        <v>44782</v>
      </c>
      <c r="I643" t="s">
        <v>743</v>
      </c>
      <c r="J643" t="s">
        <v>25</v>
      </c>
      <c r="K643" t="s">
        <v>51</v>
      </c>
      <c r="L643" s="2" t="s">
        <v>209</v>
      </c>
    </row>
    <row r="644" spans="1:12" x14ac:dyDescent="0.3">
      <c r="A644" t="s">
        <v>744</v>
      </c>
      <c r="B644">
        <v>4115</v>
      </c>
      <c r="C644">
        <v>1285</v>
      </c>
      <c r="D644">
        <v>1</v>
      </c>
      <c r="E644" t="s">
        <v>45</v>
      </c>
      <c r="F644" t="s">
        <v>60</v>
      </c>
      <c r="G644" t="s">
        <v>15</v>
      </c>
      <c r="H644" s="1">
        <v>43929</v>
      </c>
      <c r="I644" t="s">
        <v>745</v>
      </c>
      <c r="J644" t="s">
        <v>17</v>
      </c>
      <c r="K644" t="s">
        <v>34</v>
      </c>
      <c r="L644" s="2" t="s">
        <v>162</v>
      </c>
    </row>
    <row r="645" spans="1:12" x14ac:dyDescent="0.3">
      <c r="A645" t="s">
        <v>744</v>
      </c>
      <c r="B645">
        <v>4761</v>
      </c>
      <c r="C645">
        <v>2231</v>
      </c>
      <c r="D645">
        <v>12</v>
      </c>
      <c r="E645" t="s">
        <v>45</v>
      </c>
      <c r="F645" t="s">
        <v>46</v>
      </c>
      <c r="G645" t="s">
        <v>15</v>
      </c>
      <c r="H645" s="1">
        <v>43929</v>
      </c>
      <c r="I645" t="s">
        <v>745</v>
      </c>
      <c r="J645" t="s">
        <v>17</v>
      </c>
      <c r="K645" t="s">
        <v>34</v>
      </c>
      <c r="L645" s="2" t="s">
        <v>162</v>
      </c>
    </row>
    <row r="646" spans="1:12" x14ac:dyDescent="0.3">
      <c r="A646" t="s">
        <v>746</v>
      </c>
      <c r="B646">
        <v>5899</v>
      </c>
      <c r="C646">
        <v>2264</v>
      </c>
      <c r="D646">
        <v>6</v>
      </c>
      <c r="E646" t="s">
        <v>30</v>
      </c>
      <c r="F646" t="s">
        <v>78</v>
      </c>
      <c r="G646" t="s">
        <v>40</v>
      </c>
      <c r="H646" s="1">
        <v>45219</v>
      </c>
      <c r="I646" t="s">
        <v>747</v>
      </c>
      <c r="J646" t="s">
        <v>25</v>
      </c>
      <c r="K646" t="s">
        <v>26</v>
      </c>
      <c r="L646" s="2" t="s">
        <v>442</v>
      </c>
    </row>
    <row r="647" spans="1:12" x14ac:dyDescent="0.3">
      <c r="A647" t="s">
        <v>748</v>
      </c>
      <c r="B647">
        <v>6109</v>
      </c>
      <c r="C647">
        <v>3040</v>
      </c>
      <c r="D647">
        <v>9</v>
      </c>
      <c r="E647" t="s">
        <v>45</v>
      </c>
      <c r="F647" t="s">
        <v>49</v>
      </c>
      <c r="G647" t="s">
        <v>40</v>
      </c>
      <c r="H647" s="1">
        <v>44602</v>
      </c>
      <c r="I647" t="s">
        <v>749</v>
      </c>
      <c r="J647" t="s">
        <v>25</v>
      </c>
      <c r="K647" t="s">
        <v>26</v>
      </c>
      <c r="L647" s="2" t="s">
        <v>137</v>
      </c>
    </row>
    <row r="648" spans="1:12" x14ac:dyDescent="0.3">
      <c r="A648" t="s">
        <v>748</v>
      </c>
      <c r="B648">
        <v>6109</v>
      </c>
      <c r="C648">
        <v>3040</v>
      </c>
      <c r="D648">
        <v>9</v>
      </c>
      <c r="E648" t="s">
        <v>45</v>
      </c>
      <c r="F648" t="s">
        <v>49</v>
      </c>
      <c r="G648" t="s">
        <v>40</v>
      </c>
      <c r="H648" s="1">
        <v>45204</v>
      </c>
      <c r="I648" t="s">
        <v>750</v>
      </c>
      <c r="J648" t="s">
        <v>25</v>
      </c>
      <c r="K648" t="s">
        <v>68</v>
      </c>
      <c r="L648" s="2" t="s">
        <v>442</v>
      </c>
    </row>
    <row r="649" spans="1:12" x14ac:dyDescent="0.3">
      <c r="A649" t="s">
        <v>748</v>
      </c>
      <c r="B649">
        <v>4628</v>
      </c>
      <c r="C649">
        <v>1491</v>
      </c>
      <c r="D649">
        <v>17</v>
      </c>
      <c r="E649" t="s">
        <v>13</v>
      </c>
      <c r="F649" t="s">
        <v>14</v>
      </c>
      <c r="G649" t="s">
        <v>15</v>
      </c>
      <c r="H649" s="1">
        <v>44602</v>
      </c>
      <c r="I649" t="s">
        <v>749</v>
      </c>
      <c r="J649" t="s">
        <v>25</v>
      </c>
      <c r="K649" t="s">
        <v>26</v>
      </c>
      <c r="L649" s="2" t="s">
        <v>137</v>
      </c>
    </row>
    <row r="650" spans="1:12" x14ac:dyDescent="0.3">
      <c r="A650" t="s">
        <v>748</v>
      </c>
      <c r="B650">
        <v>4628</v>
      </c>
      <c r="C650">
        <v>1491</v>
      </c>
      <c r="D650">
        <v>17</v>
      </c>
      <c r="E650" t="s">
        <v>13</v>
      </c>
      <c r="F650" t="s">
        <v>14</v>
      </c>
      <c r="G650" t="s">
        <v>15</v>
      </c>
      <c r="H650" s="1">
        <v>45204</v>
      </c>
      <c r="I650" t="s">
        <v>750</v>
      </c>
      <c r="J650" t="s">
        <v>25</v>
      </c>
      <c r="K650" t="s">
        <v>68</v>
      </c>
      <c r="L650" s="2" t="s">
        <v>442</v>
      </c>
    </row>
    <row r="651" spans="1:12" x14ac:dyDescent="0.3">
      <c r="A651" t="s">
        <v>751</v>
      </c>
      <c r="B651">
        <v>4369</v>
      </c>
      <c r="C651">
        <v>584</v>
      </c>
      <c r="D651">
        <v>13</v>
      </c>
      <c r="E651" t="s">
        <v>30</v>
      </c>
      <c r="F651" t="s">
        <v>31</v>
      </c>
      <c r="G651" t="s">
        <v>47</v>
      </c>
      <c r="H651" s="1">
        <v>44826</v>
      </c>
      <c r="I651" t="s">
        <v>752</v>
      </c>
      <c r="J651" t="s">
        <v>21</v>
      </c>
      <c r="K651" t="s">
        <v>172</v>
      </c>
      <c r="L651" s="2" t="s">
        <v>131</v>
      </c>
    </row>
    <row r="652" spans="1:12" x14ac:dyDescent="0.3">
      <c r="A652" t="s">
        <v>751</v>
      </c>
      <c r="B652">
        <v>4369</v>
      </c>
      <c r="C652">
        <v>584</v>
      </c>
      <c r="D652">
        <v>13</v>
      </c>
      <c r="E652" t="s">
        <v>30</v>
      </c>
      <c r="F652" t="s">
        <v>31</v>
      </c>
      <c r="G652" t="s">
        <v>47</v>
      </c>
      <c r="H652" s="1">
        <v>44289</v>
      </c>
      <c r="I652" t="s">
        <v>753</v>
      </c>
      <c r="J652" t="s">
        <v>71</v>
      </c>
      <c r="K652" t="s">
        <v>86</v>
      </c>
      <c r="L652" s="2" t="s">
        <v>139</v>
      </c>
    </row>
    <row r="653" spans="1:12" x14ac:dyDescent="0.3">
      <c r="A653" t="s">
        <v>754</v>
      </c>
      <c r="B653">
        <v>5632</v>
      </c>
      <c r="C653">
        <v>2358</v>
      </c>
      <c r="D653">
        <v>20</v>
      </c>
      <c r="E653" t="s">
        <v>45</v>
      </c>
      <c r="F653" t="s">
        <v>60</v>
      </c>
      <c r="G653" t="s">
        <v>47</v>
      </c>
      <c r="H653" s="1">
        <v>44319</v>
      </c>
      <c r="I653" t="s">
        <v>755</v>
      </c>
      <c r="J653" t="s">
        <v>42</v>
      </c>
      <c r="K653" t="s">
        <v>43</v>
      </c>
      <c r="L653" s="2" t="s">
        <v>108</v>
      </c>
    </row>
    <row r="654" spans="1:12" x14ac:dyDescent="0.3">
      <c r="A654" t="s">
        <v>754</v>
      </c>
      <c r="B654">
        <v>5632</v>
      </c>
      <c r="C654">
        <v>2358</v>
      </c>
      <c r="D654">
        <v>20</v>
      </c>
      <c r="E654" t="s">
        <v>45</v>
      </c>
      <c r="F654" t="s">
        <v>60</v>
      </c>
      <c r="G654" t="s">
        <v>47</v>
      </c>
      <c r="H654" s="1">
        <v>45333</v>
      </c>
      <c r="I654" t="s">
        <v>756</v>
      </c>
      <c r="J654" t="s">
        <v>17</v>
      </c>
      <c r="K654" t="s">
        <v>18</v>
      </c>
      <c r="L654" s="2" t="s">
        <v>218</v>
      </c>
    </row>
    <row r="655" spans="1:12" x14ac:dyDescent="0.3">
      <c r="A655" t="s">
        <v>754</v>
      </c>
      <c r="B655">
        <v>5632</v>
      </c>
      <c r="C655">
        <v>2358</v>
      </c>
      <c r="D655">
        <v>20</v>
      </c>
      <c r="E655" t="s">
        <v>45</v>
      </c>
      <c r="F655" t="s">
        <v>60</v>
      </c>
      <c r="G655" t="s">
        <v>47</v>
      </c>
      <c r="H655" s="1">
        <v>45692</v>
      </c>
      <c r="I655" t="s">
        <v>757</v>
      </c>
      <c r="J655" t="s">
        <v>98</v>
      </c>
      <c r="K655" t="s">
        <v>117</v>
      </c>
      <c r="L655" s="2" t="s">
        <v>73</v>
      </c>
    </row>
    <row r="656" spans="1:12" x14ac:dyDescent="0.3">
      <c r="A656" t="s">
        <v>758</v>
      </c>
      <c r="B656">
        <v>7519</v>
      </c>
      <c r="C656">
        <v>402</v>
      </c>
      <c r="D656">
        <v>14</v>
      </c>
      <c r="E656" t="s">
        <v>30</v>
      </c>
      <c r="F656" t="s">
        <v>64</v>
      </c>
      <c r="G656" t="s">
        <v>15</v>
      </c>
      <c r="H656" s="1">
        <v>44846</v>
      </c>
      <c r="I656" t="s">
        <v>759</v>
      </c>
      <c r="J656" t="s">
        <v>42</v>
      </c>
      <c r="K656" t="s">
        <v>75</v>
      </c>
      <c r="L656" s="2" t="s">
        <v>96</v>
      </c>
    </row>
    <row r="657" spans="1:12" x14ac:dyDescent="0.3">
      <c r="A657" t="s">
        <v>758</v>
      </c>
      <c r="B657">
        <v>1564</v>
      </c>
      <c r="C657">
        <v>674</v>
      </c>
      <c r="D657">
        <v>13</v>
      </c>
      <c r="E657" t="s">
        <v>13</v>
      </c>
      <c r="F657" t="s">
        <v>14</v>
      </c>
      <c r="G657" t="s">
        <v>32</v>
      </c>
      <c r="H657" s="1">
        <v>44846</v>
      </c>
      <c r="I657" t="s">
        <v>759</v>
      </c>
      <c r="J657" t="s">
        <v>42</v>
      </c>
      <c r="K657" t="s">
        <v>75</v>
      </c>
      <c r="L657" s="2" t="s">
        <v>96</v>
      </c>
    </row>
    <row r="658" spans="1:12" x14ac:dyDescent="0.3">
      <c r="A658" t="s">
        <v>760</v>
      </c>
      <c r="B658">
        <v>2804</v>
      </c>
      <c r="C658">
        <v>936</v>
      </c>
      <c r="D658">
        <v>10</v>
      </c>
      <c r="E658" t="s">
        <v>13</v>
      </c>
      <c r="F658" t="s">
        <v>14</v>
      </c>
      <c r="G658" t="s">
        <v>47</v>
      </c>
      <c r="H658" s="1">
        <v>44598</v>
      </c>
      <c r="I658" t="s">
        <v>761</v>
      </c>
      <c r="J658" t="s">
        <v>71</v>
      </c>
      <c r="K658" t="s">
        <v>86</v>
      </c>
      <c r="L658" s="2" t="s">
        <v>137</v>
      </c>
    </row>
    <row r="659" spans="1:12" x14ac:dyDescent="0.3">
      <c r="A659" t="s">
        <v>760</v>
      </c>
      <c r="B659">
        <v>2804</v>
      </c>
      <c r="C659">
        <v>936</v>
      </c>
      <c r="D659">
        <v>10</v>
      </c>
      <c r="E659" t="s">
        <v>13</v>
      </c>
      <c r="F659" t="s">
        <v>14</v>
      </c>
      <c r="G659" t="s">
        <v>47</v>
      </c>
      <c r="H659" s="1">
        <v>44144</v>
      </c>
      <c r="I659" t="s">
        <v>762</v>
      </c>
      <c r="J659" t="s">
        <v>17</v>
      </c>
      <c r="K659" t="s">
        <v>150</v>
      </c>
      <c r="L659" s="2" t="s">
        <v>80</v>
      </c>
    </row>
    <row r="660" spans="1:12" x14ac:dyDescent="0.3">
      <c r="A660" t="s">
        <v>760</v>
      </c>
      <c r="B660">
        <v>2804</v>
      </c>
      <c r="C660">
        <v>936</v>
      </c>
      <c r="D660">
        <v>10</v>
      </c>
      <c r="E660" t="s">
        <v>13</v>
      </c>
      <c r="F660" t="s">
        <v>14</v>
      </c>
      <c r="G660" t="s">
        <v>47</v>
      </c>
      <c r="H660" s="1">
        <v>45049</v>
      </c>
      <c r="I660" t="s">
        <v>763</v>
      </c>
      <c r="J660" t="s">
        <v>17</v>
      </c>
      <c r="K660" t="s">
        <v>150</v>
      </c>
      <c r="L660" s="2" t="s">
        <v>127</v>
      </c>
    </row>
    <row r="661" spans="1:12" x14ac:dyDescent="0.3">
      <c r="A661" t="s">
        <v>764</v>
      </c>
      <c r="B661">
        <v>2321</v>
      </c>
      <c r="C661">
        <v>505</v>
      </c>
      <c r="D661">
        <v>6</v>
      </c>
      <c r="E661" t="s">
        <v>45</v>
      </c>
      <c r="F661" t="s">
        <v>49</v>
      </c>
      <c r="G661" t="s">
        <v>40</v>
      </c>
      <c r="H661" s="1">
        <v>44838</v>
      </c>
      <c r="I661" t="s">
        <v>765</v>
      </c>
      <c r="J661" t="s">
        <v>21</v>
      </c>
      <c r="K661" t="s">
        <v>63</v>
      </c>
      <c r="L661" s="2" t="s">
        <v>96</v>
      </c>
    </row>
    <row r="662" spans="1:12" x14ac:dyDescent="0.3">
      <c r="A662" t="s">
        <v>766</v>
      </c>
      <c r="B662">
        <v>5730</v>
      </c>
      <c r="C662">
        <v>482</v>
      </c>
      <c r="D662">
        <v>6</v>
      </c>
      <c r="E662" t="s">
        <v>13</v>
      </c>
      <c r="F662" t="s">
        <v>39</v>
      </c>
      <c r="G662" t="s">
        <v>65</v>
      </c>
      <c r="H662" s="1">
        <v>45525</v>
      </c>
      <c r="I662" t="s">
        <v>767</v>
      </c>
      <c r="J662" t="s">
        <v>17</v>
      </c>
      <c r="K662" t="s">
        <v>150</v>
      </c>
      <c r="L662" s="2" t="s">
        <v>114</v>
      </c>
    </row>
    <row r="663" spans="1:12" x14ac:dyDescent="0.3">
      <c r="A663" t="s">
        <v>768</v>
      </c>
      <c r="B663">
        <v>7441</v>
      </c>
      <c r="C663">
        <v>867</v>
      </c>
      <c r="D663">
        <v>12</v>
      </c>
      <c r="E663" t="s">
        <v>45</v>
      </c>
      <c r="F663" t="s">
        <v>60</v>
      </c>
      <c r="G663" t="s">
        <v>65</v>
      </c>
      <c r="H663" s="1">
        <v>44520</v>
      </c>
      <c r="I663" t="s">
        <v>769</v>
      </c>
      <c r="J663" t="s">
        <v>21</v>
      </c>
      <c r="K663" t="s">
        <v>22</v>
      </c>
      <c r="L663" s="2" t="s">
        <v>175</v>
      </c>
    </row>
    <row r="664" spans="1:12" x14ac:dyDescent="0.3">
      <c r="A664" t="s">
        <v>768</v>
      </c>
      <c r="B664">
        <v>7441</v>
      </c>
      <c r="C664">
        <v>867</v>
      </c>
      <c r="D664">
        <v>12</v>
      </c>
      <c r="E664" t="s">
        <v>45</v>
      </c>
      <c r="F664" t="s">
        <v>60</v>
      </c>
      <c r="G664" t="s">
        <v>65</v>
      </c>
      <c r="H664" s="1">
        <v>43964</v>
      </c>
      <c r="I664" t="s">
        <v>770</v>
      </c>
      <c r="J664" t="s">
        <v>71</v>
      </c>
      <c r="K664" t="s">
        <v>86</v>
      </c>
      <c r="L664" s="2" t="s">
        <v>59</v>
      </c>
    </row>
    <row r="665" spans="1:12" x14ac:dyDescent="0.3">
      <c r="A665" t="s">
        <v>771</v>
      </c>
      <c r="B665">
        <v>1732</v>
      </c>
      <c r="C665">
        <v>766</v>
      </c>
      <c r="D665">
        <v>7</v>
      </c>
      <c r="E665" t="s">
        <v>30</v>
      </c>
      <c r="F665" t="s">
        <v>78</v>
      </c>
      <c r="G665" t="s">
        <v>15</v>
      </c>
      <c r="H665" s="1">
        <v>44985</v>
      </c>
      <c r="I665" t="s">
        <v>772</v>
      </c>
      <c r="J665" t="s">
        <v>25</v>
      </c>
      <c r="K665" t="s">
        <v>51</v>
      </c>
      <c r="L665" s="2" t="s">
        <v>93</v>
      </c>
    </row>
    <row r="666" spans="1:12" x14ac:dyDescent="0.3">
      <c r="A666" t="s">
        <v>771</v>
      </c>
      <c r="B666">
        <v>8788</v>
      </c>
      <c r="C666">
        <v>3944</v>
      </c>
      <c r="D666">
        <v>19</v>
      </c>
      <c r="E666" t="s">
        <v>30</v>
      </c>
      <c r="F666" t="s">
        <v>64</v>
      </c>
      <c r="G666" t="s">
        <v>40</v>
      </c>
      <c r="H666" s="1">
        <v>44985</v>
      </c>
      <c r="I666" t="s">
        <v>772</v>
      </c>
      <c r="J666" t="s">
        <v>25</v>
      </c>
      <c r="K666" t="s">
        <v>51</v>
      </c>
      <c r="L666" s="2" t="s">
        <v>93</v>
      </c>
    </row>
    <row r="667" spans="1:12" x14ac:dyDescent="0.3">
      <c r="A667" t="s">
        <v>773</v>
      </c>
      <c r="B667">
        <v>838</v>
      </c>
      <c r="C667">
        <v>271</v>
      </c>
      <c r="D667">
        <v>11</v>
      </c>
      <c r="E667" t="s">
        <v>30</v>
      </c>
      <c r="F667" t="s">
        <v>57</v>
      </c>
      <c r="G667" t="s">
        <v>40</v>
      </c>
      <c r="H667" s="1">
        <v>44217</v>
      </c>
      <c r="I667" t="s">
        <v>774</v>
      </c>
      <c r="J667" t="s">
        <v>98</v>
      </c>
      <c r="K667" t="s">
        <v>99</v>
      </c>
      <c r="L667" s="2" t="s">
        <v>276</v>
      </c>
    </row>
    <row r="668" spans="1:12" x14ac:dyDescent="0.3">
      <c r="A668" t="s">
        <v>773</v>
      </c>
      <c r="B668">
        <v>838</v>
      </c>
      <c r="C668">
        <v>271</v>
      </c>
      <c r="D668">
        <v>11</v>
      </c>
      <c r="E668" t="s">
        <v>30</v>
      </c>
      <c r="F668" t="s">
        <v>57</v>
      </c>
      <c r="G668" t="s">
        <v>40</v>
      </c>
      <c r="H668" s="1">
        <v>44620</v>
      </c>
      <c r="I668" t="s">
        <v>775</v>
      </c>
      <c r="J668" t="s">
        <v>21</v>
      </c>
      <c r="K668" t="s">
        <v>172</v>
      </c>
      <c r="L668" s="2" t="s">
        <v>137</v>
      </c>
    </row>
    <row r="669" spans="1:12" x14ac:dyDescent="0.3">
      <c r="A669" t="s">
        <v>773</v>
      </c>
      <c r="B669">
        <v>3577</v>
      </c>
      <c r="C669">
        <v>699</v>
      </c>
      <c r="D669">
        <v>2</v>
      </c>
      <c r="E669" t="s">
        <v>45</v>
      </c>
      <c r="F669" t="s">
        <v>46</v>
      </c>
      <c r="G669" t="s">
        <v>15</v>
      </c>
      <c r="H669" s="1">
        <v>44217</v>
      </c>
      <c r="I669" t="s">
        <v>774</v>
      </c>
      <c r="J669" t="s">
        <v>98</v>
      </c>
      <c r="K669" t="s">
        <v>99</v>
      </c>
      <c r="L669" s="2" t="s">
        <v>276</v>
      </c>
    </row>
    <row r="670" spans="1:12" x14ac:dyDescent="0.3">
      <c r="A670" t="s">
        <v>773</v>
      </c>
      <c r="B670">
        <v>3577</v>
      </c>
      <c r="C670">
        <v>699</v>
      </c>
      <c r="D670">
        <v>2</v>
      </c>
      <c r="E670" t="s">
        <v>45</v>
      </c>
      <c r="F670" t="s">
        <v>46</v>
      </c>
      <c r="G670" t="s">
        <v>15</v>
      </c>
      <c r="H670" s="1">
        <v>44620</v>
      </c>
      <c r="I670" t="s">
        <v>775</v>
      </c>
      <c r="J670" t="s">
        <v>21</v>
      </c>
      <c r="K670" t="s">
        <v>172</v>
      </c>
      <c r="L670" s="2" t="s">
        <v>137</v>
      </c>
    </row>
    <row r="671" spans="1:12" x14ac:dyDescent="0.3">
      <c r="A671" t="s">
        <v>776</v>
      </c>
      <c r="B671">
        <v>7122</v>
      </c>
      <c r="C671">
        <v>1836</v>
      </c>
      <c r="D671">
        <v>6</v>
      </c>
      <c r="E671" t="s">
        <v>13</v>
      </c>
      <c r="F671" t="s">
        <v>82</v>
      </c>
      <c r="G671" t="s">
        <v>32</v>
      </c>
      <c r="H671" s="1">
        <v>45407</v>
      </c>
      <c r="I671" t="s">
        <v>777</v>
      </c>
      <c r="J671" t="s">
        <v>71</v>
      </c>
      <c r="K671" t="s">
        <v>72</v>
      </c>
      <c r="L671" s="2" t="s">
        <v>235</v>
      </c>
    </row>
    <row r="672" spans="1:12" x14ac:dyDescent="0.3">
      <c r="A672" t="s">
        <v>776</v>
      </c>
      <c r="B672">
        <v>7122</v>
      </c>
      <c r="C672">
        <v>1836</v>
      </c>
      <c r="D672">
        <v>6</v>
      </c>
      <c r="E672" t="s">
        <v>13</v>
      </c>
      <c r="F672" t="s">
        <v>82</v>
      </c>
      <c r="G672" t="s">
        <v>32</v>
      </c>
      <c r="H672" s="1">
        <v>44995</v>
      </c>
      <c r="I672" t="s">
        <v>778</v>
      </c>
      <c r="J672" t="s">
        <v>71</v>
      </c>
      <c r="K672" t="s">
        <v>138</v>
      </c>
      <c r="L672" s="2" t="s">
        <v>245</v>
      </c>
    </row>
    <row r="673" spans="1:12" x14ac:dyDescent="0.3">
      <c r="A673" t="s">
        <v>776</v>
      </c>
      <c r="B673">
        <v>7122</v>
      </c>
      <c r="C673">
        <v>1836</v>
      </c>
      <c r="D673">
        <v>6</v>
      </c>
      <c r="E673" t="s">
        <v>13</v>
      </c>
      <c r="F673" t="s">
        <v>82</v>
      </c>
      <c r="G673" t="s">
        <v>32</v>
      </c>
      <c r="H673" s="1">
        <v>45117</v>
      </c>
      <c r="I673" t="s">
        <v>779</v>
      </c>
      <c r="J673" t="s">
        <v>25</v>
      </c>
      <c r="K673" t="s">
        <v>51</v>
      </c>
      <c r="L673" s="2" t="s">
        <v>105</v>
      </c>
    </row>
    <row r="674" spans="1:12" x14ac:dyDescent="0.3">
      <c r="A674" t="s">
        <v>776</v>
      </c>
      <c r="B674">
        <v>7327</v>
      </c>
      <c r="C674">
        <v>2596</v>
      </c>
      <c r="D674">
        <v>15</v>
      </c>
      <c r="E674" t="s">
        <v>30</v>
      </c>
      <c r="F674" t="s">
        <v>57</v>
      </c>
      <c r="G674" t="s">
        <v>47</v>
      </c>
      <c r="H674" s="1">
        <v>45407</v>
      </c>
      <c r="I674" t="s">
        <v>777</v>
      </c>
      <c r="J674" t="s">
        <v>71</v>
      </c>
      <c r="K674" t="s">
        <v>72</v>
      </c>
      <c r="L674" s="2" t="s">
        <v>235</v>
      </c>
    </row>
    <row r="675" spans="1:12" x14ac:dyDescent="0.3">
      <c r="A675" t="s">
        <v>776</v>
      </c>
      <c r="B675">
        <v>7327</v>
      </c>
      <c r="C675">
        <v>2596</v>
      </c>
      <c r="D675">
        <v>15</v>
      </c>
      <c r="E675" t="s">
        <v>30</v>
      </c>
      <c r="F675" t="s">
        <v>57</v>
      </c>
      <c r="G675" t="s">
        <v>47</v>
      </c>
      <c r="H675" s="1">
        <v>44995</v>
      </c>
      <c r="I675" t="s">
        <v>778</v>
      </c>
      <c r="J675" t="s">
        <v>71</v>
      </c>
      <c r="K675" t="s">
        <v>138</v>
      </c>
      <c r="L675" s="2" t="s">
        <v>245</v>
      </c>
    </row>
    <row r="676" spans="1:12" x14ac:dyDescent="0.3">
      <c r="A676" t="s">
        <v>776</v>
      </c>
      <c r="B676">
        <v>7327</v>
      </c>
      <c r="C676">
        <v>2596</v>
      </c>
      <c r="D676">
        <v>15</v>
      </c>
      <c r="E676" t="s">
        <v>30</v>
      </c>
      <c r="F676" t="s">
        <v>57</v>
      </c>
      <c r="G676" t="s">
        <v>47</v>
      </c>
      <c r="H676" s="1">
        <v>45117</v>
      </c>
      <c r="I676" t="s">
        <v>779</v>
      </c>
      <c r="J676" t="s">
        <v>25</v>
      </c>
      <c r="K676" t="s">
        <v>51</v>
      </c>
      <c r="L676" s="2" t="s">
        <v>105</v>
      </c>
    </row>
    <row r="677" spans="1:12" x14ac:dyDescent="0.3">
      <c r="A677" t="s">
        <v>780</v>
      </c>
      <c r="B677">
        <v>2239</v>
      </c>
      <c r="C677">
        <v>1094</v>
      </c>
      <c r="D677">
        <v>18</v>
      </c>
      <c r="E677" t="s">
        <v>13</v>
      </c>
      <c r="F677" t="s">
        <v>28</v>
      </c>
      <c r="G677" t="s">
        <v>65</v>
      </c>
      <c r="H677" s="1">
        <v>45501</v>
      </c>
      <c r="I677" t="s">
        <v>781</v>
      </c>
      <c r="J677" t="s">
        <v>17</v>
      </c>
      <c r="K677" t="s">
        <v>150</v>
      </c>
      <c r="L677" s="2" t="s">
        <v>215</v>
      </c>
    </row>
    <row r="678" spans="1:12" x14ac:dyDescent="0.3">
      <c r="A678" t="s">
        <v>780</v>
      </c>
      <c r="B678">
        <v>4932</v>
      </c>
      <c r="C678">
        <v>1153</v>
      </c>
      <c r="D678">
        <v>1</v>
      </c>
      <c r="E678" t="s">
        <v>30</v>
      </c>
      <c r="F678" t="s">
        <v>57</v>
      </c>
      <c r="G678" t="s">
        <v>65</v>
      </c>
      <c r="H678" s="1">
        <v>45501</v>
      </c>
      <c r="I678" t="s">
        <v>781</v>
      </c>
      <c r="J678" t="s">
        <v>17</v>
      </c>
      <c r="K678" t="s">
        <v>150</v>
      </c>
      <c r="L678" s="2" t="s">
        <v>215</v>
      </c>
    </row>
    <row r="679" spans="1:12" x14ac:dyDescent="0.3">
      <c r="A679" t="s">
        <v>782</v>
      </c>
      <c r="B679">
        <v>4609</v>
      </c>
      <c r="C679">
        <v>1084</v>
      </c>
      <c r="D679">
        <v>8</v>
      </c>
      <c r="E679" t="s">
        <v>13</v>
      </c>
      <c r="F679" t="s">
        <v>28</v>
      </c>
      <c r="G679" t="s">
        <v>15</v>
      </c>
      <c r="H679" s="1">
        <v>45137</v>
      </c>
      <c r="I679" t="s">
        <v>783</v>
      </c>
      <c r="J679" t="s">
        <v>17</v>
      </c>
      <c r="K679" t="s">
        <v>34</v>
      </c>
      <c r="L679" s="2" t="s">
        <v>105</v>
      </c>
    </row>
    <row r="680" spans="1:12" x14ac:dyDescent="0.3">
      <c r="A680" t="s">
        <v>782</v>
      </c>
      <c r="B680">
        <v>2328</v>
      </c>
      <c r="C680">
        <v>788</v>
      </c>
      <c r="D680">
        <v>4</v>
      </c>
      <c r="E680" t="s">
        <v>30</v>
      </c>
      <c r="F680" t="s">
        <v>64</v>
      </c>
      <c r="G680" t="s">
        <v>15</v>
      </c>
      <c r="H680" s="1">
        <v>45137</v>
      </c>
      <c r="I680" t="s">
        <v>783</v>
      </c>
      <c r="J680" t="s">
        <v>17</v>
      </c>
      <c r="K680" t="s">
        <v>34</v>
      </c>
      <c r="L680" s="2" t="s">
        <v>105</v>
      </c>
    </row>
    <row r="681" spans="1:12" x14ac:dyDescent="0.3">
      <c r="A681" t="s">
        <v>782</v>
      </c>
      <c r="B681">
        <v>4734</v>
      </c>
      <c r="C681">
        <v>958</v>
      </c>
      <c r="D681">
        <v>7</v>
      </c>
      <c r="E681" t="s">
        <v>13</v>
      </c>
      <c r="F681" t="s">
        <v>28</v>
      </c>
      <c r="G681" t="s">
        <v>32</v>
      </c>
      <c r="H681" s="1">
        <v>45137</v>
      </c>
      <c r="I681" t="s">
        <v>783</v>
      </c>
      <c r="J681" t="s">
        <v>17</v>
      </c>
      <c r="K681" t="s">
        <v>34</v>
      </c>
      <c r="L681" s="2" t="s">
        <v>105</v>
      </c>
    </row>
    <row r="682" spans="1:12" x14ac:dyDescent="0.3">
      <c r="A682" t="s">
        <v>784</v>
      </c>
      <c r="B682">
        <v>1388</v>
      </c>
      <c r="C682">
        <v>345</v>
      </c>
      <c r="D682">
        <v>5</v>
      </c>
      <c r="E682" t="s">
        <v>45</v>
      </c>
      <c r="F682" t="s">
        <v>60</v>
      </c>
      <c r="G682" t="s">
        <v>15</v>
      </c>
      <c r="H682" s="1">
        <v>45570</v>
      </c>
      <c r="I682" t="s">
        <v>785</v>
      </c>
      <c r="J682" t="s">
        <v>25</v>
      </c>
      <c r="K682" t="s">
        <v>51</v>
      </c>
      <c r="L682" s="2" t="s">
        <v>360</v>
      </c>
    </row>
    <row r="683" spans="1:12" x14ac:dyDescent="0.3">
      <c r="A683" t="s">
        <v>784</v>
      </c>
      <c r="B683">
        <v>8555</v>
      </c>
      <c r="C683">
        <v>1638</v>
      </c>
      <c r="D683">
        <v>8</v>
      </c>
      <c r="E683" t="s">
        <v>13</v>
      </c>
      <c r="F683" t="s">
        <v>39</v>
      </c>
      <c r="G683" t="s">
        <v>47</v>
      </c>
      <c r="H683" s="1">
        <v>45570</v>
      </c>
      <c r="I683" t="s">
        <v>785</v>
      </c>
      <c r="J683" t="s">
        <v>25</v>
      </c>
      <c r="K683" t="s">
        <v>51</v>
      </c>
      <c r="L683" s="2" t="s">
        <v>360</v>
      </c>
    </row>
    <row r="684" spans="1:12" x14ac:dyDescent="0.3">
      <c r="A684" t="s">
        <v>786</v>
      </c>
      <c r="B684">
        <v>9024</v>
      </c>
      <c r="C684">
        <v>730</v>
      </c>
      <c r="D684">
        <v>4</v>
      </c>
      <c r="E684" t="s">
        <v>45</v>
      </c>
      <c r="F684" t="s">
        <v>46</v>
      </c>
      <c r="G684" t="s">
        <v>47</v>
      </c>
      <c r="H684" s="1">
        <v>45342</v>
      </c>
      <c r="I684" t="s">
        <v>787</v>
      </c>
      <c r="J684" t="s">
        <v>71</v>
      </c>
      <c r="K684" t="s">
        <v>72</v>
      </c>
      <c r="L684" s="2" t="s">
        <v>218</v>
      </c>
    </row>
    <row r="685" spans="1:12" x14ac:dyDescent="0.3">
      <c r="A685" t="s">
        <v>786</v>
      </c>
      <c r="B685">
        <v>2468</v>
      </c>
      <c r="C685">
        <v>418</v>
      </c>
      <c r="D685">
        <v>4</v>
      </c>
      <c r="E685" t="s">
        <v>13</v>
      </c>
      <c r="F685" t="s">
        <v>39</v>
      </c>
      <c r="G685" t="s">
        <v>47</v>
      </c>
      <c r="H685" s="1">
        <v>45342</v>
      </c>
      <c r="I685" t="s">
        <v>787</v>
      </c>
      <c r="J685" t="s">
        <v>71</v>
      </c>
      <c r="K685" t="s">
        <v>72</v>
      </c>
      <c r="L685" s="2" t="s">
        <v>218</v>
      </c>
    </row>
    <row r="686" spans="1:12" x14ac:dyDescent="0.3">
      <c r="A686" t="s">
        <v>788</v>
      </c>
      <c r="B686">
        <v>9438</v>
      </c>
      <c r="C686">
        <v>1801</v>
      </c>
      <c r="D686">
        <v>4</v>
      </c>
      <c r="E686" t="s">
        <v>13</v>
      </c>
      <c r="F686" t="s">
        <v>14</v>
      </c>
      <c r="G686" t="s">
        <v>65</v>
      </c>
      <c r="H686" s="1">
        <v>45035</v>
      </c>
      <c r="I686" t="s">
        <v>789</v>
      </c>
      <c r="J686" t="s">
        <v>17</v>
      </c>
      <c r="K686" t="s">
        <v>34</v>
      </c>
      <c r="L686" s="2" t="s">
        <v>145</v>
      </c>
    </row>
    <row r="687" spans="1:12" x14ac:dyDescent="0.3">
      <c r="A687" t="s">
        <v>788</v>
      </c>
      <c r="B687">
        <v>9438</v>
      </c>
      <c r="C687">
        <v>1801</v>
      </c>
      <c r="D687">
        <v>4</v>
      </c>
      <c r="E687" t="s">
        <v>13</v>
      </c>
      <c r="F687" t="s">
        <v>14</v>
      </c>
      <c r="G687" t="s">
        <v>65</v>
      </c>
      <c r="H687" s="1">
        <v>45228</v>
      </c>
      <c r="I687" t="s">
        <v>790</v>
      </c>
      <c r="J687" t="s">
        <v>71</v>
      </c>
      <c r="K687" t="s">
        <v>86</v>
      </c>
      <c r="L687" s="2" t="s">
        <v>442</v>
      </c>
    </row>
    <row r="688" spans="1:12" x14ac:dyDescent="0.3">
      <c r="A688" t="s">
        <v>791</v>
      </c>
      <c r="B688">
        <v>2685</v>
      </c>
      <c r="C688">
        <v>379</v>
      </c>
      <c r="D688">
        <v>18</v>
      </c>
      <c r="E688" t="s">
        <v>13</v>
      </c>
      <c r="F688" t="s">
        <v>82</v>
      </c>
      <c r="G688" t="s">
        <v>15</v>
      </c>
      <c r="H688" s="1">
        <v>44628</v>
      </c>
      <c r="I688" t="s">
        <v>792</v>
      </c>
      <c r="J688" t="s">
        <v>98</v>
      </c>
      <c r="K688" t="s">
        <v>117</v>
      </c>
      <c r="L688" s="2" t="s">
        <v>134</v>
      </c>
    </row>
    <row r="689" spans="1:12" x14ac:dyDescent="0.3">
      <c r="A689" t="s">
        <v>791</v>
      </c>
      <c r="B689">
        <v>2685</v>
      </c>
      <c r="C689">
        <v>379</v>
      </c>
      <c r="D689">
        <v>18</v>
      </c>
      <c r="E689" t="s">
        <v>13</v>
      </c>
      <c r="F689" t="s">
        <v>82</v>
      </c>
      <c r="G689" t="s">
        <v>15</v>
      </c>
      <c r="H689" s="1">
        <v>44903</v>
      </c>
      <c r="I689" t="s">
        <v>793</v>
      </c>
      <c r="J689" t="s">
        <v>17</v>
      </c>
      <c r="K689" t="s">
        <v>150</v>
      </c>
      <c r="L689" s="2" t="s">
        <v>152</v>
      </c>
    </row>
    <row r="690" spans="1:12" x14ac:dyDescent="0.3">
      <c r="A690" t="s">
        <v>791</v>
      </c>
      <c r="B690">
        <v>9916</v>
      </c>
      <c r="C690">
        <v>4602</v>
      </c>
      <c r="D690">
        <v>14</v>
      </c>
      <c r="E690" t="s">
        <v>45</v>
      </c>
      <c r="F690" t="s">
        <v>49</v>
      </c>
      <c r="G690" t="s">
        <v>15</v>
      </c>
      <c r="H690" s="1">
        <v>44628</v>
      </c>
      <c r="I690" t="s">
        <v>792</v>
      </c>
      <c r="J690" t="s">
        <v>98</v>
      </c>
      <c r="K690" t="s">
        <v>117</v>
      </c>
      <c r="L690" s="2" t="s">
        <v>134</v>
      </c>
    </row>
    <row r="691" spans="1:12" x14ac:dyDescent="0.3">
      <c r="A691" t="s">
        <v>791</v>
      </c>
      <c r="B691">
        <v>9916</v>
      </c>
      <c r="C691">
        <v>4602</v>
      </c>
      <c r="D691">
        <v>14</v>
      </c>
      <c r="E691" t="s">
        <v>45</v>
      </c>
      <c r="F691" t="s">
        <v>49</v>
      </c>
      <c r="G691" t="s">
        <v>15</v>
      </c>
      <c r="H691" s="1">
        <v>44903</v>
      </c>
      <c r="I691" t="s">
        <v>793</v>
      </c>
      <c r="J691" t="s">
        <v>17</v>
      </c>
      <c r="K691" t="s">
        <v>150</v>
      </c>
      <c r="L691" s="2" t="s">
        <v>152</v>
      </c>
    </row>
    <row r="692" spans="1:12" x14ac:dyDescent="0.3">
      <c r="A692" t="s">
        <v>791</v>
      </c>
      <c r="B692">
        <v>6184</v>
      </c>
      <c r="C692">
        <v>50</v>
      </c>
      <c r="D692">
        <v>14</v>
      </c>
      <c r="E692" t="s">
        <v>13</v>
      </c>
      <c r="F692" t="s">
        <v>14</v>
      </c>
      <c r="G692" t="s">
        <v>47</v>
      </c>
      <c r="H692" s="1">
        <v>44628</v>
      </c>
      <c r="I692" t="s">
        <v>792</v>
      </c>
      <c r="J692" t="s">
        <v>98</v>
      </c>
      <c r="K692" t="s">
        <v>117</v>
      </c>
      <c r="L692" s="2" t="s">
        <v>134</v>
      </c>
    </row>
    <row r="693" spans="1:12" x14ac:dyDescent="0.3">
      <c r="A693" t="s">
        <v>791</v>
      </c>
      <c r="B693">
        <v>6184</v>
      </c>
      <c r="C693">
        <v>50</v>
      </c>
      <c r="D693">
        <v>14</v>
      </c>
      <c r="E693" t="s">
        <v>13</v>
      </c>
      <c r="F693" t="s">
        <v>14</v>
      </c>
      <c r="G693" t="s">
        <v>47</v>
      </c>
      <c r="H693" s="1">
        <v>44903</v>
      </c>
      <c r="I693" t="s">
        <v>793</v>
      </c>
      <c r="J693" t="s">
        <v>17</v>
      </c>
      <c r="K693" t="s">
        <v>150</v>
      </c>
      <c r="L693" s="2" t="s">
        <v>152</v>
      </c>
    </row>
    <row r="694" spans="1:12" x14ac:dyDescent="0.3">
      <c r="A694" t="s">
        <v>791</v>
      </c>
      <c r="B694">
        <v>4548</v>
      </c>
      <c r="C694">
        <v>2135</v>
      </c>
      <c r="D694">
        <v>8</v>
      </c>
      <c r="E694" t="s">
        <v>30</v>
      </c>
      <c r="F694" t="s">
        <v>57</v>
      </c>
      <c r="G694" t="s">
        <v>32</v>
      </c>
      <c r="H694" s="1">
        <v>44628</v>
      </c>
      <c r="I694" t="s">
        <v>792</v>
      </c>
      <c r="J694" t="s">
        <v>98</v>
      </c>
      <c r="K694" t="s">
        <v>117</v>
      </c>
      <c r="L694" s="2" t="s">
        <v>134</v>
      </c>
    </row>
    <row r="695" spans="1:12" x14ac:dyDescent="0.3">
      <c r="A695" t="s">
        <v>791</v>
      </c>
      <c r="B695">
        <v>4548</v>
      </c>
      <c r="C695">
        <v>2135</v>
      </c>
      <c r="D695">
        <v>8</v>
      </c>
      <c r="E695" t="s">
        <v>30</v>
      </c>
      <c r="F695" t="s">
        <v>57</v>
      </c>
      <c r="G695" t="s">
        <v>32</v>
      </c>
      <c r="H695" s="1">
        <v>44903</v>
      </c>
      <c r="I695" t="s">
        <v>793</v>
      </c>
      <c r="J695" t="s">
        <v>17</v>
      </c>
      <c r="K695" t="s">
        <v>150</v>
      </c>
      <c r="L695" s="2" t="s">
        <v>152</v>
      </c>
    </row>
    <row r="696" spans="1:12" x14ac:dyDescent="0.3">
      <c r="A696" t="s">
        <v>794</v>
      </c>
      <c r="B696">
        <v>7195</v>
      </c>
      <c r="C696">
        <v>1665</v>
      </c>
      <c r="D696">
        <v>7</v>
      </c>
      <c r="E696" t="s">
        <v>30</v>
      </c>
      <c r="F696" t="s">
        <v>57</v>
      </c>
      <c r="G696" t="s">
        <v>65</v>
      </c>
      <c r="H696" s="1">
        <v>45500</v>
      </c>
      <c r="I696" t="s">
        <v>795</v>
      </c>
      <c r="J696" t="s">
        <v>25</v>
      </c>
      <c r="K696" t="s">
        <v>68</v>
      </c>
      <c r="L696" s="2" t="s">
        <v>215</v>
      </c>
    </row>
    <row r="697" spans="1:12" x14ac:dyDescent="0.3">
      <c r="A697" t="s">
        <v>794</v>
      </c>
      <c r="B697">
        <v>7195</v>
      </c>
      <c r="C697">
        <v>1665</v>
      </c>
      <c r="D697">
        <v>7</v>
      </c>
      <c r="E697" t="s">
        <v>30</v>
      </c>
      <c r="F697" t="s">
        <v>57</v>
      </c>
      <c r="G697" t="s">
        <v>65</v>
      </c>
      <c r="H697" s="1">
        <v>44747</v>
      </c>
      <c r="I697" t="s">
        <v>796</v>
      </c>
      <c r="J697" t="s">
        <v>25</v>
      </c>
      <c r="K697" t="s">
        <v>26</v>
      </c>
      <c r="L697" s="2" t="s">
        <v>418</v>
      </c>
    </row>
    <row r="698" spans="1:12" x14ac:dyDescent="0.3">
      <c r="A698" t="s">
        <v>797</v>
      </c>
      <c r="B698">
        <v>3098</v>
      </c>
      <c r="C698">
        <v>957</v>
      </c>
      <c r="D698">
        <v>18</v>
      </c>
      <c r="E698" t="s">
        <v>45</v>
      </c>
      <c r="F698" t="s">
        <v>109</v>
      </c>
      <c r="G698" t="s">
        <v>65</v>
      </c>
      <c r="H698" s="1">
        <v>45477</v>
      </c>
      <c r="I698" t="s">
        <v>798</v>
      </c>
      <c r="J698" t="s">
        <v>71</v>
      </c>
      <c r="K698" t="s">
        <v>86</v>
      </c>
      <c r="L698" s="2" t="s">
        <v>215</v>
      </c>
    </row>
    <row r="699" spans="1:12" x14ac:dyDescent="0.3">
      <c r="A699" t="s">
        <v>799</v>
      </c>
      <c r="B699">
        <v>5412</v>
      </c>
      <c r="C699">
        <v>1192</v>
      </c>
      <c r="D699">
        <v>18</v>
      </c>
      <c r="E699" t="s">
        <v>45</v>
      </c>
      <c r="F699" t="s">
        <v>46</v>
      </c>
      <c r="G699" t="s">
        <v>47</v>
      </c>
      <c r="H699" s="1">
        <v>45350</v>
      </c>
      <c r="I699" t="s">
        <v>800</v>
      </c>
      <c r="J699" t="s">
        <v>42</v>
      </c>
      <c r="K699" t="s">
        <v>75</v>
      </c>
      <c r="L699" s="2" t="s">
        <v>218</v>
      </c>
    </row>
    <row r="700" spans="1:12" x14ac:dyDescent="0.3">
      <c r="A700" t="s">
        <v>799</v>
      </c>
      <c r="B700">
        <v>5412</v>
      </c>
      <c r="C700">
        <v>1192</v>
      </c>
      <c r="D700">
        <v>18</v>
      </c>
      <c r="E700" t="s">
        <v>45</v>
      </c>
      <c r="F700" t="s">
        <v>46</v>
      </c>
      <c r="G700" t="s">
        <v>47</v>
      </c>
      <c r="H700" s="1">
        <v>45660</v>
      </c>
      <c r="I700" t="s">
        <v>801</v>
      </c>
      <c r="J700" t="s">
        <v>42</v>
      </c>
      <c r="K700" t="s">
        <v>43</v>
      </c>
      <c r="L700" s="2" t="s">
        <v>308</v>
      </c>
    </row>
    <row r="701" spans="1:12" x14ac:dyDescent="0.3">
      <c r="A701" t="s">
        <v>802</v>
      </c>
      <c r="B701">
        <v>1397</v>
      </c>
      <c r="C701">
        <v>686</v>
      </c>
      <c r="D701">
        <v>11</v>
      </c>
      <c r="E701" t="s">
        <v>45</v>
      </c>
      <c r="F701" t="s">
        <v>49</v>
      </c>
      <c r="G701" t="s">
        <v>47</v>
      </c>
      <c r="H701" s="1">
        <v>44537</v>
      </c>
      <c r="I701" t="s">
        <v>803</v>
      </c>
      <c r="J701" t="s">
        <v>25</v>
      </c>
      <c r="K701" t="s">
        <v>51</v>
      </c>
      <c r="L701" s="2" t="s">
        <v>90</v>
      </c>
    </row>
    <row r="702" spans="1:12" x14ac:dyDescent="0.3">
      <c r="A702" t="s">
        <v>804</v>
      </c>
      <c r="B702">
        <v>9279</v>
      </c>
      <c r="C702">
        <v>552</v>
      </c>
      <c r="D702">
        <v>14</v>
      </c>
      <c r="E702" t="s">
        <v>45</v>
      </c>
      <c r="F702" t="s">
        <v>49</v>
      </c>
      <c r="G702" t="s">
        <v>40</v>
      </c>
      <c r="H702" s="1">
        <v>44544</v>
      </c>
      <c r="I702" t="s">
        <v>805</v>
      </c>
      <c r="J702" t="s">
        <v>25</v>
      </c>
      <c r="K702" t="s">
        <v>26</v>
      </c>
      <c r="L702" s="2" t="s">
        <v>90</v>
      </c>
    </row>
    <row r="703" spans="1:12" x14ac:dyDescent="0.3">
      <c r="A703" t="s">
        <v>804</v>
      </c>
      <c r="B703">
        <v>9279</v>
      </c>
      <c r="C703">
        <v>552</v>
      </c>
      <c r="D703">
        <v>14</v>
      </c>
      <c r="E703" t="s">
        <v>45</v>
      </c>
      <c r="F703" t="s">
        <v>49</v>
      </c>
      <c r="G703" t="s">
        <v>40</v>
      </c>
      <c r="H703" s="1">
        <v>44165</v>
      </c>
      <c r="I703" t="s">
        <v>806</v>
      </c>
      <c r="J703" t="s">
        <v>42</v>
      </c>
      <c r="K703" t="s">
        <v>92</v>
      </c>
      <c r="L703" s="2" t="s">
        <v>80</v>
      </c>
    </row>
    <row r="704" spans="1:12" x14ac:dyDescent="0.3">
      <c r="A704" t="s">
        <v>804</v>
      </c>
      <c r="B704">
        <v>2596</v>
      </c>
      <c r="C704">
        <v>1003</v>
      </c>
      <c r="D704">
        <v>19</v>
      </c>
      <c r="E704" t="s">
        <v>30</v>
      </c>
      <c r="F704" t="s">
        <v>64</v>
      </c>
      <c r="G704" t="s">
        <v>47</v>
      </c>
      <c r="H704" s="1">
        <v>44544</v>
      </c>
      <c r="I704" t="s">
        <v>805</v>
      </c>
      <c r="J704" t="s">
        <v>25</v>
      </c>
      <c r="K704" t="s">
        <v>26</v>
      </c>
      <c r="L704" s="2" t="s">
        <v>90</v>
      </c>
    </row>
    <row r="705" spans="1:12" x14ac:dyDescent="0.3">
      <c r="A705" t="s">
        <v>804</v>
      </c>
      <c r="B705">
        <v>2596</v>
      </c>
      <c r="C705">
        <v>1003</v>
      </c>
      <c r="D705">
        <v>19</v>
      </c>
      <c r="E705" t="s">
        <v>30</v>
      </c>
      <c r="F705" t="s">
        <v>64</v>
      </c>
      <c r="G705" t="s">
        <v>47</v>
      </c>
      <c r="H705" s="1">
        <v>44165</v>
      </c>
      <c r="I705" t="s">
        <v>806</v>
      </c>
      <c r="J705" t="s">
        <v>42</v>
      </c>
      <c r="K705" t="s">
        <v>92</v>
      </c>
      <c r="L705" s="2" t="s">
        <v>80</v>
      </c>
    </row>
    <row r="706" spans="1:12" x14ac:dyDescent="0.3">
      <c r="A706" t="s">
        <v>807</v>
      </c>
      <c r="B706">
        <v>6732</v>
      </c>
      <c r="C706">
        <v>911</v>
      </c>
      <c r="D706">
        <v>19</v>
      </c>
      <c r="E706" t="s">
        <v>45</v>
      </c>
      <c r="F706" t="s">
        <v>109</v>
      </c>
      <c r="G706" t="s">
        <v>40</v>
      </c>
      <c r="H706" s="1">
        <v>44559</v>
      </c>
      <c r="I706" t="s">
        <v>808</v>
      </c>
      <c r="J706" t="s">
        <v>25</v>
      </c>
      <c r="K706" t="s">
        <v>26</v>
      </c>
      <c r="L706" s="2" t="s">
        <v>90</v>
      </c>
    </row>
    <row r="707" spans="1:12" x14ac:dyDescent="0.3">
      <c r="A707" t="s">
        <v>807</v>
      </c>
      <c r="B707">
        <v>4495</v>
      </c>
      <c r="C707">
        <v>1408</v>
      </c>
      <c r="D707">
        <v>14</v>
      </c>
      <c r="E707" t="s">
        <v>30</v>
      </c>
      <c r="F707" t="s">
        <v>31</v>
      </c>
      <c r="G707" t="s">
        <v>40</v>
      </c>
      <c r="H707" s="1">
        <v>44559</v>
      </c>
      <c r="I707" t="s">
        <v>808</v>
      </c>
      <c r="J707" t="s">
        <v>25</v>
      </c>
      <c r="K707" t="s">
        <v>26</v>
      </c>
      <c r="L707" s="2" t="s">
        <v>90</v>
      </c>
    </row>
    <row r="708" spans="1:12" x14ac:dyDescent="0.3">
      <c r="A708" t="s">
        <v>809</v>
      </c>
      <c r="B708">
        <v>9653</v>
      </c>
      <c r="C708">
        <v>2471</v>
      </c>
      <c r="D708">
        <v>6</v>
      </c>
      <c r="E708" t="s">
        <v>30</v>
      </c>
      <c r="F708" t="s">
        <v>64</v>
      </c>
      <c r="G708" t="s">
        <v>15</v>
      </c>
      <c r="H708" s="1">
        <v>45481</v>
      </c>
      <c r="I708" t="s">
        <v>810</v>
      </c>
      <c r="J708" t="s">
        <v>25</v>
      </c>
      <c r="K708" t="s">
        <v>26</v>
      </c>
      <c r="L708" s="2" t="s">
        <v>215</v>
      </c>
    </row>
    <row r="709" spans="1:12" x14ac:dyDescent="0.3">
      <c r="A709" t="s">
        <v>811</v>
      </c>
      <c r="B709">
        <v>8945</v>
      </c>
      <c r="C709">
        <v>1728</v>
      </c>
      <c r="D709">
        <v>10</v>
      </c>
      <c r="E709" t="s">
        <v>45</v>
      </c>
      <c r="F709" t="s">
        <v>46</v>
      </c>
      <c r="G709" t="s">
        <v>15</v>
      </c>
      <c r="H709" s="1">
        <v>44237</v>
      </c>
      <c r="I709" t="s">
        <v>812</v>
      </c>
      <c r="J709" t="s">
        <v>21</v>
      </c>
      <c r="K709" t="s">
        <v>172</v>
      </c>
      <c r="L709" s="2" t="s">
        <v>292</v>
      </c>
    </row>
    <row r="710" spans="1:12" x14ac:dyDescent="0.3">
      <c r="A710" t="s">
        <v>813</v>
      </c>
      <c r="B710">
        <v>4007</v>
      </c>
      <c r="C710">
        <v>201</v>
      </c>
      <c r="D710">
        <v>13</v>
      </c>
      <c r="E710" t="s">
        <v>45</v>
      </c>
      <c r="F710" t="s">
        <v>109</v>
      </c>
      <c r="G710" t="s">
        <v>65</v>
      </c>
      <c r="H710" s="1">
        <v>44125</v>
      </c>
      <c r="I710" t="s">
        <v>814</v>
      </c>
      <c r="J710" t="s">
        <v>98</v>
      </c>
      <c r="K710" t="s">
        <v>99</v>
      </c>
      <c r="L710" s="2" t="s">
        <v>119</v>
      </c>
    </row>
    <row r="711" spans="1:12" x14ac:dyDescent="0.3">
      <c r="A711" t="s">
        <v>813</v>
      </c>
      <c r="B711">
        <v>4007</v>
      </c>
      <c r="C711">
        <v>201</v>
      </c>
      <c r="D711">
        <v>13</v>
      </c>
      <c r="E711" t="s">
        <v>45</v>
      </c>
      <c r="F711" t="s">
        <v>109</v>
      </c>
      <c r="G711" t="s">
        <v>65</v>
      </c>
      <c r="H711" s="1">
        <v>45033</v>
      </c>
      <c r="I711" t="s">
        <v>815</v>
      </c>
      <c r="J711" t="s">
        <v>71</v>
      </c>
      <c r="K711" t="s">
        <v>72</v>
      </c>
      <c r="L711" s="2" t="s">
        <v>145</v>
      </c>
    </row>
    <row r="712" spans="1:12" x14ac:dyDescent="0.3">
      <c r="A712" t="s">
        <v>816</v>
      </c>
      <c r="B712">
        <v>810</v>
      </c>
      <c r="C712">
        <v>231</v>
      </c>
      <c r="D712">
        <v>18</v>
      </c>
      <c r="E712" t="s">
        <v>45</v>
      </c>
      <c r="F712" t="s">
        <v>109</v>
      </c>
      <c r="G712" t="s">
        <v>40</v>
      </c>
      <c r="H712" s="1">
        <v>44125</v>
      </c>
      <c r="I712" t="s">
        <v>817</v>
      </c>
      <c r="J712" t="s">
        <v>17</v>
      </c>
      <c r="K712" t="s">
        <v>150</v>
      </c>
      <c r="L712" s="2" t="s">
        <v>119</v>
      </c>
    </row>
    <row r="713" spans="1:12" x14ac:dyDescent="0.3">
      <c r="A713" t="s">
        <v>818</v>
      </c>
      <c r="B713">
        <v>9789</v>
      </c>
      <c r="C713">
        <v>2071</v>
      </c>
      <c r="D713">
        <v>18</v>
      </c>
      <c r="E713" t="s">
        <v>45</v>
      </c>
      <c r="F713" t="s">
        <v>109</v>
      </c>
      <c r="G713" t="s">
        <v>32</v>
      </c>
      <c r="H713" s="1">
        <v>45288</v>
      </c>
      <c r="I713" t="s">
        <v>819</v>
      </c>
      <c r="J713" t="s">
        <v>25</v>
      </c>
      <c r="K713" t="s">
        <v>68</v>
      </c>
      <c r="L713" s="2" t="s">
        <v>102</v>
      </c>
    </row>
    <row r="714" spans="1:12" x14ac:dyDescent="0.3">
      <c r="A714" t="s">
        <v>818</v>
      </c>
      <c r="B714">
        <v>9229</v>
      </c>
      <c r="C714">
        <v>4090</v>
      </c>
      <c r="D714">
        <v>8</v>
      </c>
      <c r="E714" t="s">
        <v>13</v>
      </c>
      <c r="F714" t="s">
        <v>14</v>
      </c>
      <c r="G714" t="s">
        <v>65</v>
      </c>
      <c r="H714" s="1">
        <v>45288</v>
      </c>
      <c r="I714" t="s">
        <v>819</v>
      </c>
      <c r="J714" t="s">
        <v>25</v>
      </c>
      <c r="K714" t="s">
        <v>68</v>
      </c>
      <c r="L714" s="2" t="s">
        <v>102</v>
      </c>
    </row>
    <row r="715" spans="1:12" x14ac:dyDescent="0.3">
      <c r="A715" t="s">
        <v>820</v>
      </c>
      <c r="B715">
        <v>8141</v>
      </c>
      <c r="C715">
        <v>3968</v>
      </c>
      <c r="D715">
        <v>18</v>
      </c>
      <c r="E715" t="s">
        <v>30</v>
      </c>
      <c r="F715" t="s">
        <v>57</v>
      </c>
      <c r="G715" t="s">
        <v>32</v>
      </c>
      <c r="H715" s="1">
        <v>44918</v>
      </c>
      <c r="I715" t="s">
        <v>821</v>
      </c>
      <c r="J715" t="s">
        <v>25</v>
      </c>
      <c r="K715" t="s">
        <v>68</v>
      </c>
      <c r="L715" s="2" t="s">
        <v>152</v>
      </c>
    </row>
    <row r="716" spans="1:12" x14ac:dyDescent="0.3">
      <c r="A716" t="s">
        <v>820</v>
      </c>
      <c r="B716">
        <v>8141</v>
      </c>
      <c r="C716">
        <v>3968</v>
      </c>
      <c r="D716">
        <v>18</v>
      </c>
      <c r="E716" t="s">
        <v>30</v>
      </c>
      <c r="F716" t="s">
        <v>57</v>
      </c>
      <c r="G716" t="s">
        <v>32</v>
      </c>
      <c r="H716" s="1">
        <v>44783</v>
      </c>
      <c r="I716" t="s">
        <v>822</v>
      </c>
      <c r="J716" t="s">
        <v>21</v>
      </c>
      <c r="K716" t="s">
        <v>172</v>
      </c>
      <c r="L716" s="2" t="s">
        <v>209</v>
      </c>
    </row>
    <row r="717" spans="1:12" x14ac:dyDescent="0.3">
      <c r="A717" t="s">
        <v>820</v>
      </c>
      <c r="B717">
        <v>1067</v>
      </c>
      <c r="C717">
        <v>251</v>
      </c>
      <c r="D717">
        <v>14</v>
      </c>
      <c r="E717" t="s">
        <v>45</v>
      </c>
      <c r="F717" t="s">
        <v>60</v>
      </c>
      <c r="G717" t="s">
        <v>40</v>
      </c>
      <c r="H717" s="1">
        <v>44918</v>
      </c>
      <c r="I717" t="s">
        <v>821</v>
      </c>
      <c r="J717" t="s">
        <v>25</v>
      </c>
      <c r="K717" t="s">
        <v>68</v>
      </c>
      <c r="L717" s="2" t="s">
        <v>152</v>
      </c>
    </row>
    <row r="718" spans="1:12" x14ac:dyDescent="0.3">
      <c r="A718" t="s">
        <v>820</v>
      </c>
      <c r="B718">
        <v>1067</v>
      </c>
      <c r="C718">
        <v>251</v>
      </c>
      <c r="D718">
        <v>14</v>
      </c>
      <c r="E718" t="s">
        <v>45</v>
      </c>
      <c r="F718" t="s">
        <v>60</v>
      </c>
      <c r="G718" t="s">
        <v>40</v>
      </c>
      <c r="H718" s="1">
        <v>44783</v>
      </c>
      <c r="I718" t="s">
        <v>822</v>
      </c>
      <c r="J718" t="s">
        <v>21</v>
      </c>
      <c r="K718" t="s">
        <v>172</v>
      </c>
      <c r="L718" s="2" t="s">
        <v>209</v>
      </c>
    </row>
    <row r="719" spans="1:12" x14ac:dyDescent="0.3">
      <c r="A719" t="s">
        <v>823</v>
      </c>
      <c r="B719">
        <v>3839</v>
      </c>
      <c r="C719">
        <v>1415</v>
      </c>
      <c r="D719">
        <v>10</v>
      </c>
      <c r="E719" t="s">
        <v>30</v>
      </c>
      <c r="F719" t="s">
        <v>78</v>
      </c>
      <c r="G719" t="s">
        <v>15</v>
      </c>
      <c r="H719" s="1">
        <v>45216</v>
      </c>
      <c r="I719" t="s">
        <v>824</v>
      </c>
      <c r="J719" t="s">
        <v>42</v>
      </c>
      <c r="K719" t="s">
        <v>43</v>
      </c>
      <c r="L719" s="2" t="s">
        <v>442</v>
      </c>
    </row>
    <row r="720" spans="1:12" x14ac:dyDescent="0.3">
      <c r="A720" t="s">
        <v>823</v>
      </c>
      <c r="B720">
        <v>3839</v>
      </c>
      <c r="C720">
        <v>1415</v>
      </c>
      <c r="D720">
        <v>10</v>
      </c>
      <c r="E720" t="s">
        <v>30</v>
      </c>
      <c r="F720" t="s">
        <v>78</v>
      </c>
      <c r="G720" t="s">
        <v>15</v>
      </c>
      <c r="H720" s="1">
        <v>44620</v>
      </c>
      <c r="I720" t="s">
        <v>825</v>
      </c>
      <c r="J720" t="s">
        <v>17</v>
      </c>
      <c r="K720" t="s">
        <v>34</v>
      </c>
      <c r="L720" s="2" t="s">
        <v>137</v>
      </c>
    </row>
    <row r="721" spans="1:12" x14ac:dyDescent="0.3">
      <c r="A721" t="s">
        <v>826</v>
      </c>
      <c r="B721">
        <v>2858</v>
      </c>
      <c r="C721">
        <v>482</v>
      </c>
      <c r="D721">
        <v>13</v>
      </c>
      <c r="E721" t="s">
        <v>13</v>
      </c>
      <c r="F721" t="s">
        <v>14</v>
      </c>
      <c r="G721" t="s">
        <v>65</v>
      </c>
      <c r="H721" s="1">
        <v>45436</v>
      </c>
      <c r="I721" t="s">
        <v>827</v>
      </c>
      <c r="J721" t="s">
        <v>71</v>
      </c>
      <c r="K721" t="s">
        <v>86</v>
      </c>
      <c r="L721" s="2" t="s">
        <v>35</v>
      </c>
    </row>
    <row r="722" spans="1:12" x14ac:dyDescent="0.3">
      <c r="A722" t="s">
        <v>828</v>
      </c>
      <c r="B722">
        <v>2137</v>
      </c>
      <c r="C722">
        <v>638</v>
      </c>
      <c r="D722">
        <v>12</v>
      </c>
      <c r="E722" t="s">
        <v>45</v>
      </c>
      <c r="F722" t="s">
        <v>109</v>
      </c>
      <c r="G722" t="s">
        <v>32</v>
      </c>
      <c r="H722" s="1">
        <v>44106</v>
      </c>
      <c r="I722" t="s">
        <v>829</v>
      </c>
      <c r="J722" t="s">
        <v>25</v>
      </c>
      <c r="K722" t="s">
        <v>51</v>
      </c>
      <c r="L722" s="2" t="s">
        <v>119</v>
      </c>
    </row>
    <row r="723" spans="1:12" x14ac:dyDescent="0.3">
      <c r="A723" t="s">
        <v>828</v>
      </c>
      <c r="B723">
        <v>2831</v>
      </c>
      <c r="C723">
        <v>1289</v>
      </c>
      <c r="D723">
        <v>12</v>
      </c>
      <c r="E723" t="s">
        <v>45</v>
      </c>
      <c r="F723" t="s">
        <v>49</v>
      </c>
      <c r="G723" t="s">
        <v>32</v>
      </c>
      <c r="H723" s="1">
        <v>44106</v>
      </c>
      <c r="I723" t="s">
        <v>829</v>
      </c>
      <c r="J723" t="s">
        <v>25</v>
      </c>
      <c r="K723" t="s">
        <v>51</v>
      </c>
      <c r="L723" s="2" t="s">
        <v>119</v>
      </c>
    </row>
    <row r="724" spans="1:12" x14ac:dyDescent="0.3">
      <c r="A724" t="s">
        <v>830</v>
      </c>
      <c r="B724">
        <v>3913</v>
      </c>
      <c r="C724">
        <v>961</v>
      </c>
      <c r="D724">
        <v>15</v>
      </c>
      <c r="E724" t="s">
        <v>45</v>
      </c>
      <c r="F724" t="s">
        <v>60</v>
      </c>
      <c r="G724" t="s">
        <v>15</v>
      </c>
      <c r="H724" s="1">
        <v>45332</v>
      </c>
      <c r="I724" t="s">
        <v>831</v>
      </c>
      <c r="J724" t="s">
        <v>98</v>
      </c>
      <c r="K724" t="s">
        <v>99</v>
      </c>
      <c r="L724" s="2" t="s">
        <v>218</v>
      </c>
    </row>
    <row r="725" spans="1:12" x14ac:dyDescent="0.3">
      <c r="A725" t="s">
        <v>830</v>
      </c>
      <c r="B725">
        <v>3913</v>
      </c>
      <c r="C725">
        <v>961</v>
      </c>
      <c r="D725">
        <v>15</v>
      </c>
      <c r="E725" t="s">
        <v>45</v>
      </c>
      <c r="F725" t="s">
        <v>60</v>
      </c>
      <c r="G725" t="s">
        <v>15</v>
      </c>
      <c r="H725" s="1">
        <v>44233</v>
      </c>
      <c r="I725" t="s">
        <v>832</v>
      </c>
      <c r="J725" t="s">
        <v>42</v>
      </c>
      <c r="K725" t="s">
        <v>92</v>
      </c>
      <c r="L725" s="2" t="s">
        <v>292</v>
      </c>
    </row>
    <row r="726" spans="1:12" x14ac:dyDescent="0.3">
      <c r="A726" t="s">
        <v>833</v>
      </c>
      <c r="B726">
        <v>4468</v>
      </c>
      <c r="C726">
        <v>1940</v>
      </c>
      <c r="D726">
        <v>9</v>
      </c>
      <c r="E726" t="s">
        <v>30</v>
      </c>
      <c r="F726" t="s">
        <v>64</v>
      </c>
      <c r="G726" t="s">
        <v>65</v>
      </c>
      <c r="H726" s="1">
        <v>44636</v>
      </c>
      <c r="I726" t="s">
        <v>834</v>
      </c>
      <c r="J726" t="s">
        <v>17</v>
      </c>
      <c r="K726" t="s">
        <v>150</v>
      </c>
      <c r="L726" s="2" t="s">
        <v>134</v>
      </c>
    </row>
    <row r="727" spans="1:12" x14ac:dyDescent="0.3">
      <c r="A727" t="s">
        <v>835</v>
      </c>
      <c r="B727">
        <v>1579</v>
      </c>
      <c r="C727">
        <v>602</v>
      </c>
      <c r="D727">
        <v>9</v>
      </c>
      <c r="E727" t="s">
        <v>13</v>
      </c>
      <c r="F727" t="s">
        <v>39</v>
      </c>
      <c r="G727" t="s">
        <v>47</v>
      </c>
      <c r="H727" s="1">
        <v>43975</v>
      </c>
      <c r="I727" t="s">
        <v>836</v>
      </c>
      <c r="J727" t="s">
        <v>98</v>
      </c>
      <c r="K727" t="s">
        <v>107</v>
      </c>
      <c r="L727" s="2" t="s">
        <v>59</v>
      </c>
    </row>
    <row r="728" spans="1:12" x14ac:dyDescent="0.3">
      <c r="A728" t="s">
        <v>835</v>
      </c>
      <c r="B728">
        <v>1579</v>
      </c>
      <c r="C728">
        <v>602</v>
      </c>
      <c r="D728">
        <v>9</v>
      </c>
      <c r="E728" t="s">
        <v>13</v>
      </c>
      <c r="F728" t="s">
        <v>39</v>
      </c>
      <c r="G728" t="s">
        <v>47</v>
      </c>
      <c r="H728" s="1">
        <v>45704</v>
      </c>
      <c r="I728" t="s">
        <v>837</v>
      </c>
      <c r="J728" t="s">
        <v>71</v>
      </c>
      <c r="K728" t="s">
        <v>72</v>
      </c>
      <c r="L728" s="2" t="s">
        <v>73</v>
      </c>
    </row>
    <row r="729" spans="1:12" x14ac:dyDescent="0.3">
      <c r="A729" t="s">
        <v>835</v>
      </c>
      <c r="B729">
        <v>1579</v>
      </c>
      <c r="C729">
        <v>602</v>
      </c>
      <c r="D729">
        <v>9</v>
      </c>
      <c r="E729" t="s">
        <v>13</v>
      </c>
      <c r="F729" t="s">
        <v>39</v>
      </c>
      <c r="G729" t="s">
        <v>47</v>
      </c>
      <c r="H729" s="1">
        <v>44516</v>
      </c>
      <c r="I729" t="s">
        <v>838</v>
      </c>
      <c r="J729" t="s">
        <v>98</v>
      </c>
      <c r="K729" t="s">
        <v>107</v>
      </c>
      <c r="L729" s="2" t="s">
        <v>175</v>
      </c>
    </row>
    <row r="730" spans="1:12" x14ac:dyDescent="0.3">
      <c r="A730" t="s">
        <v>835</v>
      </c>
      <c r="B730">
        <v>1579</v>
      </c>
      <c r="C730">
        <v>602</v>
      </c>
      <c r="D730">
        <v>9</v>
      </c>
      <c r="E730" t="s">
        <v>13</v>
      </c>
      <c r="F730" t="s">
        <v>39</v>
      </c>
      <c r="G730" t="s">
        <v>47</v>
      </c>
      <c r="H730" s="1">
        <v>45543</v>
      </c>
      <c r="I730" t="s">
        <v>839</v>
      </c>
      <c r="J730" t="s">
        <v>25</v>
      </c>
      <c r="K730" t="s">
        <v>68</v>
      </c>
      <c r="L730" s="2" t="s">
        <v>159</v>
      </c>
    </row>
    <row r="731" spans="1:12" x14ac:dyDescent="0.3">
      <c r="A731" t="s">
        <v>835</v>
      </c>
      <c r="B731">
        <v>3760</v>
      </c>
      <c r="C731">
        <v>1849</v>
      </c>
      <c r="D731">
        <v>19</v>
      </c>
      <c r="E731" t="s">
        <v>45</v>
      </c>
      <c r="F731" t="s">
        <v>49</v>
      </c>
      <c r="G731" t="s">
        <v>40</v>
      </c>
      <c r="H731" s="1">
        <v>43975</v>
      </c>
      <c r="I731" t="s">
        <v>836</v>
      </c>
      <c r="J731" t="s">
        <v>98</v>
      </c>
      <c r="K731" t="s">
        <v>107</v>
      </c>
      <c r="L731" s="2" t="s">
        <v>59</v>
      </c>
    </row>
    <row r="732" spans="1:12" x14ac:dyDescent="0.3">
      <c r="A732" t="s">
        <v>835</v>
      </c>
      <c r="B732">
        <v>3760</v>
      </c>
      <c r="C732">
        <v>1849</v>
      </c>
      <c r="D732">
        <v>19</v>
      </c>
      <c r="E732" t="s">
        <v>45</v>
      </c>
      <c r="F732" t="s">
        <v>49</v>
      </c>
      <c r="G732" t="s">
        <v>40</v>
      </c>
      <c r="H732" s="1">
        <v>45704</v>
      </c>
      <c r="I732" t="s">
        <v>837</v>
      </c>
      <c r="J732" t="s">
        <v>71</v>
      </c>
      <c r="K732" t="s">
        <v>72</v>
      </c>
      <c r="L732" s="2" t="s">
        <v>73</v>
      </c>
    </row>
    <row r="733" spans="1:12" x14ac:dyDescent="0.3">
      <c r="A733" t="s">
        <v>835</v>
      </c>
      <c r="B733">
        <v>3760</v>
      </c>
      <c r="C733">
        <v>1849</v>
      </c>
      <c r="D733">
        <v>19</v>
      </c>
      <c r="E733" t="s">
        <v>45</v>
      </c>
      <c r="F733" t="s">
        <v>49</v>
      </c>
      <c r="G733" t="s">
        <v>40</v>
      </c>
      <c r="H733" s="1">
        <v>44516</v>
      </c>
      <c r="I733" t="s">
        <v>838</v>
      </c>
      <c r="J733" t="s">
        <v>98</v>
      </c>
      <c r="K733" t="s">
        <v>107</v>
      </c>
      <c r="L733" s="2" t="s">
        <v>175</v>
      </c>
    </row>
    <row r="734" spans="1:12" x14ac:dyDescent="0.3">
      <c r="A734" t="s">
        <v>835</v>
      </c>
      <c r="B734">
        <v>3760</v>
      </c>
      <c r="C734">
        <v>1849</v>
      </c>
      <c r="D734">
        <v>19</v>
      </c>
      <c r="E734" t="s">
        <v>45</v>
      </c>
      <c r="F734" t="s">
        <v>49</v>
      </c>
      <c r="G734" t="s">
        <v>40</v>
      </c>
      <c r="H734" s="1">
        <v>45543</v>
      </c>
      <c r="I734" t="s">
        <v>839</v>
      </c>
      <c r="J734" t="s">
        <v>25</v>
      </c>
      <c r="K734" t="s">
        <v>68</v>
      </c>
      <c r="L734" s="2" t="s">
        <v>159</v>
      </c>
    </row>
    <row r="735" spans="1:12" x14ac:dyDescent="0.3">
      <c r="A735" t="s">
        <v>840</v>
      </c>
      <c r="B735">
        <v>8706</v>
      </c>
      <c r="C735">
        <v>3099</v>
      </c>
      <c r="D735">
        <v>14</v>
      </c>
      <c r="E735" t="s">
        <v>30</v>
      </c>
      <c r="F735" t="s">
        <v>31</v>
      </c>
      <c r="G735" t="s">
        <v>47</v>
      </c>
      <c r="H735" s="1">
        <v>44741</v>
      </c>
      <c r="I735" t="s">
        <v>841</v>
      </c>
      <c r="J735" t="s">
        <v>21</v>
      </c>
      <c r="K735" t="s">
        <v>22</v>
      </c>
      <c r="L735" s="2" t="s">
        <v>165</v>
      </c>
    </row>
    <row r="736" spans="1:12" x14ac:dyDescent="0.3">
      <c r="A736" t="s">
        <v>840</v>
      </c>
      <c r="B736">
        <v>4708</v>
      </c>
      <c r="C736">
        <v>696</v>
      </c>
      <c r="D736">
        <v>14</v>
      </c>
      <c r="E736" t="s">
        <v>13</v>
      </c>
      <c r="F736" t="s">
        <v>14</v>
      </c>
      <c r="G736" t="s">
        <v>47</v>
      </c>
      <c r="H736" s="1">
        <v>44741</v>
      </c>
      <c r="I736" t="s">
        <v>841</v>
      </c>
      <c r="J736" t="s">
        <v>21</v>
      </c>
      <c r="K736" t="s">
        <v>22</v>
      </c>
      <c r="L736" s="2" t="s">
        <v>165</v>
      </c>
    </row>
    <row r="737" spans="1:12" x14ac:dyDescent="0.3">
      <c r="A737" t="s">
        <v>840</v>
      </c>
      <c r="B737">
        <v>8089</v>
      </c>
      <c r="C737">
        <v>3132</v>
      </c>
      <c r="D737">
        <v>17</v>
      </c>
      <c r="E737" t="s">
        <v>45</v>
      </c>
      <c r="F737" t="s">
        <v>49</v>
      </c>
      <c r="G737" t="s">
        <v>65</v>
      </c>
      <c r="H737" s="1">
        <v>44741</v>
      </c>
      <c r="I737" t="s">
        <v>841</v>
      </c>
      <c r="J737" t="s">
        <v>21</v>
      </c>
      <c r="K737" t="s">
        <v>22</v>
      </c>
      <c r="L737" s="2" t="s">
        <v>165</v>
      </c>
    </row>
    <row r="738" spans="1:12" x14ac:dyDescent="0.3">
      <c r="A738" t="s">
        <v>842</v>
      </c>
      <c r="B738">
        <v>5462</v>
      </c>
      <c r="C738">
        <v>673</v>
      </c>
      <c r="D738">
        <v>12</v>
      </c>
      <c r="E738" t="s">
        <v>13</v>
      </c>
      <c r="F738" t="s">
        <v>28</v>
      </c>
      <c r="G738" t="s">
        <v>32</v>
      </c>
      <c r="H738" s="1">
        <v>44868</v>
      </c>
      <c r="I738" t="s">
        <v>843</v>
      </c>
      <c r="J738" t="s">
        <v>71</v>
      </c>
      <c r="K738" t="s">
        <v>86</v>
      </c>
      <c r="L738" s="2" t="s">
        <v>44</v>
      </c>
    </row>
    <row r="739" spans="1:12" x14ac:dyDescent="0.3">
      <c r="A739" t="s">
        <v>844</v>
      </c>
      <c r="B739">
        <v>6392</v>
      </c>
      <c r="C739">
        <v>444</v>
      </c>
      <c r="D739">
        <v>18</v>
      </c>
      <c r="E739" t="s">
        <v>13</v>
      </c>
      <c r="F739" t="s">
        <v>14</v>
      </c>
      <c r="G739" t="s">
        <v>47</v>
      </c>
      <c r="H739" s="1">
        <v>45258</v>
      </c>
      <c r="I739" t="s">
        <v>845</v>
      </c>
      <c r="J739" t="s">
        <v>17</v>
      </c>
      <c r="K739" t="s">
        <v>150</v>
      </c>
      <c r="L739" s="2" t="s">
        <v>52</v>
      </c>
    </row>
    <row r="740" spans="1:12" x14ac:dyDescent="0.3">
      <c r="A740" t="s">
        <v>846</v>
      </c>
      <c r="B740">
        <v>8706</v>
      </c>
      <c r="C740">
        <v>1724</v>
      </c>
      <c r="D740">
        <v>3</v>
      </c>
      <c r="E740" t="s">
        <v>13</v>
      </c>
      <c r="F740" t="s">
        <v>14</v>
      </c>
      <c r="G740" t="s">
        <v>32</v>
      </c>
      <c r="H740" s="1">
        <v>43946</v>
      </c>
      <c r="I740" t="s">
        <v>847</v>
      </c>
      <c r="J740" t="s">
        <v>17</v>
      </c>
      <c r="K740" t="s">
        <v>34</v>
      </c>
      <c r="L740" s="2" t="s">
        <v>162</v>
      </c>
    </row>
    <row r="741" spans="1:12" x14ac:dyDescent="0.3">
      <c r="A741" t="s">
        <v>848</v>
      </c>
      <c r="B741">
        <v>2349</v>
      </c>
      <c r="C741">
        <v>319</v>
      </c>
      <c r="D741">
        <v>4</v>
      </c>
      <c r="E741" t="s">
        <v>30</v>
      </c>
      <c r="F741" t="s">
        <v>31</v>
      </c>
      <c r="G741" t="s">
        <v>15</v>
      </c>
      <c r="H741" s="1">
        <v>44579</v>
      </c>
      <c r="I741" t="s">
        <v>849</v>
      </c>
      <c r="J741" t="s">
        <v>17</v>
      </c>
      <c r="K741" t="s">
        <v>18</v>
      </c>
      <c r="L741" s="2" t="s">
        <v>87</v>
      </c>
    </row>
    <row r="742" spans="1:12" x14ac:dyDescent="0.3">
      <c r="A742" t="s">
        <v>848</v>
      </c>
      <c r="B742">
        <v>8220</v>
      </c>
      <c r="C742">
        <v>3882</v>
      </c>
      <c r="D742">
        <v>14</v>
      </c>
      <c r="E742" t="s">
        <v>45</v>
      </c>
      <c r="F742" t="s">
        <v>49</v>
      </c>
      <c r="G742" t="s">
        <v>15</v>
      </c>
      <c r="H742" s="1">
        <v>44579</v>
      </c>
      <c r="I742" t="s">
        <v>849</v>
      </c>
      <c r="J742" t="s">
        <v>17</v>
      </c>
      <c r="K742" t="s">
        <v>18</v>
      </c>
      <c r="L742" s="2" t="s">
        <v>87</v>
      </c>
    </row>
    <row r="743" spans="1:12" x14ac:dyDescent="0.3">
      <c r="A743" t="s">
        <v>848</v>
      </c>
      <c r="B743">
        <v>2379</v>
      </c>
      <c r="C743">
        <v>279</v>
      </c>
      <c r="D743">
        <v>7</v>
      </c>
      <c r="E743" t="s">
        <v>45</v>
      </c>
      <c r="F743" t="s">
        <v>49</v>
      </c>
      <c r="G743" t="s">
        <v>32</v>
      </c>
      <c r="H743" s="1">
        <v>44579</v>
      </c>
      <c r="I743" t="s">
        <v>849</v>
      </c>
      <c r="J743" t="s">
        <v>17</v>
      </c>
      <c r="K743" t="s">
        <v>18</v>
      </c>
      <c r="L743" s="2" t="s">
        <v>87</v>
      </c>
    </row>
    <row r="744" spans="1:12" x14ac:dyDescent="0.3">
      <c r="A744" t="s">
        <v>848</v>
      </c>
      <c r="B744">
        <v>7377</v>
      </c>
      <c r="C744">
        <v>2049</v>
      </c>
      <c r="D744">
        <v>4</v>
      </c>
      <c r="E744" t="s">
        <v>30</v>
      </c>
      <c r="F744" t="s">
        <v>57</v>
      </c>
      <c r="G744" t="s">
        <v>15</v>
      </c>
      <c r="H744" s="1">
        <v>44579</v>
      </c>
      <c r="I744" t="s">
        <v>849</v>
      </c>
      <c r="J744" t="s">
        <v>17</v>
      </c>
      <c r="K744" t="s">
        <v>18</v>
      </c>
      <c r="L744" s="2" t="s">
        <v>87</v>
      </c>
    </row>
    <row r="745" spans="1:12" x14ac:dyDescent="0.3">
      <c r="A745" t="s">
        <v>850</v>
      </c>
      <c r="B745">
        <v>717</v>
      </c>
      <c r="C745">
        <v>158</v>
      </c>
      <c r="D745">
        <v>16</v>
      </c>
      <c r="E745" t="s">
        <v>45</v>
      </c>
      <c r="F745" t="s">
        <v>46</v>
      </c>
      <c r="G745" t="s">
        <v>47</v>
      </c>
      <c r="H745" s="1">
        <v>44643</v>
      </c>
      <c r="I745" t="s">
        <v>851</v>
      </c>
      <c r="J745" t="s">
        <v>98</v>
      </c>
      <c r="K745" t="s">
        <v>117</v>
      </c>
      <c r="L745" s="2" t="s">
        <v>134</v>
      </c>
    </row>
    <row r="746" spans="1:12" x14ac:dyDescent="0.3">
      <c r="A746" t="s">
        <v>850</v>
      </c>
      <c r="B746">
        <v>717</v>
      </c>
      <c r="C746">
        <v>158</v>
      </c>
      <c r="D746">
        <v>16</v>
      </c>
      <c r="E746" t="s">
        <v>45</v>
      </c>
      <c r="F746" t="s">
        <v>46</v>
      </c>
      <c r="G746" t="s">
        <v>47</v>
      </c>
      <c r="H746" s="1">
        <v>44006</v>
      </c>
      <c r="I746" t="s">
        <v>852</v>
      </c>
      <c r="J746" t="s">
        <v>17</v>
      </c>
      <c r="K746" t="s">
        <v>18</v>
      </c>
      <c r="L746" s="2" t="s">
        <v>313</v>
      </c>
    </row>
    <row r="747" spans="1:12" x14ac:dyDescent="0.3">
      <c r="A747" t="s">
        <v>850</v>
      </c>
      <c r="B747">
        <v>717</v>
      </c>
      <c r="C747">
        <v>158</v>
      </c>
      <c r="D747">
        <v>16</v>
      </c>
      <c r="E747" t="s">
        <v>45</v>
      </c>
      <c r="F747" t="s">
        <v>46</v>
      </c>
      <c r="G747" t="s">
        <v>47</v>
      </c>
      <c r="H747" s="1">
        <v>44918</v>
      </c>
      <c r="I747" t="s">
        <v>853</v>
      </c>
      <c r="J747" t="s">
        <v>25</v>
      </c>
      <c r="K747" t="s">
        <v>26</v>
      </c>
      <c r="L747" s="2" t="s">
        <v>152</v>
      </c>
    </row>
    <row r="748" spans="1:12" x14ac:dyDescent="0.3">
      <c r="A748" t="s">
        <v>850</v>
      </c>
      <c r="B748">
        <v>717</v>
      </c>
      <c r="C748">
        <v>158</v>
      </c>
      <c r="D748">
        <v>16</v>
      </c>
      <c r="E748" t="s">
        <v>45</v>
      </c>
      <c r="F748" t="s">
        <v>46</v>
      </c>
      <c r="G748" t="s">
        <v>47</v>
      </c>
      <c r="H748" s="1">
        <v>45620</v>
      </c>
      <c r="I748" t="s">
        <v>854</v>
      </c>
      <c r="J748" t="s">
        <v>25</v>
      </c>
      <c r="K748" t="s">
        <v>51</v>
      </c>
      <c r="L748" s="2" t="s">
        <v>255</v>
      </c>
    </row>
    <row r="749" spans="1:12" x14ac:dyDescent="0.3">
      <c r="A749" t="s">
        <v>850</v>
      </c>
      <c r="B749">
        <v>717</v>
      </c>
      <c r="C749">
        <v>158</v>
      </c>
      <c r="D749">
        <v>16</v>
      </c>
      <c r="E749" t="s">
        <v>45</v>
      </c>
      <c r="F749" t="s">
        <v>46</v>
      </c>
      <c r="G749" t="s">
        <v>47</v>
      </c>
      <c r="H749" s="1">
        <v>44141</v>
      </c>
      <c r="I749" t="s">
        <v>855</v>
      </c>
      <c r="J749" t="s">
        <v>17</v>
      </c>
      <c r="K749" t="s">
        <v>34</v>
      </c>
      <c r="L749" s="2" t="s">
        <v>80</v>
      </c>
    </row>
    <row r="750" spans="1:12" x14ac:dyDescent="0.3">
      <c r="A750" t="s">
        <v>850</v>
      </c>
      <c r="B750">
        <v>717</v>
      </c>
      <c r="C750">
        <v>158</v>
      </c>
      <c r="D750">
        <v>16</v>
      </c>
      <c r="E750" t="s">
        <v>45</v>
      </c>
      <c r="F750" t="s">
        <v>46</v>
      </c>
      <c r="G750" t="s">
        <v>47</v>
      </c>
      <c r="H750" s="1">
        <v>45223</v>
      </c>
      <c r="I750" t="s">
        <v>856</v>
      </c>
      <c r="J750" t="s">
        <v>25</v>
      </c>
      <c r="K750" t="s">
        <v>68</v>
      </c>
      <c r="L750" s="2" t="s">
        <v>442</v>
      </c>
    </row>
    <row r="751" spans="1:12" x14ac:dyDescent="0.3">
      <c r="A751" t="s">
        <v>850</v>
      </c>
      <c r="B751">
        <v>508</v>
      </c>
      <c r="C751">
        <v>177</v>
      </c>
      <c r="D751">
        <v>17</v>
      </c>
      <c r="E751" t="s">
        <v>45</v>
      </c>
      <c r="F751" t="s">
        <v>60</v>
      </c>
      <c r="G751" t="s">
        <v>15</v>
      </c>
      <c r="H751" s="1">
        <v>44643</v>
      </c>
      <c r="I751" t="s">
        <v>851</v>
      </c>
      <c r="J751" t="s">
        <v>98</v>
      </c>
      <c r="K751" t="s">
        <v>117</v>
      </c>
      <c r="L751" s="2" t="s">
        <v>134</v>
      </c>
    </row>
    <row r="752" spans="1:12" x14ac:dyDescent="0.3">
      <c r="A752" t="s">
        <v>850</v>
      </c>
      <c r="B752">
        <v>508</v>
      </c>
      <c r="C752">
        <v>177</v>
      </c>
      <c r="D752">
        <v>17</v>
      </c>
      <c r="E752" t="s">
        <v>45</v>
      </c>
      <c r="F752" t="s">
        <v>60</v>
      </c>
      <c r="G752" t="s">
        <v>15</v>
      </c>
      <c r="H752" s="1">
        <v>44006</v>
      </c>
      <c r="I752" t="s">
        <v>852</v>
      </c>
      <c r="J752" t="s">
        <v>17</v>
      </c>
      <c r="K752" t="s">
        <v>18</v>
      </c>
      <c r="L752" s="2" t="s">
        <v>313</v>
      </c>
    </row>
    <row r="753" spans="1:12" x14ac:dyDescent="0.3">
      <c r="A753" t="s">
        <v>850</v>
      </c>
      <c r="B753">
        <v>508</v>
      </c>
      <c r="C753">
        <v>177</v>
      </c>
      <c r="D753">
        <v>17</v>
      </c>
      <c r="E753" t="s">
        <v>45</v>
      </c>
      <c r="F753" t="s">
        <v>60</v>
      </c>
      <c r="G753" t="s">
        <v>15</v>
      </c>
      <c r="H753" s="1">
        <v>44918</v>
      </c>
      <c r="I753" t="s">
        <v>853</v>
      </c>
      <c r="J753" t="s">
        <v>25</v>
      </c>
      <c r="K753" t="s">
        <v>26</v>
      </c>
      <c r="L753" s="2" t="s">
        <v>152</v>
      </c>
    </row>
    <row r="754" spans="1:12" x14ac:dyDescent="0.3">
      <c r="A754" t="s">
        <v>850</v>
      </c>
      <c r="B754">
        <v>508</v>
      </c>
      <c r="C754">
        <v>177</v>
      </c>
      <c r="D754">
        <v>17</v>
      </c>
      <c r="E754" t="s">
        <v>45</v>
      </c>
      <c r="F754" t="s">
        <v>60</v>
      </c>
      <c r="G754" t="s">
        <v>15</v>
      </c>
      <c r="H754" s="1">
        <v>45620</v>
      </c>
      <c r="I754" t="s">
        <v>854</v>
      </c>
      <c r="J754" t="s">
        <v>25</v>
      </c>
      <c r="K754" t="s">
        <v>51</v>
      </c>
      <c r="L754" s="2" t="s">
        <v>255</v>
      </c>
    </row>
    <row r="755" spans="1:12" x14ac:dyDescent="0.3">
      <c r="A755" t="s">
        <v>850</v>
      </c>
      <c r="B755">
        <v>508</v>
      </c>
      <c r="C755">
        <v>177</v>
      </c>
      <c r="D755">
        <v>17</v>
      </c>
      <c r="E755" t="s">
        <v>45</v>
      </c>
      <c r="F755" t="s">
        <v>60</v>
      </c>
      <c r="G755" t="s">
        <v>15</v>
      </c>
      <c r="H755" s="1">
        <v>44141</v>
      </c>
      <c r="I755" t="s">
        <v>855</v>
      </c>
      <c r="J755" t="s">
        <v>17</v>
      </c>
      <c r="K755" t="s">
        <v>34</v>
      </c>
      <c r="L755" s="2" t="s">
        <v>80</v>
      </c>
    </row>
    <row r="756" spans="1:12" x14ac:dyDescent="0.3">
      <c r="A756" t="s">
        <v>850</v>
      </c>
      <c r="B756">
        <v>508</v>
      </c>
      <c r="C756">
        <v>177</v>
      </c>
      <c r="D756">
        <v>17</v>
      </c>
      <c r="E756" t="s">
        <v>45</v>
      </c>
      <c r="F756" t="s">
        <v>60</v>
      </c>
      <c r="G756" t="s">
        <v>15</v>
      </c>
      <c r="H756" s="1">
        <v>45223</v>
      </c>
      <c r="I756" t="s">
        <v>856</v>
      </c>
      <c r="J756" t="s">
        <v>25</v>
      </c>
      <c r="K756" t="s">
        <v>68</v>
      </c>
      <c r="L756" s="2" t="s">
        <v>442</v>
      </c>
    </row>
    <row r="757" spans="1:12" x14ac:dyDescent="0.3">
      <c r="A757" t="s">
        <v>857</v>
      </c>
      <c r="B757">
        <v>9382</v>
      </c>
      <c r="C757">
        <v>1085</v>
      </c>
      <c r="D757">
        <v>3</v>
      </c>
      <c r="E757" t="s">
        <v>13</v>
      </c>
      <c r="F757" t="s">
        <v>28</v>
      </c>
      <c r="G757" t="s">
        <v>32</v>
      </c>
      <c r="H757" s="1">
        <v>45125</v>
      </c>
      <c r="I757" t="s">
        <v>858</v>
      </c>
      <c r="J757" t="s">
        <v>21</v>
      </c>
      <c r="K757" t="s">
        <v>22</v>
      </c>
      <c r="L757" s="2" t="s">
        <v>105</v>
      </c>
    </row>
    <row r="758" spans="1:12" x14ac:dyDescent="0.3">
      <c r="A758" t="s">
        <v>857</v>
      </c>
      <c r="B758">
        <v>9382</v>
      </c>
      <c r="C758">
        <v>1085</v>
      </c>
      <c r="D758">
        <v>3</v>
      </c>
      <c r="E758" t="s">
        <v>13</v>
      </c>
      <c r="F758" t="s">
        <v>28</v>
      </c>
      <c r="G758" t="s">
        <v>32</v>
      </c>
      <c r="H758" s="1">
        <v>44697</v>
      </c>
      <c r="I758" t="s">
        <v>859</v>
      </c>
      <c r="J758" t="s">
        <v>25</v>
      </c>
      <c r="K758" t="s">
        <v>68</v>
      </c>
      <c r="L758" s="2" t="s">
        <v>180</v>
      </c>
    </row>
    <row r="759" spans="1:12" x14ac:dyDescent="0.3">
      <c r="A759" t="s">
        <v>857</v>
      </c>
      <c r="B759">
        <v>4936</v>
      </c>
      <c r="C759">
        <v>576</v>
      </c>
      <c r="D759">
        <v>19</v>
      </c>
      <c r="E759" t="s">
        <v>45</v>
      </c>
      <c r="F759" t="s">
        <v>46</v>
      </c>
      <c r="G759" t="s">
        <v>65</v>
      </c>
      <c r="H759" s="1">
        <v>45125</v>
      </c>
      <c r="I759" t="s">
        <v>858</v>
      </c>
      <c r="J759" t="s">
        <v>21</v>
      </c>
      <c r="K759" t="s">
        <v>22</v>
      </c>
      <c r="L759" s="2" t="s">
        <v>105</v>
      </c>
    </row>
    <row r="760" spans="1:12" x14ac:dyDescent="0.3">
      <c r="A760" t="s">
        <v>857</v>
      </c>
      <c r="B760">
        <v>4936</v>
      </c>
      <c r="C760">
        <v>576</v>
      </c>
      <c r="D760">
        <v>19</v>
      </c>
      <c r="E760" t="s">
        <v>45</v>
      </c>
      <c r="F760" t="s">
        <v>46</v>
      </c>
      <c r="G760" t="s">
        <v>65</v>
      </c>
      <c r="H760" s="1">
        <v>44697</v>
      </c>
      <c r="I760" t="s">
        <v>859</v>
      </c>
      <c r="J760" t="s">
        <v>25</v>
      </c>
      <c r="K760" t="s">
        <v>68</v>
      </c>
      <c r="L760" s="2" t="s">
        <v>180</v>
      </c>
    </row>
    <row r="761" spans="1:12" x14ac:dyDescent="0.3">
      <c r="A761" t="s">
        <v>860</v>
      </c>
      <c r="B761">
        <v>2663</v>
      </c>
      <c r="C761">
        <v>64</v>
      </c>
      <c r="D761">
        <v>19</v>
      </c>
      <c r="E761" t="s">
        <v>45</v>
      </c>
      <c r="F761" t="s">
        <v>60</v>
      </c>
      <c r="G761" t="s">
        <v>65</v>
      </c>
      <c r="H761" s="1">
        <v>45459</v>
      </c>
      <c r="I761" t="s">
        <v>861</v>
      </c>
      <c r="J761" t="s">
        <v>42</v>
      </c>
      <c r="K761" t="s">
        <v>92</v>
      </c>
      <c r="L761" s="2" t="s">
        <v>262</v>
      </c>
    </row>
    <row r="762" spans="1:12" x14ac:dyDescent="0.3">
      <c r="A762" t="s">
        <v>860</v>
      </c>
      <c r="B762">
        <v>2663</v>
      </c>
      <c r="C762">
        <v>64</v>
      </c>
      <c r="D762">
        <v>19</v>
      </c>
      <c r="E762" t="s">
        <v>45</v>
      </c>
      <c r="F762" t="s">
        <v>60</v>
      </c>
      <c r="G762" t="s">
        <v>65</v>
      </c>
      <c r="H762" s="1">
        <v>44492</v>
      </c>
      <c r="I762" t="s">
        <v>862</v>
      </c>
      <c r="J762" t="s">
        <v>98</v>
      </c>
      <c r="K762" t="s">
        <v>117</v>
      </c>
      <c r="L762" s="2" t="s">
        <v>37</v>
      </c>
    </row>
    <row r="763" spans="1:12" x14ac:dyDescent="0.3">
      <c r="A763" t="s">
        <v>863</v>
      </c>
      <c r="B763">
        <v>5151</v>
      </c>
      <c r="C763">
        <v>1680</v>
      </c>
      <c r="D763">
        <v>5</v>
      </c>
      <c r="E763" t="s">
        <v>13</v>
      </c>
      <c r="F763" t="s">
        <v>28</v>
      </c>
      <c r="G763" t="s">
        <v>40</v>
      </c>
      <c r="H763" s="1">
        <v>44856</v>
      </c>
      <c r="I763" t="s">
        <v>864</v>
      </c>
      <c r="J763" t="s">
        <v>71</v>
      </c>
      <c r="K763" t="s">
        <v>138</v>
      </c>
      <c r="L763" s="2" t="s">
        <v>96</v>
      </c>
    </row>
    <row r="764" spans="1:12" x14ac:dyDescent="0.3">
      <c r="A764" t="s">
        <v>865</v>
      </c>
      <c r="B764">
        <v>2514</v>
      </c>
      <c r="C764">
        <v>95</v>
      </c>
      <c r="D764">
        <v>8</v>
      </c>
      <c r="E764" t="s">
        <v>30</v>
      </c>
      <c r="F764" t="s">
        <v>31</v>
      </c>
      <c r="G764" t="s">
        <v>15</v>
      </c>
      <c r="H764" s="1">
        <v>45124</v>
      </c>
      <c r="I764" t="s">
        <v>866</v>
      </c>
      <c r="J764" t="s">
        <v>25</v>
      </c>
      <c r="K764" t="s">
        <v>68</v>
      </c>
      <c r="L764" s="2" t="s">
        <v>105</v>
      </c>
    </row>
    <row r="765" spans="1:12" x14ac:dyDescent="0.3">
      <c r="A765" t="s">
        <v>867</v>
      </c>
      <c r="B765">
        <v>6129</v>
      </c>
      <c r="C765">
        <v>2976</v>
      </c>
      <c r="D765">
        <v>2</v>
      </c>
      <c r="E765" t="s">
        <v>13</v>
      </c>
      <c r="F765" t="s">
        <v>39</v>
      </c>
      <c r="G765" t="s">
        <v>40</v>
      </c>
      <c r="H765" s="1">
        <v>45712</v>
      </c>
      <c r="I765" t="s">
        <v>868</v>
      </c>
      <c r="J765" t="s">
        <v>25</v>
      </c>
      <c r="K765" t="s">
        <v>51</v>
      </c>
      <c r="L765" s="2" t="s">
        <v>73</v>
      </c>
    </row>
    <row r="766" spans="1:12" x14ac:dyDescent="0.3">
      <c r="A766" t="s">
        <v>867</v>
      </c>
      <c r="B766">
        <v>4395</v>
      </c>
      <c r="C766">
        <v>1663</v>
      </c>
      <c r="D766">
        <v>3</v>
      </c>
      <c r="E766" t="s">
        <v>45</v>
      </c>
      <c r="F766" t="s">
        <v>109</v>
      </c>
      <c r="G766" t="s">
        <v>65</v>
      </c>
      <c r="H766" s="1">
        <v>45712</v>
      </c>
      <c r="I766" t="s">
        <v>868</v>
      </c>
      <c r="J766" t="s">
        <v>25</v>
      </c>
      <c r="K766" t="s">
        <v>51</v>
      </c>
      <c r="L766" s="2" t="s">
        <v>73</v>
      </c>
    </row>
    <row r="767" spans="1:12" x14ac:dyDescent="0.3">
      <c r="A767" t="s">
        <v>869</v>
      </c>
      <c r="B767">
        <v>5393</v>
      </c>
      <c r="C767">
        <v>2642</v>
      </c>
      <c r="D767">
        <v>8</v>
      </c>
      <c r="E767" t="s">
        <v>45</v>
      </c>
      <c r="F767" t="s">
        <v>49</v>
      </c>
      <c r="G767" t="s">
        <v>15</v>
      </c>
      <c r="H767" s="1">
        <v>44262</v>
      </c>
      <c r="I767" t="s">
        <v>870</v>
      </c>
      <c r="J767" t="s">
        <v>98</v>
      </c>
      <c r="K767" t="s">
        <v>107</v>
      </c>
      <c r="L767" s="2" t="s">
        <v>167</v>
      </c>
    </row>
    <row r="768" spans="1:12" x14ac:dyDescent="0.3">
      <c r="A768" t="s">
        <v>871</v>
      </c>
      <c r="B768">
        <v>2280</v>
      </c>
      <c r="C768">
        <v>509</v>
      </c>
      <c r="D768">
        <v>8</v>
      </c>
      <c r="E768" t="s">
        <v>13</v>
      </c>
      <c r="F768" t="s">
        <v>82</v>
      </c>
      <c r="G768" t="s">
        <v>47</v>
      </c>
      <c r="H768" s="1">
        <v>44199</v>
      </c>
      <c r="I768" t="s">
        <v>872</v>
      </c>
      <c r="J768" t="s">
        <v>25</v>
      </c>
      <c r="K768" t="s">
        <v>26</v>
      </c>
      <c r="L768" s="2" t="s">
        <v>276</v>
      </c>
    </row>
    <row r="769" spans="1:12" x14ac:dyDescent="0.3">
      <c r="A769" t="s">
        <v>873</v>
      </c>
      <c r="B769">
        <v>6596</v>
      </c>
      <c r="C769">
        <v>1439</v>
      </c>
      <c r="D769">
        <v>9</v>
      </c>
      <c r="E769" t="s">
        <v>30</v>
      </c>
      <c r="F769" t="s">
        <v>64</v>
      </c>
      <c r="G769" t="s">
        <v>32</v>
      </c>
      <c r="H769" s="1">
        <v>45049</v>
      </c>
      <c r="I769" t="s">
        <v>874</v>
      </c>
      <c r="J769" t="s">
        <v>98</v>
      </c>
      <c r="K769" t="s">
        <v>107</v>
      </c>
      <c r="L769" s="2" t="s">
        <v>127</v>
      </c>
    </row>
    <row r="770" spans="1:12" x14ac:dyDescent="0.3">
      <c r="A770" t="s">
        <v>875</v>
      </c>
      <c r="B770">
        <v>4510</v>
      </c>
      <c r="C770">
        <v>1896</v>
      </c>
      <c r="D770">
        <v>5</v>
      </c>
      <c r="E770" t="s">
        <v>30</v>
      </c>
      <c r="F770" t="s">
        <v>64</v>
      </c>
      <c r="G770" t="s">
        <v>40</v>
      </c>
      <c r="H770" s="1">
        <v>45224</v>
      </c>
      <c r="I770" t="s">
        <v>876</v>
      </c>
      <c r="J770" t="s">
        <v>42</v>
      </c>
      <c r="K770" t="s">
        <v>43</v>
      </c>
      <c r="L770" s="2" t="s">
        <v>442</v>
      </c>
    </row>
    <row r="771" spans="1:12" x14ac:dyDescent="0.3">
      <c r="A771" t="s">
        <v>877</v>
      </c>
      <c r="B771">
        <v>6077</v>
      </c>
      <c r="C771">
        <v>2378</v>
      </c>
      <c r="D771">
        <v>18</v>
      </c>
      <c r="E771" t="s">
        <v>13</v>
      </c>
      <c r="F771" t="s">
        <v>82</v>
      </c>
      <c r="G771" t="s">
        <v>65</v>
      </c>
      <c r="H771" s="1">
        <v>44794</v>
      </c>
      <c r="I771" t="s">
        <v>878</v>
      </c>
      <c r="J771" t="s">
        <v>25</v>
      </c>
      <c r="K771" t="s">
        <v>51</v>
      </c>
      <c r="L771" s="2" t="s">
        <v>209</v>
      </c>
    </row>
    <row r="772" spans="1:12" x14ac:dyDescent="0.3">
      <c r="A772" t="s">
        <v>879</v>
      </c>
      <c r="B772">
        <v>5379</v>
      </c>
      <c r="C772">
        <v>2510</v>
      </c>
      <c r="D772">
        <v>17</v>
      </c>
      <c r="E772" t="s">
        <v>13</v>
      </c>
      <c r="F772" t="s">
        <v>28</v>
      </c>
      <c r="G772" t="s">
        <v>65</v>
      </c>
      <c r="H772" s="1">
        <v>44667</v>
      </c>
      <c r="I772" t="s">
        <v>880</v>
      </c>
      <c r="J772" t="s">
        <v>98</v>
      </c>
      <c r="K772" t="s">
        <v>99</v>
      </c>
      <c r="L772" s="2" t="s">
        <v>187</v>
      </c>
    </row>
    <row r="773" spans="1:12" x14ac:dyDescent="0.3">
      <c r="A773" t="s">
        <v>881</v>
      </c>
      <c r="B773">
        <v>4629</v>
      </c>
      <c r="C773">
        <v>1660</v>
      </c>
      <c r="D773">
        <v>16</v>
      </c>
      <c r="E773" t="s">
        <v>30</v>
      </c>
      <c r="F773" t="s">
        <v>57</v>
      </c>
      <c r="G773" t="s">
        <v>40</v>
      </c>
      <c r="H773" s="1">
        <v>45018</v>
      </c>
      <c r="I773" t="s">
        <v>882</v>
      </c>
      <c r="J773" t="s">
        <v>42</v>
      </c>
      <c r="K773" t="s">
        <v>75</v>
      </c>
      <c r="L773" s="2" t="s">
        <v>145</v>
      </c>
    </row>
    <row r="774" spans="1:12" x14ac:dyDescent="0.3">
      <c r="A774" t="s">
        <v>883</v>
      </c>
      <c r="B774">
        <v>2710</v>
      </c>
      <c r="C774">
        <v>555</v>
      </c>
      <c r="D774">
        <v>20</v>
      </c>
      <c r="E774" t="s">
        <v>13</v>
      </c>
      <c r="F774" t="s">
        <v>39</v>
      </c>
      <c r="G774" t="s">
        <v>32</v>
      </c>
      <c r="H774" s="1">
        <v>45586</v>
      </c>
      <c r="I774" t="s">
        <v>884</v>
      </c>
      <c r="J774" t="s">
        <v>21</v>
      </c>
      <c r="K774" t="s">
        <v>22</v>
      </c>
      <c r="L774" s="2" t="s">
        <v>360</v>
      </c>
    </row>
    <row r="775" spans="1:12" x14ac:dyDescent="0.3">
      <c r="A775" t="s">
        <v>883</v>
      </c>
      <c r="B775">
        <v>3224</v>
      </c>
      <c r="C775">
        <v>1018</v>
      </c>
      <c r="D775">
        <v>14</v>
      </c>
      <c r="E775" t="s">
        <v>30</v>
      </c>
      <c r="F775" t="s">
        <v>78</v>
      </c>
      <c r="G775" t="s">
        <v>15</v>
      </c>
      <c r="H775" s="1">
        <v>45586</v>
      </c>
      <c r="I775" t="s">
        <v>884</v>
      </c>
      <c r="J775" t="s">
        <v>21</v>
      </c>
      <c r="K775" t="s">
        <v>22</v>
      </c>
      <c r="L775" s="2" t="s">
        <v>360</v>
      </c>
    </row>
    <row r="776" spans="1:12" x14ac:dyDescent="0.3">
      <c r="A776" t="s">
        <v>885</v>
      </c>
      <c r="B776">
        <v>8042</v>
      </c>
      <c r="C776">
        <v>936</v>
      </c>
      <c r="D776">
        <v>15</v>
      </c>
      <c r="E776" t="s">
        <v>30</v>
      </c>
      <c r="F776" t="s">
        <v>57</v>
      </c>
      <c r="G776" t="s">
        <v>40</v>
      </c>
      <c r="H776" s="1">
        <v>44386</v>
      </c>
      <c r="I776" t="s">
        <v>886</v>
      </c>
      <c r="J776" t="s">
        <v>21</v>
      </c>
      <c r="K776" t="s">
        <v>63</v>
      </c>
      <c r="L776" s="2" t="s">
        <v>27</v>
      </c>
    </row>
    <row r="777" spans="1:12" x14ac:dyDescent="0.3">
      <c r="A777" t="s">
        <v>885</v>
      </c>
      <c r="B777">
        <v>8042</v>
      </c>
      <c r="C777">
        <v>936</v>
      </c>
      <c r="D777">
        <v>15</v>
      </c>
      <c r="E777" t="s">
        <v>30</v>
      </c>
      <c r="F777" t="s">
        <v>57</v>
      </c>
      <c r="G777" t="s">
        <v>40</v>
      </c>
      <c r="H777" s="1">
        <v>44659</v>
      </c>
      <c r="I777" t="s">
        <v>887</v>
      </c>
      <c r="J777" t="s">
        <v>42</v>
      </c>
      <c r="K777" t="s">
        <v>43</v>
      </c>
      <c r="L777" s="2" t="s">
        <v>187</v>
      </c>
    </row>
    <row r="778" spans="1:12" x14ac:dyDescent="0.3">
      <c r="A778" t="s">
        <v>888</v>
      </c>
      <c r="B778">
        <v>3957</v>
      </c>
      <c r="C778">
        <v>151</v>
      </c>
      <c r="D778">
        <v>10</v>
      </c>
      <c r="E778" t="s">
        <v>30</v>
      </c>
      <c r="F778" t="s">
        <v>78</v>
      </c>
      <c r="G778" t="s">
        <v>40</v>
      </c>
      <c r="H778" s="1">
        <v>44681</v>
      </c>
      <c r="I778" t="s">
        <v>889</v>
      </c>
      <c r="J778" t="s">
        <v>71</v>
      </c>
      <c r="K778" t="s">
        <v>86</v>
      </c>
      <c r="L778" s="2" t="s">
        <v>187</v>
      </c>
    </row>
    <row r="779" spans="1:12" x14ac:dyDescent="0.3">
      <c r="A779" t="s">
        <v>890</v>
      </c>
      <c r="B779">
        <v>8769</v>
      </c>
      <c r="C779">
        <v>3178</v>
      </c>
      <c r="D779">
        <v>16</v>
      </c>
      <c r="E779" t="s">
        <v>30</v>
      </c>
      <c r="F779" t="s">
        <v>57</v>
      </c>
      <c r="G779" t="s">
        <v>32</v>
      </c>
      <c r="H779" s="1">
        <v>44946</v>
      </c>
      <c r="I779" t="s">
        <v>891</v>
      </c>
      <c r="J779" t="s">
        <v>21</v>
      </c>
      <c r="K779" t="s">
        <v>22</v>
      </c>
      <c r="L779" s="2" t="s">
        <v>333</v>
      </c>
    </row>
    <row r="780" spans="1:12" x14ac:dyDescent="0.3">
      <c r="A780" t="s">
        <v>892</v>
      </c>
      <c r="B780">
        <v>2957</v>
      </c>
      <c r="C780">
        <v>917</v>
      </c>
      <c r="D780">
        <v>16</v>
      </c>
      <c r="E780" t="s">
        <v>30</v>
      </c>
      <c r="F780" t="s">
        <v>31</v>
      </c>
      <c r="G780" t="s">
        <v>32</v>
      </c>
      <c r="H780" s="1">
        <v>45613</v>
      </c>
      <c r="I780" t="s">
        <v>893</v>
      </c>
      <c r="J780" t="s">
        <v>21</v>
      </c>
      <c r="K780" t="s">
        <v>22</v>
      </c>
      <c r="L780" s="2" t="s">
        <v>255</v>
      </c>
    </row>
    <row r="781" spans="1:12" x14ac:dyDescent="0.3">
      <c r="A781" t="s">
        <v>894</v>
      </c>
      <c r="B781">
        <v>5344</v>
      </c>
      <c r="C781">
        <v>2607</v>
      </c>
      <c r="D781">
        <v>6</v>
      </c>
      <c r="E781" t="s">
        <v>30</v>
      </c>
      <c r="F781" t="s">
        <v>64</v>
      </c>
      <c r="G781" t="s">
        <v>32</v>
      </c>
      <c r="H781" s="1">
        <v>44674</v>
      </c>
      <c r="I781" t="s">
        <v>895</v>
      </c>
      <c r="J781" t="s">
        <v>71</v>
      </c>
      <c r="K781" t="s">
        <v>72</v>
      </c>
      <c r="L781" s="2" t="s">
        <v>187</v>
      </c>
    </row>
    <row r="782" spans="1:12" x14ac:dyDescent="0.3">
      <c r="A782" t="s">
        <v>894</v>
      </c>
      <c r="B782">
        <v>5344</v>
      </c>
      <c r="C782">
        <v>2607</v>
      </c>
      <c r="D782">
        <v>6</v>
      </c>
      <c r="E782" t="s">
        <v>30</v>
      </c>
      <c r="F782" t="s">
        <v>64</v>
      </c>
      <c r="G782" t="s">
        <v>32</v>
      </c>
      <c r="H782" s="1">
        <v>45706</v>
      </c>
      <c r="I782" t="s">
        <v>896</v>
      </c>
      <c r="J782" t="s">
        <v>25</v>
      </c>
      <c r="K782" t="s">
        <v>68</v>
      </c>
      <c r="L782" s="2" t="s">
        <v>73</v>
      </c>
    </row>
    <row r="783" spans="1:12" x14ac:dyDescent="0.3">
      <c r="A783" t="s">
        <v>897</v>
      </c>
      <c r="B783">
        <v>6061</v>
      </c>
      <c r="C783">
        <v>2121</v>
      </c>
      <c r="D783">
        <v>19</v>
      </c>
      <c r="E783" t="s">
        <v>13</v>
      </c>
      <c r="F783" t="s">
        <v>39</v>
      </c>
      <c r="G783" t="s">
        <v>40</v>
      </c>
      <c r="H783" s="1">
        <v>44343</v>
      </c>
      <c r="I783" t="s">
        <v>898</v>
      </c>
      <c r="J783" t="s">
        <v>98</v>
      </c>
      <c r="K783" t="s">
        <v>117</v>
      </c>
      <c r="L783" s="2" t="s">
        <v>108</v>
      </c>
    </row>
    <row r="784" spans="1:12" x14ac:dyDescent="0.3">
      <c r="A784" t="s">
        <v>897</v>
      </c>
      <c r="B784">
        <v>6061</v>
      </c>
      <c r="C784">
        <v>2121</v>
      </c>
      <c r="D784">
        <v>19</v>
      </c>
      <c r="E784" t="s">
        <v>13</v>
      </c>
      <c r="F784" t="s">
        <v>39</v>
      </c>
      <c r="G784" t="s">
        <v>40</v>
      </c>
      <c r="H784" s="1">
        <v>44578</v>
      </c>
      <c r="I784" t="s">
        <v>899</v>
      </c>
      <c r="J784" t="s">
        <v>42</v>
      </c>
      <c r="K784" t="s">
        <v>75</v>
      </c>
      <c r="L784" s="2" t="s">
        <v>87</v>
      </c>
    </row>
    <row r="785" spans="1:12" x14ac:dyDescent="0.3">
      <c r="A785" t="s">
        <v>900</v>
      </c>
      <c r="B785">
        <v>5376</v>
      </c>
      <c r="C785">
        <v>1928</v>
      </c>
      <c r="D785">
        <v>7</v>
      </c>
      <c r="E785" t="s">
        <v>45</v>
      </c>
      <c r="F785" t="s">
        <v>46</v>
      </c>
      <c r="G785" t="s">
        <v>47</v>
      </c>
      <c r="H785" s="1">
        <v>45672</v>
      </c>
      <c r="I785" t="s">
        <v>901</v>
      </c>
      <c r="J785" t="s">
        <v>25</v>
      </c>
      <c r="K785" t="s">
        <v>51</v>
      </c>
      <c r="L785" s="2" t="s">
        <v>308</v>
      </c>
    </row>
    <row r="786" spans="1:12" x14ac:dyDescent="0.3">
      <c r="A786" t="s">
        <v>902</v>
      </c>
      <c r="B786">
        <v>2792</v>
      </c>
      <c r="C786">
        <v>1008</v>
      </c>
      <c r="D786">
        <v>8</v>
      </c>
      <c r="E786" t="s">
        <v>13</v>
      </c>
      <c r="F786" t="s">
        <v>28</v>
      </c>
      <c r="G786" t="s">
        <v>65</v>
      </c>
      <c r="H786" s="1">
        <v>44241</v>
      </c>
      <c r="I786" t="s">
        <v>903</v>
      </c>
      <c r="J786" t="s">
        <v>17</v>
      </c>
      <c r="K786" t="s">
        <v>18</v>
      </c>
      <c r="L786" s="2" t="s">
        <v>292</v>
      </c>
    </row>
    <row r="787" spans="1:12" x14ac:dyDescent="0.3">
      <c r="A787" t="s">
        <v>904</v>
      </c>
      <c r="B787">
        <v>2944</v>
      </c>
      <c r="C787">
        <v>249</v>
      </c>
      <c r="D787">
        <v>5</v>
      </c>
      <c r="E787" t="s">
        <v>30</v>
      </c>
      <c r="F787" t="s">
        <v>78</v>
      </c>
      <c r="G787" t="s">
        <v>47</v>
      </c>
      <c r="H787" s="1">
        <v>45535</v>
      </c>
      <c r="I787" t="s">
        <v>905</v>
      </c>
      <c r="J787" t="s">
        <v>98</v>
      </c>
      <c r="K787" t="s">
        <v>99</v>
      </c>
      <c r="L787" s="2" t="s">
        <v>114</v>
      </c>
    </row>
    <row r="788" spans="1:12" x14ac:dyDescent="0.3">
      <c r="A788" t="s">
        <v>904</v>
      </c>
      <c r="B788">
        <v>2944</v>
      </c>
      <c r="C788">
        <v>249</v>
      </c>
      <c r="D788">
        <v>5</v>
      </c>
      <c r="E788" t="s">
        <v>30</v>
      </c>
      <c r="F788" t="s">
        <v>78</v>
      </c>
      <c r="G788" t="s">
        <v>47</v>
      </c>
      <c r="H788" s="1">
        <v>44921</v>
      </c>
      <c r="I788" t="s">
        <v>906</v>
      </c>
      <c r="J788" t="s">
        <v>71</v>
      </c>
      <c r="K788" t="s">
        <v>72</v>
      </c>
      <c r="L788" s="2" t="s">
        <v>152</v>
      </c>
    </row>
    <row r="789" spans="1:12" x14ac:dyDescent="0.3">
      <c r="A789" t="s">
        <v>907</v>
      </c>
      <c r="B789">
        <v>4220</v>
      </c>
      <c r="C789">
        <v>945</v>
      </c>
      <c r="D789">
        <v>13</v>
      </c>
      <c r="E789" t="s">
        <v>30</v>
      </c>
      <c r="F789" t="s">
        <v>57</v>
      </c>
      <c r="G789" t="s">
        <v>40</v>
      </c>
      <c r="H789" s="1">
        <v>45372</v>
      </c>
      <c r="I789" t="s">
        <v>908</v>
      </c>
      <c r="J789" t="s">
        <v>21</v>
      </c>
      <c r="K789" t="s">
        <v>63</v>
      </c>
      <c r="L789" s="2" t="s">
        <v>338</v>
      </c>
    </row>
    <row r="790" spans="1:12" x14ac:dyDescent="0.3">
      <c r="A790" t="s">
        <v>907</v>
      </c>
      <c r="B790">
        <v>4220</v>
      </c>
      <c r="C790">
        <v>945</v>
      </c>
      <c r="D790">
        <v>13</v>
      </c>
      <c r="E790" t="s">
        <v>30</v>
      </c>
      <c r="F790" t="s">
        <v>57</v>
      </c>
      <c r="G790" t="s">
        <v>40</v>
      </c>
      <c r="H790" s="1">
        <v>44180</v>
      </c>
      <c r="I790" t="s">
        <v>909</v>
      </c>
      <c r="J790" t="s">
        <v>21</v>
      </c>
      <c r="K790" t="s">
        <v>172</v>
      </c>
      <c r="L790" s="2" t="s">
        <v>287</v>
      </c>
    </row>
    <row r="791" spans="1:12" x14ac:dyDescent="0.3">
      <c r="A791" t="s">
        <v>910</v>
      </c>
      <c r="B791">
        <v>8526</v>
      </c>
      <c r="C791">
        <v>1704</v>
      </c>
      <c r="D791">
        <v>4</v>
      </c>
      <c r="E791" t="s">
        <v>30</v>
      </c>
      <c r="F791" t="s">
        <v>78</v>
      </c>
      <c r="G791" t="s">
        <v>32</v>
      </c>
      <c r="H791" s="1">
        <v>45006</v>
      </c>
      <c r="I791" t="s">
        <v>911</v>
      </c>
      <c r="J791" t="s">
        <v>71</v>
      </c>
      <c r="K791" t="s">
        <v>86</v>
      </c>
      <c r="L791" s="2" t="s">
        <v>245</v>
      </c>
    </row>
    <row r="792" spans="1:12" x14ac:dyDescent="0.3">
      <c r="A792" t="s">
        <v>912</v>
      </c>
      <c r="B792">
        <v>8218</v>
      </c>
      <c r="C792">
        <v>1430</v>
      </c>
      <c r="D792">
        <v>19</v>
      </c>
      <c r="E792" t="s">
        <v>45</v>
      </c>
      <c r="F792" t="s">
        <v>109</v>
      </c>
      <c r="G792" t="s">
        <v>47</v>
      </c>
      <c r="H792" s="1">
        <v>45085</v>
      </c>
      <c r="I792" t="s">
        <v>913</v>
      </c>
      <c r="J792" t="s">
        <v>42</v>
      </c>
      <c r="K792" t="s">
        <v>92</v>
      </c>
      <c r="L792" s="2" t="s">
        <v>19</v>
      </c>
    </row>
    <row r="793" spans="1:12" x14ac:dyDescent="0.3">
      <c r="A793" t="s">
        <v>914</v>
      </c>
      <c r="B793">
        <v>599</v>
      </c>
      <c r="C793">
        <v>265</v>
      </c>
      <c r="D793">
        <v>4</v>
      </c>
      <c r="E793" t="s">
        <v>13</v>
      </c>
      <c r="F793" t="s">
        <v>82</v>
      </c>
      <c r="G793" t="s">
        <v>47</v>
      </c>
      <c r="H793" s="1">
        <v>44759</v>
      </c>
      <c r="I793" t="s">
        <v>915</v>
      </c>
      <c r="J793" t="s">
        <v>25</v>
      </c>
      <c r="K793" t="s">
        <v>26</v>
      </c>
      <c r="L793" s="2" t="s">
        <v>418</v>
      </c>
    </row>
    <row r="794" spans="1:12" x14ac:dyDescent="0.3">
      <c r="A794" t="s">
        <v>914</v>
      </c>
      <c r="B794">
        <v>599</v>
      </c>
      <c r="C794">
        <v>265</v>
      </c>
      <c r="D794">
        <v>4</v>
      </c>
      <c r="E794" t="s">
        <v>13</v>
      </c>
      <c r="F794" t="s">
        <v>82</v>
      </c>
      <c r="G794" t="s">
        <v>47</v>
      </c>
      <c r="H794" s="1">
        <v>45631</v>
      </c>
      <c r="I794" t="s">
        <v>916</v>
      </c>
      <c r="J794" t="s">
        <v>25</v>
      </c>
      <c r="K794" t="s">
        <v>68</v>
      </c>
      <c r="L794" s="2" t="s">
        <v>23</v>
      </c>
    </row>
    <row r="795" spans="1:12" x14ac:dyDescent="0.3">
      <c r="A795" t="s">
        <v>914</v>
      </c>
      <c r="B795">
        <v>2727</v>
      </c>
      <c r="C795">
        <v>543</v>
      </c>
      <c r="D795">
        <v>10</v>
      </c>
      <c r="E795" t="s">
        <v>45</v>
      </c>
      <c r="F795" t="s">
        <v>109</v>
      </c>
      <c r="G795" t="s">
        <v>47</v>
      </c>
      <c r="H795" s="1">
        <v>44759</v>
      </c>
      <c r="I795" t="s">
        <v>915</v>
      </c>
      <c r="J795" t="s">
        <v>25</v>
      </c>
      <c r="K795" t="s">
        <v>26</v>
      </c>
      <c r="L795" s="2" t="s">
        <v>418</v>
      </c>
    </row>
    <row r="796" spans="1:12" x14ac:dyDescent="0.3">
      <c r="A796" t="s">
        <v>914</v>
      </c>
      <c r="B796">
        <v>2727</v>
      </c>
      <c r="C796">
        <v>543</v>
      </c>
      <c r="D796">
        <v>10</v>
      </c>
      <c r="E796" t="s">
        <v>45</v>
      </c>
      <c r="F796" t="s">
        <v>109</v>
      </c>
      <c r="G796" t="s">
        <v>47</v>
      </c>
      <c r="H796" s="1">
        <v>45631</v>
      </c>
      <c r="I796" t="s">
        <v>916</v>
      </c>
      <c r="J796" t="s">
        <v>25</v>
      </c>
      <c r="K796" t="s">
        <v>68</v>
      </c>
      <c r="L796" s="2" t="s">
        <v>23</v>
      </c>
    </row>
    <row r="797" spans="1:12" x14ac:dyDescent="0.3">
      <c r="A797" t="s">
        <v>917</v>
      </c>
      <c r="B797">
        <v>2589</v>
      </c>
      <c r="C797">
        <v>605</v>
      </c>
      <c r="D797">
        <v>11</v>
      </c>
      <c r="E797" t="s">
        <v>30</v>
      </c>
      <c r="F797" t="s">
        <v>31</v>
      </c>
      <c r="G797" t="s">
        <v>40</v>
      </c>
      <c r="H797" s="1">
        <v>45232</v>
      </c>
      <c r="I797" t="s">
        <v>918</v>
      </c>
      <c r="J797" t="s">
        <v>42</v>
      </c>
      <c r="K797" t="s">
        <v>92</v>
      </c>
      <c r="L797" s="2" t="s">
        <v>52</v>
      </c>
    </row>
    <row r="798" spans="1:12" x14ac:dyDescent="0.3">
      <c r="A798" t="s">
        <v>917</v>
      </c>
      <c r="B798">
        <v>2589</v>
      </c>
      <c r="C798">
        <v>605</v>
      </c>
      <c r="D798">
        <v>11</v>
      </c>
      <c r="E798" t="s">
        <v>30</v>
      </c>
      <c r="F798" t="s">
        <v>31</v>
      </c>
      <c r="G798" t="s">
        <v>40</v>
      </c>
      <c r="H798" s="1">
        <v>45570</v>
      </c>
      <c r="I798" t="s">
        <v>919</v>
      </c>
      <c r="J798" t="s">
        <v>98</v>
      </c>
      <c r="K798" t="s">
        <v>117</v>
      </c>
      <c r="L798" s="2" t="s">
        <v>360</v>
      </c>
    </row>
    <row r="799" spans="1:12" x14ac:dyDescent="0.3">
      <c r="A799" t="s">
        <v>920</v>
      </c>
      <c r="B799">
        <v>3776</v>
      </c>
      <c r="C799">
        <v>1100</v>
      </c>
      <c r="D799">
        <v>9</v>
      </c>
      <c r="E799" t="s">
        <v>13</v>
      </c>
      <c r="F799" t="s">
        <v>14</v>
      </c>
      <c r="G799" t="s">
        <v>40</v>
      </c>
      <c r="H799" s="1">
        <v>44878</v>
      </c>
      <c r="I799" t="s">
        <v>921</v>
      </c>
      <c r="J799" t="s">
        <v>71</v>
      </c>
      <c r="K799" t="s">
        <v>86</v>
      </c>
      <c r="L799" s="2" t="s">
        <v>44</v>
      </c>
    </row>
    <row r="800" spans="1:12" x14ac:dyDescent="0.3">
      <c r="A800" t="s">
        <v>920</v>
      </c>
      <c r="B800">
        <v>3776</v>
      </c>
      <c r="C800">
        <v>1100</v>
      </c>
      <c r="D800">
        <v>9</v>
      </c>
      <c r="E800" t="s">
        <v>13</v>
      </c>
      <c r="F800" t="s">
        <v>14</v>
      </c>
      <c r="G800" t="s">
        <v>40</v>
      </c>
      <c r="H800" s="1">
        <v>44923</v>
      </c>
      <c r="I800" t="s">
        <v>922</v>
      </c>
      <c r="J800" t="s">
        <v>21</v>
      </c>
      <c r="K800" t="s">
        <v>172</v>
      </c>
      <c r="L800" s="2" t="s">
        <v>152</v>
      </c>
    </row>
    <row r="801" spans="1:12" x14ac:dyDescent="0.3">
      <c r="A801" t="s">
        <v>923</v>
      </c>
      <c r="B801">
        <v>5402</v>
      </c>
      <c r="C801">
        <v>1666</v>
      </c>
      <c r="D801">
        <v>12</v>
      </c>
      <c r="E801" t="s">
        <v>45</v>
      </c>
      <c r="F801" t="s">
        <v>109</v>
      </c>
      <c r="G801" t="s">
        <v>40</v>
      </c>
      <c r="H801" s="1">
        <v>45714</v>
      </c>
      <c r="I801" t="s">
        <v>924</v>
      </c>
      <c r="J801" t="s">
        <v>98</v>
      </c>
      <c r="K801" t="s">
        <v>117</v>
      </c>
      <c r="L801" s="2" t="s">
        <v>73</v>
      </c>
    </row>
    <row r="802" spans="1:12" x14ac:dyDescent="0.3">
      <c r="A802" t="s">
        <v>925</v>
      </c>
      <c r="B802">
        <v>5165</v>
      </c>
      <c r="C802">
        <v>885</v>
      </c>
      <c r="D802">
        <v>16</v>
      </c>
      <c r="E802" t="s">
        <v>30</v>
      </c>
      <c r="F802" t="s">
        <v>31</v>
      </c>
      <c r="G802" t="s">
        <v>40</v>
      </c>
      <c r="H802" s="1">
        <v>44877</v>
      </c>
      <c r="I802" t="s">
        <v>926</v>
      </c>
      <c r="J802" t="s">
        <v>21</v>
      </c>
      <c r="K802" t="s">
        <v>172</v>
      </c>
      <c r="L802" s="2" t="s">
        <v>44</v>
      </c>
    </row>
    <row r="803" spans="1:12" x14ac:dyDescent="0.3">
      <c r="A803" t="s">
        <v>925</v>
      </c>
      <c r="B803">
        <v>4863</v>
      </c>
      <c r="C803">
        <v>2394</v>
      </c>
      <c r="D803">
        <v>4</v>
      </c>
      <c r="E803" t="s">
        <v>45</v>
      </c>
      <c r="F803" t="s">
        <v>109</v>
      </c>
      <c r="G803" t="s">
        <v>40</v>
      </c>
      <c r="H803" s="1">
        <v>44877</v>
      </c>
      <c r="I803" t="s">
        <v>926</v>
      </c>
      <c r="J803" t="s">
        <v>21</v>
      </c>
      <c r="K803" t="s">
        <v>172</v>
      </c>
      <c r="L803" s="2" t="s">
        <v>44</v>
      </c>
    </row>
    <row r="804" spans="1:12" x14ac:dyDescent="0.3">
      <c r="A804" t="s">
        <v>927</v>
      </c>
      <c r="B804">
        <v>1626</v>
      </c>
      <c r="C804">
        <v>258</v>
      </c>
      <c r="D804">
        <v>15</v>
      </c>
      <c r="E804" t="s">
        <v>30</v>
      </c>
      <c r="F804" t="s">
        <v>31</v>
      </c>
      <c r="G804" t="s">
        <v>40</v>
      </c>
      <c r="H804" s="1">
        <v>44354</v>
      </c>
      <c r="I804" t="s">
        <v>928</v>
      </c>
      <c r="J804" t="s">
        <v>17</v>
      </c>
      <c r="K804" t="s">
        <v>34</v>
      </c>
      <c r="L804" s="2" t="s">
        <v>125</v>
      </c>
    </row>
    <row r="805" spans="1:12" x14ac:dyDescent="0.3">
      <c r="A805" t="s">
        <v>929</v>
      </c>
      <c r="B805">
        <v>8851</v>
      </c>
      <c r="C805">
        <v>3962</v>
      </c>
      <c r="D805">
        <v>7</v>
      </c>
      <c r="E805" t="s">
        <v>45</v>
      </c>
      <c r="F805" t="s">
        <v>46</v>
      </c>
      <c r="G805" t="s">
        <v>40</v>
      </c>
      <c r="H805" s="1">
        <v>44100</v>
      </c>
      <c r="I805" t="s">
        <v>930</v>
      </c>
      <c r="J805" t="s">
        <v>17</v>
      </c>
      <c r="K805" t="s">
        <v>18</v>
      </c>
      <c r="L805" s="2" t="s">
        <v>389</v>
      </c>
    </row>
    <row r="806" spans="1:12" x14ac:dyDescent="0.3">
      <c r="A806" t="s">
        <v>931</v>
      </c>
      <c r="B806">
        <v>9680</v>
      </c>
      <c r="C806">
        <v>3295</v>
      </c>
      <c r="D806">
        <v>9</v>
      </c>
      <c r="E806" t="s">
        <v>45</v>
      </c>
      <c r="F806" t="s">
        <v>46</v>
      </c>
      <c r="G806" t="s">
        <v>65</v>
      </c>
      <c r="H806" s="1">
        <v>45411</v>
      </c>
      <c r="I806" t="s">
        <v>932</v>
      </c>
      <c r="J806" t="s">
        <v>25</v>
      </c>
      <c r="K806" t="s">
        <v>68</v>
      </c>
      <c r="L806" s="2" t="s">
        <v>235</v>
      </c>
    </row>
    <row r="807" spans="1:12" x14ac:dyDescent="0.3">
      <c r="A807" t="s">
        <v>931</v>
      </c>
      <c r="B807">
        <v>8468</v>
      </c>
      <c r="C807">
        <v>3666</v>
      </c>
      <c r="D807">
        <v>8</v>
      </c>
      <c r="E807" t="s">
        <v>30</v>
      </c>
      <c r="F807" t="s">
        <v>31</v>
      </c>
      <c r="G807" t="s">
        <v>15</v>
      </c>
      <c r="H807" s="1">
        <v>45411</v>
      </c>
      <c r="I807" t="s">
        <v>932</v>
      </c>
      <c r="J807" t="s">
        <v>25</v>
      </c>
      <c r="K807" t="s">
        <v>68</v>
      </c>
      <c r="L807" s="2" t="s">
        <v>235</v>
      </c>
    </row>
    <row r="808" spans="1:12" x14ac:dyDescent="0.3">
      <c r="A808" t="s">
        <v>931</v>
      </c>
      <c r="B808">
        <v>4441</v>
      </c>
      <c r="C808">
        <v>314</v>
      </c>
      <c r="D808">
        <v>14</v>
      </c>
      <c r="E808" t="s">
        <v>45</v>
      </c>
      <c r="F808" t="s">
        <v>49</v>
      </c>
      <c r="G808" t="s">
        <v>32</v>
      </c>
      <c r="H808" s="1">
        <v>45411</v>
      </c>
      <c r="I808" t="s">
        <v>932</v>
      </c>
      <c r="J808" t="s">
        <v>25</v>
      </c>
      <c r="K808" t="s">
        <v>68</v>
      </c>
      <c r="L808" s="2" t="s">
        <v>235</v>
      </c>
    </row>
    <row r="809" spans="1:12" x14ac:dyDescent="0.3">
      <c r="A809" t="s">
        <v>933</v>
      </c>
      <c r="B809">
        <v>6622</v>
      </c>
      <c r="C809">
        <v>2673</v>
      </c>
      <c r="D809">
        <v>8</v>
      </c>
      <c r="E809" t="s">
        <v>45</v>
      </c>
      <c r="F809" t="s">
        <v>60</v>
      </c>
      <c r="G809" t="s">
        <v>65</v>
      </c>
      <c r="H809" s="1">
        <v>45392</v>
      </c>
      <c r="I809" t="s">
        <v>934</v>
      </c>
      <c r="J809" t="s">
        <v>25</v>
      </c>
      <c r="K809" t="s">
        <v>51</v>
      </c>
      <c r="L809" s="2" t="s">
        <v>235</v>
      </c>
    </row>
    <row r="810" spans="1:12" x14ac:dyDescent="0.3">
      <c r="A810" t="s">
        <v>935</v>
      </c>
      <c r="B810">
        <v>3260</v>
      </c>
      <c r="C810">
        <v>207</v>
      </c>
      <c r="D810">
        <v>17</v>
      </c>
      <c r="E810" t="s">
        <v>45</v>
      </c>
      <c r="F810" t="s">
        <v>46</v>
      </c>
      <c r="G810" t="s">
        <v>15</v>
      </c>
      <c r="H810" s="1">
        <v>45281</v>
      </c>
      <c r="I810" t="s">
        <v>936</v>
      </c>
      <c r="J810" t="s">
        <v>42</v>
      </c>
      <c r="K810" t="s">
        <v>75</v>
      </c>
      <c r="L810" s="2" t="s">
        <v>102</v>
      </c>
    </row>
    <row r="811" spans="1:12" x14ac:dyDescent="0.3">
      <c r="A811" t="s">
        <v>937</v>
      </c>
      <c r="B811">
        <v>8709</v>
      </c>
      <c r="C811">
        <v>2322</v>
      </c>
      <c r="D811">
        <v>8</v>
      </c>
      <c r="E811" t="s">
        <v>45</v>
      </c>
      <c r="F811" t="s">
        <v>46</v>
      </c>
      <c r="G811" t="s">
        <v>32</v>
      </c>
      <c r="H811" s="1">
        <v>45414</v>
      </c>
      <c r="I811" t="s">
        <v>938</v>
      </c>
      <c r="J811" t="s">
        <v>71</v>
      </c>
      <c r="K811" t="s">
        <v>86</v>
      </c>
      <c r="L811" s="2" t="s">
        <v>35</v>
      </c>
    </row>
    <row r="812" spans="1:12" x14ac:dyDescent="0.3">
      <c r="A812" t="s">
        <v>937</v>
      </c>
      <c r="B812">
        <v>8709</v>
      </c>
      <c r="C812">
        <v>2322</v>
      </c>
      <c r="D812">
        <v>8</v>
      </c>
      <c r="E812" t="s">
        <v>45</v>
      </c>
      <c r="F812" t="s">
        <v>46</v>
      </c>
      <c r="G812" t="s">
        <v>32</v>
      </c>
      <c r="H812" s="1">
        <v>45617</v>
      </c>
      <c r="I812" t="s">
        <v>939</v>
      </c>
      <c r="J812" t="s">
        <v>42</v>
      </c>
      <c r="K812" t="s">
        <v>92</v>
      </c>
      <c r="L812" s="2" t="s">
        <v>255</v>
      </c>
    </row>
    <row r="813" spans="1:12" x14ac:dyDescent="0.3">
      <c r="A813" t="s">
        <v>940</v>
      </c>
      <c r="B813">
        <v>5250</v>
      </c>
      <c r="C813">
        <v>187</v>
      </c>
      <c r="D813">
        <v>1</v>
      </c>
      <c r="E813" t="s">
        <v>30</v>
      </c>
      <c r="F813" t="s">
        <v>78</v>
      </c>
      <c r="G813" t="s">
        <v>65</v>
      </c>
      <c r="H813" s="1">
        <v>44637</v>
      </c>
      <c r="I813" t="s">
        <v>941</v>
      </c>
      <c r="J813" t="s">
        <v>98</v>
      </c>
      <c r="K813" t="s">
        <v>107</v>
      </c>
      <c r="L813" s="2" t="s">
        <v>134</v>
      </c>
    </row>
    <row r="814" spans="1:12" x14ac:dyDescent="0.3">
      <c r="A814" t="s">
        <v>940</v>
      </c>
      <c r="B814">
        <v>5250</v>
      </c>
      <c r="C814">
        <v>187</v>
      </c>
      <c r="D814">
        <v>1</v>
      </c>
      <c r="E814" t="s">
        <v>30</v>
      </c>
      <c r="F814" t="s">
        <v>78</v>
      </c>
      <c r="G814" t="s">
        <v>65</v>
      </c>
      <c r="H814" s="1">
        <v>45060</v>
      </c>
      <c r="I814" t="s">
        <v>942</v>
      </c>
      <c r="J814" t="s">
        <v>71</v>
      </c>
      <c r="K814" t="s">
        <v>138</v>
      </c>
      <c r="L814" s="2" t="s">
        <v>127</v>
      </c>
    </row>
    <row r="815" spans="1:12" x14ac:dyDescent="0.3">
      <c r="A815" t="s">
        <v>943</v>
      </c>
      <c r="B815">
        <v>4116</v>
      </c>
      <c r="C815">
        <v>921</v>
      </c>
      <c r="D815">
        <v>20</v>
      </c>
      <c r="E815" t="s">
        <v>30</v>
      </c>
      <c r="F815" t="s">
        <v>64</v>
      </c>
      <c r="G815" t="s">
        <v>15</v>
      </c>
      <c r="H815" s="1">
        <v>45572</v>
      </c>
      <c r="I815" t="s">
        <v>944</v>
      </c>
      <c r="J815" t="s">
        <v>42</v>
      </c>
      <c r="K815" t="s">
        <v>43</v>
      </c>
      <c r="L815" s="2" t="s">
        <v>360</v>
      </c>
    </row>
    <row r="816" spans="1:12" x14ac:dyDescent="0.3">
      <c r="A816" t="s">
        <v>943</v>
      </c>
      <c r="B816">
        <v>4116</v>
      </c>
      <c r="C816">
        <v>921</v>
      </c>
      <c r="D816">
        <v>20</v>
      </c>
      <c r="E816" t="s">
        <v>30</v>
      </c>
      <c r="F816" t="s">
        <v>64</v>
      </c>
      <c r="G816" t="s">
        <v>15</v>
      </c>
      <c r="H816" s="1">
        <v>44082</v>
      </c>
      <c r="I816" t="s">
        <v>945</v>
      </c>
      <c r="J816" t="s">
        <v>21</v>
      </c>
      <c r="K816" t="s">
        <v>63</v>
      </c>
      <c r="L816" s="2" t="s">
        <v>389</v>
      </c>
    </row>
    <row r="817" spans="1:12" x14ac:dyDescent="0.3">
      <c r="A817" t="s">
        <v>946</v>
      </c>
      <c r="B817">
        <v>1109</v>
      </c>
      <c r="C817">
        <v>418</v>
      </c>
      <c r="D817">
        <v>15</v>
      </c>
      <c r="E817" t="s">
        <v>30</v>
      </c>
      <c r="F817" t="s">
        <v>64</v>
      </c>
      <c r="G817" t="s">
        <v>15</v>
      </c>
      <c r="H817" s="1">
        <v>44427</v>
      </c>
      <c r="I817" t="s">
        <v>947</v>
      </c>
      <c r="J817" t="s">
        <v>42</v>
      </c>
      <c r="K817" t="s">
        <v>43</v>
      </c>
      <c r="L817" s="2" t="s">
        <v>178</v>
      </c>
    </row>
    <row r="818" spans="1:12" x14ac:dyDescent="0.3">
      <c r="A818" t="s">
        <v>948</v>
      </c>
      <c r="B818">
        <v>3573</v>
      </c>
      <c r="C818">
        <v>562</v>
      </c>
      <c r="D818">
        <v>7</v>
      </c>
      <c r="E818" t="s">
        <v>30</v>
      </c>
      <c r="F818" t="s">
        <v>31</v>
      </c>
      <c r="G818" t="s">
        <v>40</v>
      </c>
      <c r="H818" s="1">
        <v>44846</v>
      </c>
      <c r="I818" t="s">
        <v>454</v>
      </c>
      <c r="J818" t="s">
        <v>25</v>
      </c>
      <c r="K818" t="s">
        <v>68</v>
      </c>
      <c r="L818" s="2" t="s">
        <v>96</v>
      </c>
    </row>
    <row r="819" spans="1:12" x14ac:dyDescent="0.3">
      <c r="A819" t="s">
        <v>948</v>
      </c>
      <c r="B819">
        <v>3573</v>
      </c>
      <c r="C819">
        <v>562</v>
      </c>
      <c r="D819">
        <v>7</v>
      </c>
      <c r="E819" t="s">
        <v>30</v>
      </c>
      <c r="F819" t="s">
        <v>31</v>
      </c>
      <c r="G819" t="s">
        <v>40</v>
      </c>
      <c r="H819" s="1">
        <v>43974</v>
      </c>
      <c r="I819" t="s">
        <v>949</v>
      </c>
      <c r="J819" t="s">
        <v>42</v>
      </c>
      <c r="K819" t="s">
        <v>75</v>
      </c>
      <c r="L819" s="2" t="s">
        <v>59</v>
      </c>
    </row>
    <row r="820" spans="1:12" x14ac:dyDescent="0.3">
      <c r="A820" t="s">
        <v>948</v>
      </c>
      <c r="B820">
        <v>3573</v>
      </c>
      <c r="C820">
        <v>562</v>
      </c>
      <c r="D820">
        <v>7</v>
      </c>
      <c r="E820" t="s">
        <v>30</v>
      </c>
      <c r="F820" t="s">
        <v>31</v>
      </c>
      <c r="G820" t="s">
        <v>40</v>
      </c>
      <c r="H820" s="1">
        <v>43939</v>
      </c>
      <c r="I820" t="s">
        <v>950</v>
      </c>
      <c r="J820" t="s">
        <v>17</v>
      </c>
      <c r="K820" t="s">
        <v>150</v>
      </c>
      <c r="L820" s="2" t="s">
        <v>162</v>
      </c>
    </row>
    <row r="821" spans="1:12" x14ac:dyDescent="0.3">
      <c r="A821" t="s">
        <v>948</v>
      </c>
      <c r="B821">
        <v>8055</v>
      </c>
      <c r="C821">
        <v>661</v>
      </c>
      <c r="D821">
        <v>10</v>
      </c>
      <c r="E821" t="s">
        <v>13</v>
      </c>
      <c r="F821" t="s">
        <v>82</v>
      </c>
      <c r="G821" t="s">
        <v>40</v>
      </c>
      <c r="H821" s="1">
        <v>44846</v>
      </c>
      <c r="I821" t="s">
        <v>454</v>
      </c>
      <c r="J821" t="s">
        <v>25</v>
      </c>
      <c r="K821" t="s">
        <v>68</v>
      </c>
      <c r="L821" s="2" t="s">
        <v>96</v>
      </c>
    </row>
    <row r="822" spans="1:12" x14ac:dyDescent="0.3">
      <c r="A822" t="s">
        <v>948</v>
      </c>
      <c r="B822">
        <v>8055</v>
      </c>
      <c r="C822">
        <v>661</v>
      </c>
      <c r="D822">
        <v>10</v>
      </c>
      <c r="E822" t="s">
        <v>13</v>
      </c>
      <c r="F822" t="s">
        <v>82</v>
      </c>
      <c r="G822" t="s">
        <v>40</v>
      </c>
      <c r="H822" s="1">
        <v>43974</v>
      </c>
      <c r="I822" t="s">
        <v>949</v>
      </c>
      <c r="J822" t="s">
        <v>42</v>
      </c>
      <c r="K822" t="s">
        <v>75</v>
      </c>
      <c r="L822" s="2" t="s">
        <v>59</v>
      </c>
    </row>
    <row r="823" spans="1:12" x14ac:dyDescent="0.3">
      <c r="A823" t="s">
        <v>948</v>
      </c>
      <c r="B823">
        <v>8055</v>
      </c>
      <c r="C823">
        <v>661</v>
      </c>
      <c r="D823">
        <v>10</v>
      </c>
      <c r="E823" t="s">
        <v>13</v>
      </c>
      <c r="F823" t="s">
        <v>82</v>
      </c>
      <c r="G823" t="s">
        <v>40</v>
      </c>
      <c r="H823" s="1">
        <v>43939</v>
      </c>
      <c r="I823" t="s">
        <v>950</v>
      </c>
      <c r="J823" t="s">
        <v>17</v>
      </c>
      <c r="K823" t="s">
        <v>150</v>
      </c>
      <c r="L823" s="2" t="s">
        <v>162</v>
      </c>
    </row>
    <row r="824" spans="1:12" x14ac:dyDescent="0.3">
      <c r="A824" t="s">
        <v>951</v>
      </c>
      <c r="B824">
        <v>6829</v>
      </c>
      <c r="C824">
        <v>2609</v>
      </c>
      <c r="D824">
        <v>2</v>
      </c>
      <c r="E824" t="s">
        <v>13</v>
      </c>
      <c r="F824" t="s">
        <v>39</v>
      </c>
      <c r="G824" t="s">
        <v>40</v>
      </c>
      <c r="H824" s="1">
        <v>44716</v>
      </c>
      <c r="I824" t="s">
        <v>952</v>
      </c>
      <c r="J824" t="s">
        <v>42</v>
      </c>
      <c r="K824" t="s">
        <v>92</v>
      </c>
      <c r="L824" s="2" t="s">
        <v>165</v>
      </c>
    </row>
    <row r="825" spans="1:12" x14ac:dyDescent="0.3">
      <c r="A825" t="s">
        <v>951</v>
      </c>
      <c r="B825">
        <v>6390</v>
      </c>
      <c r="C825">
        <v>3089</v>
      </c>
      <c r="D825">
        <v>12</v>
      </c>
      <c r="E825" t="s">
        <v>30</v>
      </c>
      <c r="F825" t="s">
        <v>64</v>
      </c>
      <c r="G825" t="s">
        <v>65</v>
      </c>
      <c r="H825" s="1">
        <v>44716</v>
      </c>
      <c r="I825" t="s">
        <v>952</v>
      </c>
      <c r="J825" t="s">
        <v>42</v>
      </c>
      <c r="K825" t="s">
        <v>92</v>
      </c>
      <c r="L825" s="2" t="s">
        <v>165</v>
      </c>
    </row>
    <row r="826" spans="1:12" x14ac:dyDescent="0.3">
      <c r="A826" t="s">
        <v>953</v>
      </c>
      <c r="B826">
        <v>5831</v>
      </c>
      <c r="C826">
        <v>1574</v>
      </c>
      <c r="D826">
        <v>17</v>
      </c>
      <c r="E826" t="s">
        <v>30</v>
      </c>
      <c r="F826" t="s">
        <v>31</v>
      </c>
      <c r="G826" t="s">
        <v>32</v>
      </c>
      <c r="H826" s="1">
        <v>44881</v>
      </c>
      <c r="I826" t="s">
        <v>954</v>
      </c>
      <c r="J826" t="s">
        <v>42</v>
      </c>
      <c r="K826" t="s">
        <v>92</v>
      </c>
      <c r="L826" s="2" t="s">
        <v>44</v>
      </c>
    </row>
    <row r="827" spans="1:12" x14ac:dyDescent="0.3">
      <c r="A827" t="s">
        <v>953</v>
      </c>
      <c r="B827">
        <v>5831</v>
      </c>
      <c r="C827">
        <v>1574</v>
      </c>
      <c r="D827">
        <v>17</v>
      </c>
      <c r="E827" t="s">
        <v>30</v>
      </c>
      <c r="F827" t="s">
        <v>31</v>
      </c>
      <c r="G827" t="s">
        <v>32</v>
      </c>
      <c r="H827" s="1">
        <v>45491</v>
      </c>
      <c r="I827" t="s">
        <v>955</v>
      </c>
      <c r="J827" t="s">
        <v>42</v>
      </c>
      <c r="K827" t="s">
        <v>75</v>
      </c>
      <c r="L827" s="2" t="s">
        <v>215</v>
      </c>
    </row>
    <row r="828" spans="1:12" x14ac:dyDescent="0.3">
      <c r="A828" t="s">
        <v>953</v>
      </c>
      <c r="B828">
        <v>5831</v>
      </c>
      <c r="C828">
        <v>1574</v>
      </c>
      <c r="D828">
        <v>17</v>
      </c>
      <c r="E828" t="s">
        <v>30</v>
      </c>
      <c r="F828" t="s">
        <v>31</v>
      </c>
      <c r="G828" t="s">
        <v>32</v>
      </c>
      <c r="H828" s="1">
        <v>45123</v>
      </c>
      <c r="I828" t="s">
        <v>956</v>
      </c>
      <c r="J828" t="s">
        <v>17</v>
      </c>
      <c r="K828" t="s">
        <v>18</v>
      </c>
      <c r="L828" s="2" t="s">
        <v>105</v>
      </c>
    </row>
    <row r="829" spans="1:12" x14ac:dyDescent="0.3">
      <c r="A829" t="s">
        <v>957</v>
      </c>
      <c r="B829">
        <v>7952</v>
      </c>
      <c r="C829">
        <v>3865</v>
      </c>
      <c r="D829">
        <v>8</v>
      </c>
      <c r="E829" t="s">
        <v>45</v>
      </c>
      <c r="F829" t="s">
        <v>60</v>
      </c>
      <c r="G829" t="s">
        <v>32</v>
      </c>
      <c r="H829" s="1">
        <v>44053</v>
      </c>
      <c r="I829" t="s">
        <v>958</v>
      </c>
      <c r="J829" t="s">
        <v>21</v>
      </c>
      <c r="K829" t="s">
        <v>172</v>
      </c>
      <c r="L829" s="2" t="s">
        <v>185</v>
      </c>
    </row>
    <row r="830" spans="1:12" x14ac:dyDescent="0.3">
      <c r="A830" t="s">
        <v>959</v>
      </c>
      <c r="B830">
        <v>3659</v>
      </c>
      <c r="C830">
        <v>379</v>
      </c>
      <c r="D830">
        <v>5</v>
      </c>
      <c r="E830" t="s">
        <v>45</v>
      </c>
      <c r="F830" t="s">
        <v>109</v>
      </c>
      <c r="G830" t="s">
        <v>15</v>
      </c>
      <c r="H830" s="1">
        <v>45465</v>
      </c>
      <c r="I830" t="s">
        <v>960</v>
      </c>
      <c r="J830" t="s">
        <v>42</v>
      </c>
      <c r="K830" t="s">
        <v>43</v>
      </c>
      <c r="L830" s="2" t="s">
        <v>262</v>
      </c>
    </row>
    <row r="831" spans="1:12" x14ac:dyDescent="0.3">
      <c r="A831" t="s">
        <v>961</v>
      </c>
      <c r="B831">
        <v>4183</v>
      </c>
      <c r="C831">
        <v>1159</v>
      </c>
      <c r="D831">
        <v>4</v>
      </c>
      <c r="E831" t="s">
        <v>30</v>
      </c>
      <c r="F831" t="s">
        <v>31</v>
      </c>
      <c r="G831" t="s">
        <v>32</v>
      </c>
      <c r="H831" s="1">
        <v>44025</v>
      </c>
      <c r="I831" t="s">
        <v>962</v>
      </c>
      <c r="J831" t="s">
        <v>21</v>
      </c>
      <c r="K831" t="s">
        <v>63</v>
      </c>
      <c r="L831" s="2" t="s">
        <v>462</v>
      </c>
    </row>
    <row r="832" spans="1:12" x14ac:dyDescent="0.3">
      <c r="A832" t="s">
        <v>963</v>
      </c>
      <c r="B832">
        <v>7478</v>
      </c>
      <c r="C832">
        <v>1381</v>
      </c>
      <c r="D832">
        <v>11</v>
      </c>
      <c r="E832" t="s">
        <v>13</v>
      </c>
      <c r="F832" t="s">
        <v>82</v>
      </c>
      <c r="G832" t="s">
        <v>40</v>
      </c>
      <c r="H832" s="1">
        <v>45398</v>
      </c>
      <c r="I832" t="s">
        <v>964</v>
      </c>
      <c r="J832" t="s">
        <v>71</v>
      </c>
      <c r="K832" t="s">
        <v>138</v>
      </c>
      <c r="L832" s="2" t="s">
        <v>235</v>
      </c>
    </row>
    <row r="833" spans="1:12" x14ac:dyDescent="0.3">
      <c r="A833" t="s">
        <v>965</v>
      </c>
      <c r="B833">
        <v>702</v>
      </c>
      <c r="C833">
        <v>238</v>
      </c>
      <c r="D833">
        <v>9</v>
      </c>
      <c r="E833" t="s">
        <v>13</v>
      </c>
      <c r="F833" t="s">
        <v>82</v>
      </c>
      <c r="G833" t="s">
        <v>65</v>
      </c>
      <c r="H833" s="1">
        <v>44268</v>
      </c>
      <c r="I833" t="s">
        <v>966</v>
      </c>
      <c r="J833" t="s">
        <v>17</v>
      </c>
      <c r="K833" t="s">
        <v>150</v>
      </c>
      <c r="L833" s="2" t="s">
        <v>167</v>
      </c>
    </row>
    <row r="834" spans="1:12" x14ac:dyDescent="0.3">
      <c r="A834" t="s">
        <v>967</v>
      </c>
      <c r="B834">
        <v>4037</v>
      </c>
      <c r="C834">
        <v>1494</v>
      </c>
      <c r="D834">
        <v>15</v>
      </c>
      <c r="E834" t="s">
        <v>45</v>
      </c>
      <c r="F834" t="s">
        <v>49</v>
      </c>
      <c r="G834" t="s">
        <v>40</v>
      </c>
      <c r="H834" s="1">
        <v>45017</v>
      </c>
      <c r="I834" t="s">
        <v>968</v>
      </c>
      <c r="J834" t="s">
        <v>42</v>
      </c>
      <c r="K834" t="s">
        <v>92</v>
      </c>
      <c r="L834" s="2" t="s">
        <v>145</v>
      </c>
    </row>
    <row r="835" spans="1:12" x14ac:dyDescent="0.3">
      <c r="A835" t="s">
        <v>969</v>
      </c>
      <c r="B835">
        <v>5014</v>
      </c>
      <c r="C835">
        <v>2332</v>
      </c>
      <c r="D835">
        <v>2</v>
      </c>
      <c r="E835" t="s">
        <v>45</v>
      </c>
      <c r="F835" t="s">
        <v>49</v>
      </c>
      <c r="G835" t="s">
        <v>65</v>
      </c>
      <c r="H835" s="1">
        <v>44145</v>
      </c>
      <c r="I835" t="s">
        <v>970</v>
      </c>
      <c r="J835" t="s">
        <v>21</v>
      </c>
      <c r="K835" t="s">
        <v>22</v>
      </c>
      <c r="L835" s="2" t="s">
        <v>80</v>
      </c>
    </row>
    <row r="836" spans="1:12" x14ac:dyDescent="0.3">
      <c r="A836" t="s">
        <v>971</v>
      </c>
      <c r="B836">
        <v>9879</v>
      </c>
      <c r="C836">
        <v>4930</v>
      </c>
      <c r="D836">
        <v>15</v>
      </c>
      <c r="E836" t="s">
        <v>13</v>
      </c>
      <c r="F836" t="s">
        <v>39</v>
      </c>
      <c r="G836" t="s">
        <v>32</v>
      </c>
      <c r="H836" s="1">
        <v>45085</v>
      </c>
      <c r="I836" t="s">
        <v>972</v>
      </c>
      <c r="J836" t="s">
        <v>25</v>
      </c>
      <c r="K836" t="s">
        <v>68</v>
      </c>
      <c r="L836" s="2" t="s">
        <v>19</v>
      </c>
    </row>
    <row r="837" spans="1:12" x14ac:dyDescent="0.3">
      <c r="A837" t="s">
        <v>973</v>
      </c>
      <c r="B837">
        <v>8762</v>
      </c>
      <c r="C837">
        <v>3502</v>
      </c>
      <c r="D837">
        <v>1</v>
      </c>
      <c r="E837" t="s">
        <v>13</v>
      </c>
      <c r="F837" t="s">
        <v>82</v>
      </c>
      <c r="G837" t="s">
        <v>32</v>
      </c>
      <c r="H837" s="1">
        <v>44425</v>
      </c>
      <c r="I837" t="s">
        <v>974</v>
      </c>
      <c r="J837" t="s">
        <v>17</v>
      </c>
      <c r="K837" t="s">
        <v>150</v>
      </c>
      <c r="L837" s="2" t="s">
        <v>178</v>
      </c>
    </row>
    <row r="838" spans="1:12" x14ac:dyDescent="0.3">
      <c r="A838" t="s">
        <v>975</v>
      </c>
      <c r="B838">
        <v>8490</v>
      </c>
      <c r="C838">
        <v>800</v>
      </c>
      <c r="D838">
        <v>1</v>
      </c>
      <c r="E838" t="s">
        <v>30</v>
      </c>
      <c r="F838" t="s">
        <v>31</v>
      </c>
      <c r="G838" t="s">
        <v>40</v>
      </c>
      <c r="H838" s="1">
        <v>43975</v>
      </c>
      <c r="I838" t="s">
        <v>976</v>
      </c>
      <c r="J838" t="s">
        <v>25</v>
      </c>
      <c r="K838" t="s">
        <v>51</v>
      </c>
      <c r="L838" s="2" t="s">
        <v>59</v>
      </c>
    </row>
    <row r="839" spans="1:12" x14ac:dyDescent="0.3">
      <c r="A839" t="s">
        <v>977</v>
      </c>
      <c r="B839">
        <v>6951</v>
      </c>
      <c r="C839">
        <v>164</v>
      </c>
      <c r="D839">
        <v>10</v>
      </c>
      <c r="E839" t="s">
        <v>45</v>
      </c>
      <c r="F839" t="s">
        <v>60</v>
      </c>
      <c r="G839" t="s">
        <v>15</v>
      </c>
      <c r="H839" s="1">
        <v>44420</v>
      </c>
      <c r="I839" t="s">
        <v>978</v>
      </c>
      <c r="J839" t="s">
        <v>25</v>
      </c>
      <c r="K839" t="s">
        <v>26</v>
      </c>
      <c r="L839" s="2" t="s">
        <v>178</v>
      </c>
    </row>
    <row r="840" spans="1:12" x14ac:dyDescent="0.3">
      <c r="A840" t="s">
        <v>979</v>
      </c>
      <c r="B840">
        <v>1078</v>
      </c>
      <c r="C840">
        <v>309</v>
      </c>
      <c r="D840">
        <v>3</v>
      </c>
      <c r="E840" t="s">
        <v>13</v>
      </c>
      <c r="F840" t="s">
        <v>82</v>
      </c>
      <c r="G840" t="s">
        <v>47</v>
      </c>
      <c r="H840" s="1">
        <v>44807</v>
      </c>
      <c r="I840" t="s">
        <v>980</v>
      </c>
      <c r="J840" t="s">
        <v>98</v>
      </c>
      <c r="K840" t="s">
        <v>117</v>
      </c>
      <c r="L840" s="2" t="s">
        <v>131</v>
      </c>
    </row>
    <row r="841" spans="1:12" x14ac:dyDescent="0.3">
      <c r="A841" t="s">
        <v>979</v>
      </c>
      <c r="B841">
        <v>1078</v>
      </c>
      <c r="C841">
        <v>309</v>
      </c>
      <c r="D841">
        <v>3</v>
      </c>
      <c r="E841" t="s">
        <v>13</v>
      </c>
      <c r="F841" t="s">
        <v>82</v>
      </c>
      <c r="G841" t="s">
        <v>47</v>
      </c>
      <c r="H841" s="1">
        <v>44105</v>
      </c>
      <c r="I841" t="s">
        <v>981</v>
      </c>
      <c r="J841" t="s">
        <v>21</v>
      </c>
      <c r="K841" t="s">
        <v>22</v>
      </c>
      <c r="L841" s="2" t="s">
        <v>119</v>
      </c>
    </row>
    <row r="842" spans="1:12" x14ac:dyDescent="0.3">
      <c r="A842" t="s">
        <v>982</v>
      </c>
      <c r="B842">
        <v>8560</v>
      </c>
      <c r="C842">
        <v>2166</v>
      </c>
      <c r="D842">
        <v>19</v>
      </c>
      <c r="E842" t="s">
        <v>30</v>
      </c>
      <c r="F842" t="s">
        <v>78</v>
      </c>
      <c r="G842" t="s">
        <v>40</v>
      </c>
      <c r="H842" s="1">
        <v>44708</v>
      </c>
      <c r="I842" t="s">
        <v>983</v>
      </c>
      <c r="J842" t="s">
        <v>17</v>
      </c>
      <c r="K842" t="s">
        <v>150</v>
      </c>
      <c r="L842" s="2" t="s">
        <v>180</v>
      </c>
    </row>
    <row r="843" spans="1:12" x14ac:dyDescent="0.3">
      <c r="A843" t="s">
        <v>982</v>
      </c>
      <c r="B843">
        <v>1031</v>
      </c>
      <c r="C843">
        <v>318</v>
      </c>
      <c r="D843">
        <v>20</v>
      </c>
      <c r="E843" t="s">
        <v>13</v>
      </c>
      <c r="F843" t="s">
        <v>14</v>
      </c>
      <c r="G843" t="s">
        <v>15</v>
      </c>
      <c r="H843" s="1">
        <v>44708</v>
      </c>
      <c r="I843" t="s">
        <v>983</v>
      </c>
      <c r="J843" t="s">
        <v>17</v>
      </c>
      <c r="K843" t="s">
        <v>150</v>
      </c>
      <c r="L843" s="2" t="s">
        <v>180</v>
      </c>
    </row>
    <row r="844" spans="1:12" x14ac:dyDescent="0.3">
      <c r="A844" t="s">
        <v>984</v>
      </c>
      <c r="B844">
        <v>6402</v>
      </c>
      <c r="C844">
        <v>2770</v>
      </c>
      <c r="D844">
        <v>19</v>
      </c>
      <c r="E844" t="s">
        <v>30</v>
      </c>
      <c r="F844" t="s">
        <v>57</v>
      </c>
      <c r="G844" t="s">
        <v>32</v>
      </c>
      <c r="H844" s="1">
        <v>45361</v>
      </c>
      <c r="I844" t="s">
        <v>985</v>
      </c>
      <c r="J844" t="s">
        <v>17</v>
      </c>
      <c r="K844" t="s">
        <v>34</v>
      </c>
      <c r="L844" s="2" t="s">
        <v>338</v>
      </c>
    </row>
    <row r="845" spans="1:12" x14ac:dyDescent="0.3">
      <c r="A845" t="s">
        <v>984</v>
      </c>
      <c r="B845">
        <v>6402</v>
      </c>
      <c r="C845">
        <v>2770</v>
      </c>
      <c r="D845">
        <v>19</v>
      </c>
      <c r="E845" t="s">
        <v>30</v>
      </c>
      <c r="F845" t="s">
        <v>57</v>
      </c>
      <c r="G845" t="s">
        <v>32</v>
      </c>
      <c r="H845" s="1">
        <v>45204</v>
      </c>
      <c r="I845" t="s">
        <v>986</v>
      </c>
      <c r="J845" t="s">
        <v>17</v>
      </c>
      <c r="K845" t="s">
        <v>34</v>
      </c>
      <c r="L845" s="2" t="s">
        <v>442</v>
      </c>
    </row>
    <row r="846" spans="1:12" x14ac:dyDescent="0.3">
      <c r="A846" t="s">
        <v>984</v>
      </c>
      <c r="B846">
        <v>5916</v>
      </c>
      <c r="C846">
        <v>1594</v>
      </c>
      <c r="D846">
        <v>19</v>
      </c>
      <c r="E846" t="s">
        <v>13</v>
      </c>
      <c r="F846" t="s">
        <v>28</v>
      </c>
      <c r="G846" t="s">
        <v>32</v>
      </c>
      <c r="H846" s="1">
        <v>45361</v>
      </c>
      <c r="I846" t="s">
        <v>985</v>
      </c>
      <c r="J846" t="s">
        <v>17</v>
      </c>
      <c r="K846" t="s">
        <v>34</v>
      </c>
      <c r="L846" s="2" t="s">
        <v>338</v>
      </c>
    </row>
    <row r="847" spans="1:12" x14ac:dyDescent="0.3">
      <c r="A847" t="s">
        <v>984</v>
      </c>
      <c r="B847">
        <v>5916</v>
      </c>
      <c r="C847">
        <v>1594</v>
      </c>
      <c r="D847">
        <v>19</v>
      </c>
      <c r="E847" t="s">
        <v>13</v>
      </c>
      <c r="F847" t="s">
        <v>28</v>
      </c>
      <c r="G847" t="s">
        <v>32</v>
      </c>
      <c r="H847" s="1">
        <v>45204</v>
      </c>
      <c r="I847" t="s">
        <v>986</v>
      </c>
      <c r="J847" t="s">
        <v>17</v>
      </c>
      <c r="K847" t="s">
        <v>34</v>
      </c>
      <c r="L847" s="2" t="s">
        <v>442</v>
      </c>
    </row>
    <row r="848" spans="1:12" x14ac:dyDescent="0.3">
      <c r="A848" t="s">
        <v>987</v>
      </c>
      <c r="B848">
        <v>4015</v>
      </c>
      <c r="C848">
        <v>1751</v>
      </c>
      <c r="D848">
        <v>15</v>
      </c>
      <c r="E848" t="s">
        <v>45</v>
      </c>
      <c r="F848" t="s">
        <v>49</v>
      </c>
      <c r="G848" t="s">
        <v>32</v>
      </c>
      <c r="H848" s="1">
        <v>44801</v>
      </c>
      <c r="I848" t="s">
        <v>988</v>
      </c>
      <c r="J848" t="s">
        <v>42</v>
      </c>
      <c r="K848" t="s">
        <v>92</v>
      </c>
      <c r="L848" s="2" t="s">
        <v>209</v>
      </c>
    </row>
    <row r="849" spans="1:12" x14ac:dyDescent="0.3">
      <c r="A849" t="s">
        <v>987</v>
      </c>
      <c r="B849">
        <v>4015</v>
      </c>
      <c r="C849">
        <v>1751</v>
      </c>
      <c r="D849">
        <v>15</v>
      </c>
      <c r="E849" t="s">
        <v>45</v>
      </c>
      <c r="F849" t="s">
        <v>49</v>
      </c>
      <c r="G849" t="s">
        <v>32</v>
      </c>
      <c r="H849" s="1">
        <v>44082</v>
      </c>
      <c r="I849" t="s">
        <v>989</v>
      </c>
      <c r="J849" t="s">
        <v>25</v>
      </c>
      <c r="K849" t="s">
        <v>51</v>
      </c>
      <c r="L849" s="2" t="s">
        <v>389</v>
      </c>
    </row>
    <row r="850" spans="1:12" x14ac:dyDescent="0.3">
      <c r="A850" t="s">
        <v>990</v>
      </c>
      <c r="B850">
        <v>9335</v>
      </c>
      <c r="C850">
        <v>557</v>
      </c>
      <c r="D850">
        <v>11</v>
      </c>
      <c r="E850" t="s">
        <v>13</v>
      </c>
      <c r="F850" t="s">
        <v>14</v>
      </c>
      <c r="G850" t="s">
        <v>65</v>
      </c>
      <c r="H850" s="1">
        <v>44313</v>
      </c>
      <c r="I850" t="s">
        <v>991</v>
      </c>
      <c r="J850" t="s">
        <v>42</v>
      </c>
      <c r="K850" t="s">
        <v>43</v>
      </c>
      <c r="L850" s="2" t="s">
        <v>139</v>
      </c>
    </row>
    <row r="851" spans="1:12" x14ac:dyDescent="0.3">
      <c r="A851" t="s">
        <v>992</v>
      </c>
      <c r="B851">
        <v>4706</v>
      </c>
      <c r="C851">
        <v>594</v>
      </c>
      <c r="D851">
        <v>11</v>
      </c>
      <c r="E851" t="s">
        <v>30</v>
      </c>
      <c r="F851" t="s">
        <v>78</v>
      </c>
      <c r="G851" t="s">
        <v>65</v>
      </c>
      <c r="H851" s="1">
        <v>44429</v>
      </c>
      <c r="I851" t="s">
        <v>993</v>
      </c>
      <c r="J851" t="s">
        <v>98</v>
      </c>
      <c r="K851" t="s">
        <v>117</v>
      </c>
      <c r="L851" s="2" t="s">
        <v>178</v>
      </c>
    </row>
    <row r="852" spans="1:12" x14ac:dyDescent="0.3">
      <c r="A852" t="s">
        <v>992</v>
      </c>
      <c r="B852">
        <v>4706</v>
      </c>
      <c r="C852">
        <v>594</v>
      </c>
      <c r="D852">
        <v>11</v>
      </c>
      <c r="E852" t="s">
        <v>30</v>
      </c>
      <c r="F852" t="s">
        <v>78</v>
      </c>
      <c r="G852" t="s">
        <v>65</v>
      </c>
      <c r="H852" s="1">
        <v>44332</v>
      </c>
      <c r="I852" t="s">
        <v>994</v>
      </c>
      <c r="J852" t="s">
        <v>98</v>
      </c>
      <c r="K852" t="s">
        <v>99</v>
      </c>
      <c r="L852" s="2" t="s">
        <v>108</v>
      </c>
    </row>
    <row r="853" spans="1:12" x14ac:dyDescent="0.3">
      <c r="A853" t="s">
        <v>992</v>
      </c>
      <c r="B853">
        <v>6584</v>
      </c>
      <c r="C853">
        <v>371</v>
      </c>
      <c r="D853">
        <v>6</v>
      </c>
      <c r="E853" t="s">
        <v>30</v>
      </c>
      <c r="F853" t="s">
        <v>57</v>
      </c>
      <c r="G853" t="s">
        <v>15</v>
      </c>
      <c r="H853" s="1">
        <v>44429</v>
      </c>
      <c r="I853" t="s">
        <v>993</v>
      </c>
      <c r="J853" t="s">
        <v>98</v>
      </c>
      <c r="K853" t="s">
        <v>117</v>
      </c>
      <c r="L853" s="2" t="s">
        <v>178</v>
      </c>
    </row>
    <row r="854" spans="1:12" x14ac:dyDescent="0.3">
      <c r="A854" t="s">
        <v>992</v>
      </c>
      <c r="B854">
        <v>6584</v>
      </c>
      <c r="C854">
        <v>371</v>
      </c>
      <c r="D854">
        <v>6</v>
      </c>
      <c r="E854" t="s">
        <v>30</v>
      </c>
      <c r="F854" t="s">
        <v>57</v>
      </c>
      <c r="G854" t="s">
        <v>15</v>
      </c>
      <c r="H854" s="1">
        <v>44332</v>
      </c>
      <c r="I854" t="s">
        <v>994</v>
      </c>
      <c r="J854" t="s">
        <v>98</v>
      </c>
      <c r="K854" t="s">
        <v>99</v>
      </c>
      <c r="L854" s="2" t="s">
        <v>108</v>
      </c>
    </row>
    <row r="855" spans="1:12" x14ac:dyDescent="0.3">
      <c r="A855" t="s">
        <v>995</v>
      </c>
      <c r="B855">
        <v>6389</v>
      </c>
      <c r="C855">
        <v>734</v>
      </c>
      <c r="D855">
        <v>1</v>
      </c>
      <c r="E855" t="s">
        <v>45</v>
      </c>
      <c r="F855" t="s">
        <v>60</v>
      </c>
      <c r="G855" t="s">
        <v>40</v>
      </c>
      <c r="H855" s="1">
        <v>44576</v>
      </c>
      <c r="I855" t="s">
        <v>996</v>
      </c>
      <c r="J855" t="s">
        <v>71</v>
      </c>
      <c r="K855" t="s">
        <v>72</v>
      </c>
      <c r="L855" s="2" t="s">
        <v>87</v>
      </c>
    </row>
    <row r="856" spans="1:12" x14ac:dyDescent="0.3">
      <c r="A856" t="s">
        <v>997</v>
      </c>
      <c r="B856">
        <v>9869</v>
      </c>
      <c r="C856">
        <v>4299</v>
      </c>
      <c r="D856">
        <v>12</v>
      </c>
      <c r="E856" t="s">
        <v>13</v>
      </c>
      <c r="F856" t="s">
        <v>28</v>
      </c>
      <c r="G856" t="s">
        <v>32</v>
      </c>
      <c r="H856" s="1">
        <v>45006</v>
      </c>
      <c r="I856" t="s">
        <v>998</v>
      </c>
      <c r="J856" t="s">
        <v>42</v>
      </c>
      <c r="K856" t="s">
        <v>75</v>
      </c>
      <c r="L856" s="2" t="s">
        <v>245</v>
      </c>
    </row>
    <row r="857" spans="1:12" x14ac:dyDescent="0.3">
      <c r="A857" t="s">
        <v>997</v>
      </c>
      <c r="B857">
        <v>9869</v>
      </c>
      <c r="C857">
        <v>4299</v>
      </c>
      <c r="D857">
        <v>12</v>
      </c>
      <c r="E857" t="s">
        <v>13</v>
      </c>
      <c r="F857" t="s">
        <v>28</v>
      </c>
      <c r="G857" t="s">
        <v>32</v>
      </c>
      <c r="H857" s="1">
        <v>45288</v>
      </c>
      <c r="I857" t="s">
        <v>999</v>
      </c>
      <c r="J857" t="s">
        <v>25</v>
      </c>
      <c r="K857" t="s">
        <v>26</v>
      </c>
      <c r="L857" s="2" t="s">
        <v>102</v>
      </c>
    </row>
    <row r="858" spans="1:12" x14ac:dyDescent="0.3">
      <c r="A858" t="s">
        <v>1000</v>
      </c>
      <c r="B858">
        <v>655</v>
      </c>
      <c r="C858">
        <v>297</v>
      </c>
      <c r="D858">
        <v>4</v>
      </c>
      <c r="E858" t="s">
        <v>30</v>
      </c>
      <c r="F858" t="s">
        <v>57</v>
      </c>
      <c r="G858" t="s">
        <v>32</v>
      </c>
      <c r="H858" s="1">
        <v>44607</v>
      </c>
      <c r="I858" t="s">
        <v>1001</v>
      </c>
      <c r="J858" t="s">
        <v>25</v>
      </c>
      <c r="K858" t="s">
        <v>26</v>
      </c>
      <c r="L858" s="2" t="s">
        <v>137</v>
      </c>
    </row>
    <row r="859" spans="1:12" x14ac:dyDescent="0.3">
      <c r="A859" t="s">
        <v>1000</v>
      </c>
      <c r="B859">
        <v>655</v>
      </c>
      <c r="C859">
        <v>297</v>
      </c>
      <c r="D859">
        <v>4</v>
      </c>
      <c r="E859" t="s">
        <v>30</v>
      </c>
      <c r="F859" t="s">
        <v>57</v>
      </c>
      <c r="G859" t="s">
        <v>32</v>
      </c>
      <c r="H859" s="1">
        <v>45260</v>
      </c>
      <c r="I859" t="s">
        <v>1002</v>
      </c>
      <c r="J859" t="s">
        <v>17</v>
      </c>
      <c r="K859" t="s">
        <v>34</v>
      </c>
      <c r="L859" s="2" t="s">
        <v>52</v>
      </c>
    </row>
    <row r="860" spans="1:12" x14ac:dyDescent="0.3">
      <c r="A860" t="s">
        <v>1003</v>
      </c>
      <c r="B860">
        <v>798</v>
      </c>
      <c r="C860">
        <v>308</v>
      </c>
      <c r="D860">
        <v>10</v>
      </c>
      <c r="E860" t="s">
        <v>13</v>
      </c>
      <c r="F860" t="s">
        <v>82</v>
      </c>
      <c r="G860" t="s">
        <v>32</v>
      </c>
      <c r="H860" s="1">
        <v>44938</v>
      </c>
      <c r="I860" t="s">
        <v>1004</v>
      </c>
      <c r="J860" t="s">
        <v>25</v>
      </c>
      <c r="K860" t="s">
        <v>26</v>
      </c>
      <c r="L860" s="2" t="s">
        <v>333</v>
      </c>
    </row>
    <row r="861" spans="1:12" x14ac:dyDescent="0.3">
      <c r="A861" t="s">
        <v>1003</v>
      </c>
      <c r="B861">
        <v>798</v>
      </c>
      <c r="C861">
        <v>308</v>
      </c>
      <c r="D861">
        <v>10</v>
      </c>
      <c r="E861" t="s">
        <v>13</v>
      </c>
      <c r="F861" t="s">
        <v>82</v>
      </c>
      <c r="G861" t="s">
        <v>32</v>
      </c>
      <c r="H861" s="1">
        <v>45065</v>
      </c>
      <c r="I861" t="s">
        <v>1005</v>
      </c>
      <c r="J861" t="s">
        <v>98</v>
      </c>
      <c r="K861" t="s">
        <v>117</v>
      </c>
      <c r="L861" s="2" t="s">
        <v>127</v>
      </c>
    </row>
    <row r="862" spans="1:12" x14ac:dyDescent="0.3">
      <c r="A862" t="s">
        <v>1003</v>
      </c>
      <c r="B862">
        <v>7967</v>
      </c>
      <c r="C862">
        <v>2504</v>
      </c>
      <c r="D862">
        <v>13</v>
      </c>
      <c r="E862" t="s">
        <v>13</v>
      </c>
      <c r="F862" t="s">
        <v>28</v>
      </c>
      <c r="G862" t="s">
        <v>40</v>
      </c>
      <c r="H862" s="1">
        <v>44938</v>
      </c>
      <c r="I862" t="s">
        <v>1004</v>
      </c>
      <c r="J862" t="s">
        <v>25</v>
      </c>
      <c r="K862" t="s">
        <v>26</v>
      </c>
      <c r="L862" s="2" t="s">
        <v>333</v>
      </c>
    </row>
    <row r="863" spans="1:12" x14ac:dyDescent="0.3">
      <c r="A863" t="s">
        <v>1003</v>
      </c>
      <c r="B863">
        <v>7967</v>
      </c>
      <c r="C863">
        <v>2504</v>
      </c>
      <c r="D863">
        <v>13</v>
      </c>
      <c r="E863" t="s">
        <v>13</v>
      </c>
      <c r="F863" t="s">
        <v>28</v>
      </c>
      <c r="G863" t="s">
        <v>40</v>
      </c>
      <c r="H863" s="1">
        <v>45065</v>
      </c>
      <c r="I863" t="s">
        <v>1005</v>
      </c>
      <c r="J863" t="s">
        <v>98</v>
      </c>
      <c r="K863" t="s">
        <v>117</v>
      </c>
      <c r="L863" s="2" t="s">
        <v>127</v>
      </c>
    </row>
    <row r="864" spans="1:12" x14ac:dyDescent="0.3">
      <c r="A864" t="s">
        <v>1006</v>
      </c>
      <c r="B864">
        <v>3756</v>
      </c>
      <c r="C864">
        <v>1318</v>
      </c>
      <c r="D864">
        <v>5</v>
      </c>
      <c r="E864" t="s">
        <v>45</v>
      </c>
      <c r="F864" t="s">
        <v>46</v>
      </c>
      <c r="G864" t="s">
        <v>15</v>
      </c>
      <c r="H864" s="1">
        <v>45341</v>
      </c>
      <c r="I864" t="s">
        <v>1007</v>
      </c>
      <c r="J864" t="s">
        <v>17</v>
      </c>
      <c r="K864" t="s">
        <v>18</v>
      </c>
      <c r="L864" s="2" t="s">
        <v>218</v>
      </c>
    </row>
    <row r="865" spans="1:12" x14ac:dyDescent="0.3">
      <c r="A865" t="s">
        <v>1008</v>
      </c>
      <c r="B865">
        <v>5196</v>
      </c>
      <c r="C865">
        <v>2477</v>
      </c>
      <c r="D865">
        <v>1</v>
      </c>
      <c r="E865" t="s">
        <v>30</v>
      </c>
      <c r="F865" t="s">
        <v>57</v>
      </c>
      <c r="G865" t="s">
        <v>15</v>
      </c>
      <c r="H865" s="1">
        <v>44531</v>
      </c>
      <c r="I865" t="s">
        <v>1009</v>
      </c>
      <c r="J865" t="s">
        <v>71</v>
      </c>
      <c r="K865" t="s">
        <v>86</v>
      </c>
      <c r="L865" s="2" t="s">
        <v>90</v>
      </c>
    </row>
    <row r="866" spans="1:12" x14ac:dyDescent="0.3">
      <c r="A866" t="s">
        <v>1008</v>
      </c>
      <c r="B866">
        <v>6586</v>
      </c>
      <c r="C866">
        <v>1794</v>
      </c>
      <c r="D866">
        <v>19</v>
      </c>
      <c r="E866" t="s">
        <v>45</v>
      </c>
      <c r="F866" t="s">
        <v>109</v>
      </c>
      <c r="G866" t="s">
        <v>32</v>
      </c>
      <c r="H866" s="1">
        <v>44531</v>
      </c>
      <c r="I866" t="s">
        <v>1009</v>
      </c>
      <c r="J866" t="s">
        <v>71</v>
      </c>
      <c r="K866" t="s">
        <v>86</v>
      </c>
      <c r="L866" s="2" t="s">
        <v>90</v>
      </c>
    </row>
    <row r="867" spans="1:12" x14ac:dyDescent="0.3">
      <c r="A867" t="s">
        <v>1010</v>
      </c>
      <c r="B867">
        <v>6673</v>
      </c>
      <c r="C867">
        <v>950</v>
      </c>
      <c r="D867">
        <v>19</v>
      </c>
      <c r="E867" t="s">
        <v>30</v>
      </c>
      <c r="F867" t="s">
        <v>57</v>
      </c>
      <c r="G867" t="s">
        <v>40</v>
      </c>
      <c r="H867" s="1">
        <v>45645</v>
      </c>
      <c r="I867" t="s">
        <v>1011</v>
      </c>
      <c r="J867" t="s">
        <v>25</v>
      </c>
      <c r="K867" t="s">
        <v>26</v>
      </c>
      <c r="L867" s="2" t="s">
        <v>23</v>
      </c>
    </row>
    <row r="868" spans="1:12" x14ac:dyDescent="0.3">
      <c r="A868" t="s">
        <v>1012</v>
      </c>
      <c r="B868">
        <v>714</v>
      </c>
      <c r="C868">
        <v>232</v>
      </c>
      <c r="D868">
        <v>14</v>
      </c>
      <c r="E868" t="s">
        <v>45</v>
      </c>
      <c r="F868" t="s">
        <v>46</v>
      </c>
      <c r="G868" t="s">
        <v>15</v>
      </c>
      <c r="H868" s="1">
        <v>44944</v>
      </c>
      <c r="I868" t="s">
        <v>1013</v>
      </c>
      <c r="J868" t="s">
        <v>98</v>
      </c>
      <c r="K868" t="s">
        <v>99</v>
      </c>
      <c r="L868" s="2" t="s">
        <v>333</v>
      </c>
    </row>
    <row r="869" spans="1:12" x14ac:dyDescent="0.3">
      <c r="A869" t="s">
        <v>1012</v>
      </c>
      <c r="B869">
        <v>714</v>
      </c>
      <c r="C869">
        <v>232</v>
      </c>
      <c r="D869">
        <v>14</v>
      </c>
      <c r="E869" t="s">
        <v>45</v>
      </c>
      <c r="F869" t="s">
        <v>46</v>
      </c>
      <c r="G869" t="s">
        <v>15</v>
      </c>
      <c r="H869" s="1">
        <v>44188</v>
      </c>
      <c r="I869" t="s">
        <v>1014</v>
      </c>
      <c r="J869" t="s">
        <v>71</v>
      </c>
      <c r="K869" t="s">
        <v>86</v>
      </c>
      <c r="L869" s="2" t="s">
        <v>287</v>
      </c>
    </row>
    <row r="870" spans="1:12" x14ac:dyDescent="0.3">
      <c r="A870" t="s">
        <v>1015</v>
      </c>
      <c r="B870">
        <v>1083</v>
      </c>
      <c r="C870">
        <v>501</v>
      </c>
      <c r="D870">
        <v>6</v>
      </c>
      <c r="E870" t="s">
        <v>30</v>
      </c>
      <c r="F870" t="s">
        <v>31</v>
      </c>
      <c r="G870" t="s">
        <v>65</v>
      </c>
      <c r="H870" s="1">
        <v>44255</v>
      </c>
      <c r="I870" t="s">
        <v>1016</v>
      </c>
      <c r="J870" t="s">
        <v>71</v>
      </c>
      <c r="K870" t="s">
        <v>86</v>
      </c>
      <c r="L870" s="2" t="s">
        <v>292</v>
      </c>
    </row>
    <row r="871" spans="1:12" x14ac:dyDescent="0.3">
      <c r="A871" t="s">
        <v>1017</v>
      </c>
      <c r="B871">
        <v>2401</v>
      </c>
      <c r="C871">
        <v>1163</v>
      </c>
      <c r="D871">
        <v>10</v>
      </c>
      <c r="E871" t="s">
        <v>45</v>
      </c>
      <c r="F871" t="s">
        <v>109</v>
      </c>
      <c r="G871" t="s">
        <v>15</v>
      </c>
      <c r="H871" s="1">
        <v>45050</v>
      </c>
      <c r="I871" t="s">
        <v>1018</v>
      </c>
      <c r="J871" t="s">
        <v>98</v>
      </c>
      <c r="K871" t="s">
        <v>117</v>
      </c>
      <c r="L871" s="2" t="s">
        <v>127</v>
      </c>
    </row>
    <row r="872" spans="1:12" x14ac:dyDescent="0.3">
      <c r="A872" t="s">
        <v>1017</v>
      </c>
      <c r="B872">
        <v>2401</v>
      </c>
      <c r="C872">
        <v>1163</v>
      </c>
      <c r="D872">
        <v>10</v>
      </c>
      <c r="E872" t="s">
        <v>45</v>
      </c>
      <c r="F872" t="s">
        <v>109</v>
      </c>
      <c r="G872" t="s">
        <v>15</v>
      </c>
      <c r="H872" s="1">
        <v>43943</v>
      </c>
      <c r="I872" t="s">
        <v>1019</v>
      </c>
      <c r="J872" t="s">
        <v>42</v>
      </c>
      <c r="K872" t="s">
        <v>43</v>
      </c>
      <c r="L872" s="2" t="s">
        <v>162</v>
      </c>
    </row>
    <row r="873" spans="1:12" x14ac:dyDescent="0.3">
      <c r="A873" t="s">
        <v>1017</v>
      </c>
      <c r="B873">
        <v>2401</v>
      </c>
      <c r="C873">
        <v>1163</v>
      </c>
      <c r="D873">
        <v>10</v>
      </c>
      <c r="E873" t="s">
        <v>45</v>
      </c>
      <c r="F873" t="s">
        <v>109</v>
      </c>
      <c r="G873" t="s">
        <v>15</v>
      </c>
      <c r="H873" s="1">
        <v>44421</v>
      </c>
      <c r="I873" t="s">
        <v>1020</v>
      </c>
      <c r="J873" t="s">
        <v>25</v>
      </c>
      <c r="K873" t="s">
        <v>68</v>
      </c>
      <c r="L873" s="2" t="s">
        <v>178</v>
      </c>
    </row>
    <row r="874" spans="1:12" x14ac:dyDescent="0.3">
      <c r="A874" t="s">
        <v>1017</v>
      </c>
      <c r="B874">
        <v>1045</v>
      </c>
      <c r="C874">
        <v>267</v>
      </c>
      <c r="D874">
        <v>11</v>
      </c>
      <c r="E874" t="s">
        <v>13</v>
      </c>
      <c r="F874" t="s">
        <v>82</v>
      </c>
      <c r="G874" t="s">
        <v>32</v>
      </c>
      <c r="H874" s="1">
        <v>45050</v>
      </c>
      <c r="I874" t="s">
        <v>1018</v>
      </c>
      <c r="J874" t="s">
        <v>98</v>
      </c>
      <c r="K874" t="s">
        <v>117</v>
      </c>
      <c r="L874" s="2" t="s">
        <v>127</v>
      </c>
    </row>
    <row r="875" spans="1:12" x14ac:dyDescent="0.3">
      <c r="A875" t="s">
        <v>1017</v>
      </c>
      <c r="B875">
        <v>1045</v>
      </c>
      <c r="C875">
        <v>267</v>
      </c>
      <c r="D875">
        <v>11</v>
      </c>
      <c r="E875" t="s">
        <v>13</v>
      </c>
      <c r="F875" t="s">
        <v>82</v>
      </c>
      <c r="G875" t="s">
        <v>32</v>
      </c>
      <c r="H875" s="1">
        <v>43943</v>
      </c>
      <c r="I875" t="s">
        <v>1019</v>
      </c>
      <c r="J875" t="s">
        <v>42</v>
      </c>
      <c r="K875" t="s">
        <v>43</v>
      </c>
      <c r="L875" s="2" t="s">
        <v>162</v>
      </c>
    </row>
    <row r="876" spans="1:12" x14ac:dyDescent="0.3">
      <c r="A876" t="s">
        <v>1017</v>
      </c>
      <c r="B876">
        <v>1045</v>
      </c>
      <c r="C876">
        <v>267</v>
      </c>
      <c r="D876">
        <v>11</v>
      </c>
      <c r="E876" t="s">
        <v>13</v>
      </c>
      <c r="F876" t="s">
        <v>82</v>
      </c>
      <c r="G876" t="s">
        <v>32</v>
      </c>
      <c r="H876" s="1">
        <v>44421</v>
      </c>
      <c r="I876" t="s">
        <v>1020</v>
      </c>
      <c r="J876" t="s">
        <v>25</v>
      </c>
      <c r="K876" t="s">
        <v>68</v>
      </c>
      <c r="L876" s="2" t="s">
        <v>178</v>
      </c>
    </row>
    <row r="877" spans="1:12" x14ac:dyDescent="0.3">
      <c r="A877" t="s">
        <v>1021</v>
      </c>
      <c r="B877">
        <v>7806</v>
      </c>
      <c r="C877">
        <v>1127</v>
      </c>
      <c r="D877">
        <v>1</v>
      </c>
      <c r="E877" t="s">
        <v>30</v>
      </c>
      <c r="F877" t="s">
        <v>57</v>
      </c>
      <c r="G877" t="s">
        <v>47</v>
      </c>
      <c r="H877" s="1">
        <v>45127</v>
      </c>
      <c r="I877" t="s">
        <v>1022</v>
      </c>
      <c r="J877" t="s">
        <v>71</v>
      </c>
      <c r="K877" t="s">
        <v>72</v>
      </c>
      <c r="L877" s="2" t="s">
        <v>105</v>
      </c>
    </row>
    <row r="878" spans="1:12" x14ac:dyDescent="0.3">
      <c r="A878" t="s">
        <v>1023</v>
      </c>
      <c r="B878">
        <v>5263</v>
      </c>
      <c r="C878">
        <v>1743</v>
      </c>
      <c r="D878">
        <v>19</v>
      </c>
      <c r="E878" t="s">
        <v>45</v>
      </c>
      <c r="F878" t="s">
        <v>60</v>
      </c>
      <c r="G878" t="s">
        <v>47</v>
      </c>
      <c r="H878" s="1">
        <v>44801</v>
      </c>
      <c r="I878" t="s">
        <v>1024</v>
      </c>
      <c r="J878" t="s">
        <v>17</v>
      </c>
      <c r="K878" t="s">
        <v>18</v>
      </c>
      <c r="L878" s="2" t="s">
        <v>209</v>
      </c>
    </row>
    <row r="879" spans="1:12" x14ac:dyDescent="0.3">
      <c r="A879" t="s">
        <v>1025</v>
      </c>
      <c r="B879">
        <v>6147</v>
      </c>
      <c r="C879">
        <v>2526</v>
      </c>
      <c r="D879">
        <v>6</v>
      </c>
      <c r="E879" t="s">
        <v>30</v>
      </c>
      <c r="F879" t="s">
        <v>31</v>
      </c>
      <c r="G879" t="s">
        <v>32</v>
      </c>
      <c r="H879" s="1">
        <v>44999</v>
      </c>
      <c r="I879" t="s">
        <v>1026</v>
      </c>
      <c r="J879" t="s">
        <v>71</v>
      </c>
      <c r="K879" t="s">
        <v>72</v>
      </c>
      <c r="L879" s="2" t="s">
        <v>245</v>
      </c>
    </row>
    <row r="880" spans="1:12" x14ac:dyDescent="0.3">
      <c r="A880" t="s">
        <v>1027</v>
      </c>
      <c r="B880">
        <v>7484</v>
      </c>
      <c r="C880">
        <v>2871</v>
      </c>
      <c r="D880">
        <v>15</v>
      </c>
      <c r="E880" t="s">
        <v>13</v>
      </c>
      <c r="F880" t="s">
        <v>82</v>
      </c>
      <c r="G880" t="s">
        <v>15</v>
      </c>
      <c r="H880" s="1">
        <v>45237</v>
      </c>
      <c r="I880" t="s">
        <v>1028</v>
      </c>
      <c r="J880" t="s">
        <v>17</v>
      </c>
      <c r="K880" t="s">
        <v>34</v>
      </c>
      <c r="L880" s="2" t="s">
        <v>52</v>
      </c>
    </row>
    <row r="881" spans="1:12" x14ac:dyDescent="0.3">
      <c r="A881" t="s">
        <v>1027</v>
      </c>
      <c r="B881">
        <v>7484</v>
      </c>
      <c r="C881">
        <v>2871</v>
      </c>
      <c r="D881">
        <v>15</v>
      </c>
      <c r="E881" t="s">
        <v>13</v>
      </c>
      <c r="F881" t="s">
        <v>82</v>
      </c>
      <c r="G881" t="s">
        <v>15</v>
      </c>
      <c r="H881" s="1">
        <v>45398</v>
      </c>
      <c r="I881" t="s">
        <v>1029</v>
      </c>
      <c r="J881" t="s">
        <v>21</v>
      </c>
      <c r="K881" t="s">
        <v>22</v>
      </c>
      <c r="L881" s="2" t="s">
        <v>235</v>
      </c>
    </row>
    <row r="882" spans="1:12" x14ac:dyDescent="0.3">
      <c r="A882" t="s">
        <v>1027</v>
      </c>
      <c r="B882">
        <v>7700</v>
      </c>
      <c r="C882">
        <v>2712</v>
      </c>
      <c r="D882">
        <v>1</v>
      </c>
      <c r="E882" t="s">
        <v>45</v>
      </c>
      <c r="F882" t="s">
        <v>60</v>
      </c>
      <c r="G882" t="s">
        <v>47</v>
      </c>
      <c r="H882" s="1">
        <v>45237</v>
      </c>
      <c r="I882" t="s">
        <v>1028</v>
      </c>
      <c r="J882" t="s">
        <v>17</v>
      </c>
      <c r="K882" t="s">
        <v>34</v>
      </c>
      <c r="L882" s="2" t="s">
        <v>52</v>
      </c>
    </row>
    <row r="883" spans="1:12" x14ac:dyDescent="0.3">
      <c r="A883" t="s">
        <v>1027</v>
      </c>
      <c r="B883">
        <v>7700</v>
      </c>
      <c r="C883">
        <v>2712</v>
      </c>
      <c r="D883">
        <v>1</v>
      </c>
      <c r="E883" t="s">
        <v>45</v>
      </c>
      <c r="F883" t="s">
        <v>60</v>
      </c>
      <c r="G883" t="s">
        <v>47</v>
      </c>
      <c r="H883" s="1">
        <v>45398</v>
      </c>
      <c r="I883" t="s">
        <v>1029</v>
      </c>
      <c r="J883" t="s">
        <v>21</v>
      </c>
      <c r="K883" t="s">
        <v>22</v>
      </c>
      <c r="L883" s="2" t="s">
        <v>235</v>
      </c>
    </row>
    <row r="884" spans="1:12" x14ac:dyDescent="0.3">
      <c r="A884" t="s">
        <v>1030</v>
      </c>
      <c r="B884">
        <v>8537</v>
      </c>
      <c r="C884">
        <v>3586</v>
      </c>
      <c r="D884">
        <v>13</v>
      </c>
      <c r="E884" t="s">
        <v>30</v>
      </c>
      <c r="F884" t="s">
        <v>57</v>
      </c>
      <c r="G884" t="s">
        <v>15</v>
      </c>
      <c r="H884" s="1">
        <v>44820</v>
      </c>
      <c r="I884" t="s">
        <v>1031</v>
      </c>
      <c r="J884" t="s">
        <v>25</v>
      </c>
      <c r="K884" t="s">
        <v>68</v>
      </c>
      <c r="L884" s="2" t="s">
        <v>131</v>
      </c>
    </row>
    <row r="885" spans="1:12" x14ac:dyDescent="0.3">
      <c r="A885" t="s">
        <v>1032</v>
      </c>
      <c r="B885">
        <v>8858</v>
      </c>
      <c r="C885">
        <v>3394</v>
      </c>
      <c r="D885">
        <v>6</v>
      </c>
      <c r="E885" t="s">
        <v>45</v>
      </c>
      <c r="F885" t="s">
        <v>49</v>
      </c>
      <c r="G885" t="s">
        <v>65</v>
      </c>
      <c r="H885" s="1">
        <v>45596</v>
      </c>
      <c r="I885" t="s">
        <v>1033</v>
      </c>
      <c r="J885" t="s">
        <v>42</v>
      </c>
      <c r="K885" t="s">
        <v>75</v>
      </c>
      <c r="L885" s="2" t="s">
        <v>360</v>
      </c>
    </row>
    <row r="886" spans="1:12" x14ac:dyDescent="0.3">
      <c r="A886" t="s">
        <v>1034</v>
      </c>
      <c r="B886">
        <v>5313</v>
      </c>
      <c r="C886">
        <v>2037</v>
      </c>
      <c r="D886">
        <v>7</v>
      </c>
      <c r="E886" t="s">
        <v>13</v>
      </c>
      <c r="F886" t="s">
        <v>28</v>
      </c>
      <c r="G886" t="s">
        <v>32</v>
      </c>
      <c r="H886" s="1">
        <v>45621</v>
      </c>
      <c r="I886" t="s">
        <v>1035</v>
      </c>
      <c r="J886" t="s">
        <v>42</v>
      </c>
      <c r="K886" t="s">
        <v>92</v>
      </c>
      <c r="L886" s="2" t="s">
        <v>255</v>
      </c>
    </row>
    <row r="887" spans="1:12" x14ac:dyDescent="0.3">
      <c r="A887" t="s">
        <v>1034</v>
      </c>
      <c r="B887">
        <v>5313</v>
      </c>
      <c r="C887">
        <v>2037</v>
      </c>
      <c r="D887">
        <v>7</v>
      </c>
      <c r="E887" t="s">
        <v>13</v>
      </c>
      <c r="F887" t="s">
        <v>28</v>
      </c>
      <c r="G887" t="s">
        <v>32</v>
      </c>
      <c r="H887" s="1">
        <v>44498</v>
      </c>
      <c r="I887" t="s">
        <v>1036</v>
      </c>
      <c r="J887" t="s">
        <v>71</v>
      </c>
      <c r="K887" t="s">
        <v>138</v>
      </c>
      <c r="L887" s="2" t="s">
        <v>37</v>
      </c>
    </row>
    <row r="888" spans="1:12" x14ac:dyDescent="0.3">
      <c r="A888" t="s">
        <v>1037</v>
      </c>
      <c r="B888">
        <v>3281</v>
      </c>
      <c r="C888">
        <v>471</v>
      </c>
      <c r="D888">
        <v>7</v>
      </c>
      <c r="E888" t="s">
        <v>45</v>
      </c>
      <c r="F888" t="s">
        <v>60</v>
      </c>
      <c r="G888" t="s">
        <v>40</v>
      </c>
      <c r="H888" s="1">
        <v>45287</v>
      </c>
      <c r="I888" t="s">
        <v>1038</v>
      </c>
      <c r="J888" t="s">
        <v>42</v>
      </c>
      <c r="K888" t="s">
        <v>43</v>
      </c>
      <c r="L888" s="2" t="s">
        <v>102</v>
      </c>
    </row>
    <row r="889" spans="1:12" x14ac:dyDescent="0.3">
      <c r="A889" t="s">
        <v>1037</v>
      </c>
      <c r="B889">
        <v>3281</v>
      </c>
      <c r="C889">
        <v>471</v>
      </c>
      <c r="D889">
        <v>7</v>
      </c>
      <c r="E889" t="s">
        <v>45</v>
      </c>
      <c r="F889" t="s">
        <v>60</v>
      </c>
      <c r="G889" t="s">
        <v>40</v>
      </c>
      <c r="H889" s="1">
        <v>45102</v>
      </c>
      <c r="I889" t="s">
        <v>1039</v>
      </c>
      <c r="J889" t="s">
        <v>21</v>
      </c>
      <c r="K889" t="s">
        <v>172</v>
      </c>
      <c r="L889" s="2" t="s">
        <v>19</v>
      </c>
    </row>
    <row r="890" spans="1:12" x14ac:dyDescent="0.3">
      <c r="A890" t="s">
        <v>1040</v>
      </c>
      <c r="B890">
        <v>8681</v>
      </c>
      <c r="C890">
        <v>2458</v>
      </c>
      <c r="D890">
        <v>9</v>
      </c>
      <c r="E890" t="s">
        <v>30</v>
      </c>
      <c r="F890" t="s">
        <v>31</v>
      </c>
      <c r="G890" t="s">
        <v>47</v>
      </c>
      <c r="H890" s="1">
        <v>44075</v>
      </c>
      <c r="I890" t="s">
        <v>1041</v>
      </c>
      <c r="J890" t="s">
        <v>25</v>
      </c>
      <c r="K890" t="s">
        <v>51</v>
      </c>
      <c r="L890" s="2" t="s">
        <v>389</v>
      </c>
    </row>
    <row r="891" spans="1:12" x14ac:dyDescent="0.3">
      <c r="A891" t="s">
        <v>1042</v>
      </c>
      <c r="B891">
        <v>6195</v>
      </c>
      <c r="C891">
        <v>1556</v>
      </c>
      <c r="D891">
        <v>18</v>
      </c>
      <c r="E891" t="s">
        <v>45</v>
      </c>
      <c r="F891" t="s">
        <v>60</v>
      </c>
      <c r="G891" t="s">
        <v>40</v>
      </c>
      <c r="H891" s="1">
        <v>45689</v>
      </c>
      <c r="I891" t="s">
        <v>1043</v>
      </c>
      <c r="J891" t="s">
        <v>21</v>
      </c>
      <c r="K891" t="s">
        <v>63</v>
      </c>
      <c r="L891" s="2" t="s">
        <v>73</v>
      </c>
    </row>
    <row r="892" spans="1:12" x14ac:dyDescent="0.3">
      <c r="A892" t="s">
        <v>1044</v>
      </c>
      <c r="B892">
        <v>3877</v>
      </c>
      <c r="C892">
        <v>481</v>
      </c>
      <c r="D892">
        <v>16</v>
      </c>
      <c r="E892" t="s">
        <v>45</v>
      </c>
      <c r="F892" t="s">
        <v>49</v>
      </c>
      <c r="G892" t="s">
        <v>32</v>
      </c>
      <c r="H892" s="1">
        <v>45129</v>
      </c>
      <c r="I892" t="s">
        <v>1045</v>
      </c>
      <c r="J892" t="s">
        <v>25</v>
      </c>
      <c r="K892" t="s">
        <v>68</v>
      </c>
      <c r="L892" s="2" t="s">
        <v>105</v>
      </c>
    </row>
    <row r="893" spans="1:12" x14ac:dyDescent="0.3">
      <c r="A893" t="s">
        <v>1044</v>
      </c>
      <c r="B893">
        <v>3877</v>
      </c>
      <c r="C893">
        <v>481</v>
      </c>
      <c r="D893">
        <v>16</v>
      </c>
      <c r="E893" t="s">
        <v>45</v>
      </c>
      <c r="F893" t="s">
        <v>49</v>
      </c>
      <c r="G893" t="s">
        <v>32</v>
      </c>
      <c r="H893" s="1">
        <v>44596</v>
      </c>
      <c r="I893" t="s">
        <v>1046</v>
      </c>
      <c r="J893" t="s">
        <v>25</v>
      </c>
      <c r="K893" t="s">
        <v>51</v>
      </c>
      <c r="L893" s="2" t="s">
        <v>137</v>
      </c>
    </row>
    <row r="894" spans="1:12" x14ac:dyDescent="0.3">
      <c r="A894" t="s">
        <v>1047</v>
      </c>
      <c r="B894">
        <v>9369</v>
      </c>
      <c r="C894">
        <v>3297</v>
      </c>
      <c r="D894">
        <v>6</v>
      </c>
      <c r="E894" t="s">
        <v>13</v>
      </c>
      <c r="F894" t="s">
        <v>28</v>
      </c>
      <c r="G894" t="s">
        <v>32</v>
      </c>
      <c r="H894" s="1">
        <v>45196</v>
      </c>
      <c r="I894" t="s">
        <v>1048</v>
      </c>
      <c r="J894" t="s">
        <v>17</v>
      </c>
      <c r="K894" t="s">
        <v>34</v>
      </c>
      <c r="L894" s="2" t="s">
        <v>273</v>
      </c>
    </row>
    <row r="895" spans="1:12" x14ac:dyDescent="0.3">
      <c r="A895" t="s">
        <v>1047</v>
      </c>
      <c r="B895">
        <v>9369</v>
      </c>
      <c r="C895">
        <v>3297</v>
      </c>
      <c r="D895">
        <v>6</v>
      </c>
      <c r="E895" t="s">
        <v>13</v>
      </c>
      <c r="F895" t="s">
        <v>28</v>
      </c>
      <c r="G895" t="s">
        <v>32</v>
      </c>
      <c r="H895" s="1">
        <v>45687</v>
      </c>
      <c r="I895" t="s">
        <v>1049</v>
      </c>
      <c r="J895" t="s">
        <v>25</v>
      </c>
      <c r="K895" t="s">
        <v>51</v>
      </c>
      <c r="L895" s="2" t="s">
        <v>308</v>
      </c>
    </row>
    <row r="896" spans="1:12" x14ac:dyDescent="0.3">
      <c r="A896" t="s">
        <v>1047</v>
      </c>
      <c r="B896">
        <v>8680</v>
      </c>
      <c r="C896">
        <v>4068</v>
      </c>
      <c r="D896">
        <v>20</v>
      </c>
      <c r="E896" t="s">
        <v>13</v>
      </c>
      <c r="F896" t="s">
        <v>28</v>
      </c>
      <c r="G896" t="s">
        <v>47</v>
      </c>
      <c r="H896" s="1">
        <v>45196</v>
      </c>
      <c r="I896" t="s">
        <v>1048</v>
      </c>
      <c r="J896" t="s">
        <v>17</v>
      </c>
      <c r="K896" t="s">
        <v>34</v>
      </c>
      <c r="L896" s="2" t="s">
        <v>273</v>
      </c>
    </row>
    <row r="897" spans="1:12" x14ac:dyDescent="0.3">
      <c r="A897" t="s">
        <v>1047</v>
      </c>
      <c r="B897">
        <v>8680</v>
      </c>
      <c r="C897">
        <v>4068</v>
      </c>
      <c r="D897">
        <v>20</v>
      </c>
      <c r="E897" t="s">
        <v>13</v>
      </c>
      <c r="F897" t="s">
        <v>28</v>
      </c>
      <c r="G897" t="s">
        <v>47</v>
      </c>
      <c r="H897" s="1">
        <v>45687</v>
      </c>
      <c r="I897" t="s">
        <v>1049</v>
      </c>
      <c r="J897" t="s">
        <v>25</v>
      </c>
      <c r="K897" t="s">
        <v>51</v>
      </c>
      <c r="L897" s="2" t="s">
        <v>308</v>
      </c>
    </row>
    <row r="898" spans="1:12" x14ac:dyDescent="0.3">
      <c r="A898" t="s">
        <v>1047</v>
      </c>
      <c r="B898">
        <v>3067</v>
      </c>
      <c r="C898">
        <v>1475</v>
      </c>
      <c r="D898">
        <v>8</v>
      </c>
      <c r="E898" t="s">
        <v>13</v>
      </c>
      <c r="F898" t="s">
        <v>39</v>
      </c>
      <c r="G898" t="s">
        <v>15</v>
      </c>
      <c r="H898" s="1">
        <v>45196</v>
      </c>
      <c r="I898" t="s">
        <v>1048</v>
      </c>
      <c r="J898" t="s">
        <v>17</v>
      </c>
      <c r="K898" t="s">
        <v>34</v>
      </c>
      <c r="L898" s="2" t="s">
        <v>273</v>
      </c>
    </row>
    <row r="899" spans="1:12" x14ac:dyDescent="0.3">
      <c r="A899" t="s">
        <v>1047</v>
      </c>
      <c r="B899">
        <v>3067</v>
      </c>
      <c r="C899">
        <v>1475</v>
      </c>
      <c r="D899">
        <v>8</v>
      </c>
      <c r="E899" t="s">
        <v>13</v>
      </c>
      <c r="F899" t="s">
        <v>39</v>
      </c>
      <c r="G899" t="s">
        <v>15</v>
      </c>
      <c r="H899" s="1">
        <v>45687</v>
      </c>
      <c r="I899" t="s">
        <v>1049</v>
      </c>
      <c r="J899" t="s">
        <v>25</v>
      </c>
      <c r="K899" t="s">
        <v>51</v>
      </c>
      <c r="L899" s="2" t="s">
        <v>308</v>
      </c>
    </row>
    <row r="900" spans="1:12" x14ac:dyDescent="0.3">
      <c r="A900" t="s">
        <v>1050</v>
      </c>
      <c r="B900">
        <v>9002</v>
      </c>
      <c r="C900">
        <v>4197</v>
      </c>
      <c r="D900">
        <v>2</v>
      </c>
      <c r="E900" t="s">
        <v>30</v>
      </c>
      <c r="F900" t="s">
        <v>57</v>
      </c>
      <c r="G900" t="s">
        <v>40</v>
      </c>
      <c r="H900" s="1">
        <v>45672</v>
      </c>
      <c r="I900" t="s">
        <v>1051</v>
      </c>
      <c r="J900" t="s">
        <v>98</v>
      </c>
      <c r="K900" t="s">
        <v>107</v>
      </c>
      <c r="L900" s="2" t="s">
        <v>308</v>
      </c>
    </row>
    <row r="901" spans="1:12" x14ac:dyDescent="0.3">
      <c r="A901" t="s">
        <v>1050</v>
      </c>
      <c r="B901">
        <v>9002</v>
      </c>
      <c r="C901">
        <v>4197</v>
      </c>
      <c r="D901">
        <v>2</v>
      </c>
      <c r="E901" t="s">
        <v>30</v>
      </c>
      <c r="F901" t="s">
        <v>57</v>
      </c>
      <c r="G901" t="s">
        <v>40</v>
      </c>
      <c r="H901" s="1">
        <v>44283</v>
      </c>
      <c r="I901" t="s">
        <v>1052</v>
      </c>
      <c r="J901" t="s">
        <v>98</v>
      </c>
      <c r="K901" t="s">
        <v>99</v>
      </c>
      <c r="L901" s="2" t="s">
        <v>167</v>
      </c>
    </row>
    <row r="902" spans="1:12" x14ac:dyDescent="0.3">
      <c r="A902" t="s">
        <v>1053</v>
      </c>
      <c r="B902">
        <v>7105</v>
      </c>
      <c r="C902">
        <v>2782</v>
      </c>
      <c r="D902">
        <v>19</v>
      </c>
      <c r="E902" t="s">
        <v>30</v>
      </c>
      <c r="F902" t="s">
        <v>31</v>
      </c>
      <c r="G902" t="s">
        <v>65</v>
      </c>
      <c r="H902" s="1">
        <v>44555</v>
      </c>
      <c r="I902" t="s">
        <v>1054</v>
      </c>
      <c r="J902" t="s">
        <v>98</v>
      </c>
      <c r="K902" t="s">
        <v>99</v>
      </c>
      <c r="L902" s="2" t="s">
        <v>90</v>
      </c>
    </row>
    <row r="903" spans="1:12" x14ac:dyDescent="0.3">
      <c r="A903" t="s">
        <v>1055</v>
      </c>
      <c r="B903">
        <v>5317</v>
      </c>
      <c r="C903">
        <v>1345</v>
      </c>
      <c r="D903">
        <v>18</v>
      </c>
      <c r="E903" t="s">
        <v>45</v>
      </c>
      <c r="F903" t="s">
        <v>49</v>
      </c>
      <c r="G903" t="s">
        <v>32</v>
      </c>
      <c r="H903" s="1">
        <v>44960</v>
      </c>
      <c r="I903" t="s">
        <v>1056</v>
      </c>
      <c r="J903" t="s">
        <v>98</v>
      </c>
      <c r="K903" t="s">
        <v>99</v>
      </c>
      <c r="L903" s="2" t="s">
        <v>93</v>
      </c>
    </row>
    <row r="904" spans="1:12" x14ac:dyDescent="0.3">
      <c r="A904" t="s">
        <v>1055</v>
      </c>
      <c r="B904">
        <v>5317</v>
      </c>
      <c r="C904">
        <v>1345</v>
      </c>
      <c r="D904">
        <v>18</v>
      </c>
      <c r="E904" t="s">
        <v>45</v>
      </c>
      <c r="F904" t="s">
        <v>49</v>
      </c>
      <c r="G904" t="s">
        <v>32</v>
      </c>
      <c r="H904" s="1">
        <v>45044</v>
      </c>
      <c r="I904" t="s">
        <v>1057</v>
      </c>
      <c r="J904" t="s">
        <v>17</v>
      </c>
      <c r="K904" t="s">
        <v>34</v>
      </c>
      <c r="L904" s="2" t="s">
        <v>145</v>
      </c>
    </row>
    <row r="905" spans="1:12" x14ac:dyDescent="0.3">
      <c r="A905" t="s">
        <v>1055</v>
      </c>
      <c r="B905">
        <v>5317</v>
      </c>
      <c r="C905">
        <v>1345</v>
      </c>
      <c r="D905">
        <v>18</v>
      </c>
      <c r="E905" t="s">
        <v>45</v>
      </c>
      <c r="F905" t="s">
        <v>49</v>
      </c>
      <c r="G905" t="s">
        <v>32</v>
      </c>
      <c r="H905" s="1">
        <v>45618</v>
      </c>
      <c r="I905" t="s">
        <v>1058</v>
      </c>
      <c r="J905" t="s">
        <v>42</v>
      </c>
      <c r="K905" t="s">
        <v>92</v>
      </c>
      <c r="L905" s="2" t="s">
        <v>255</v>
      </c>
    </row>
    <row r="906" spans="1:12" x14ac:dyDescent="0.3">
      <c r="A906" t="s">
        <v>1055</v>
      </c>
      <c r="B906">
        <v>6304</v>
      </c>
      <c r="C906">
        <v>766</v>
      </c>
      <c r="D906">
        <v>14</v>
      </c>
      <c r="E906" t="s">
        <v>45</v>
      </c>
      <c r="F906" t="s">
        <v>46</v>
      </c>
      <c r="G906" t="s">
        <v>40</v>
      </c>
      <c r="H906" s="1">
        <v>44960</v>
      </c>
      <c r="I906" t="s">
        <v>1056</v>
      </c>
      <c r="J906" t="s">
        <v>98</v>
      </c>
      <c r="K906" t="s">
        <v>99</v>
      </c>
      <c r="L906" s="2" t="s">
        <v>93</v>
      </c>
    </row>
    <row r="907" spans="1:12" x14ac:dyDescent="0.3">
      <c r="A907" t="s">
        <v>1055</v>
      </c>
      <c r="B907">
        <v>6304</v>
      </c>
      <c r="C907">
        <v>766</v>
      </c>
      <c r="D907">
        <v>14</v>
      </c>
      <c r="E907" t="s">
        <v>45</v>
      </c>
      <c r="F907" t="s">
        <v>46</v>
      </c>
      <c r="G907" t="s">
        <v>40</v>
      </c>
      <c r="H907" s="1">
        <v>45044</v>
      </c>
      <c r="I907" t="s">
        <v>1057</v>
      </c>
      <c r="J907" t="s">
        <v>17</v>
      </c>
      <c r="K907" t="s">
        <v>34</v>
      </c>
      <c r="L907" s="2" t="s">
        <v>145</v>
      </c>
    </row>
    <row r="908" spans="1:12" x14ac:dyDescent="0.3">
      <c r="A908" t="s">
        <v>1055</v>
      </c>
      <c r="B908">
        <v>6304</v>
      </c>
      <c r="C908">
        <v>766</v>
      </c>
      <c r="D908">
        <v>14</v>
      </c>
      <c r="E908" t="s">
        <v>45</v>
      </c>
      <c r="F908" t="s">
        <v>46</v>
      </c>
      <c r="G908" t="s">
        <v>40</v>
      </c>
      <c r="H908" s="1">
        <v>45618</v>
      </c>
      <c r="I908" t="s">
        <v>1058</v>
      </c>
      <c r="J908" t="s">
        <v>42</v>
      </c>
      <c r="K908" t="s">
        <v>92</v>
      </c>
      <c r="L908" s="2" t="s">
        <v>255</v>
      </c>
    </row>
    <row r="909" spans="1:12" x14ac:dyDescent="0.3">
      <c r="A909" t="s">
        <v>1059</v>
      </c>
      <c r="B909">
        <v>9565</v>
      </c>
      <c r="C909">
        <v>1691</v>
      </c>
      <c r="D909">
        <v>3</v>
      </c>
      <c r="E909" t="s">
        <v>30</v>
      </c>
      <c r="F909" t="s">
        <v>64</v>
      </c>
      <c r="G909" t="s">
        <v>32</v>
      </c>
      <c r="H909" s="1">
        <v>45475</v>
      </c>
      <c r="I909" t="s">
        <v>1060</v>
      </c>
      <c r="J909" t="s">
        <v>21</v>
      </c>
      <c r="K909" t="s">
        <v>63</v>
      </c>
      <c r="L909" s="2" t="s">
        <v>215</v>
      </c>
    </row>
    <row r="910" spans="1:12" x14ac:dyDescent="0.3">
      <c r="A910" t="s">
        <v>1059</v>
      </c>
      <c r="B910">
        <v>8245</v>
      </c>
      <c r="C910">
        <v>324</v>
      </c>
      <c r="D910">
        <v>11</v>
      </c>
      <c r="E910" t="s">
        <v>30</v>
      </c>
      <c r="F910" t="s">
        <v>64</v>
      </c>
      <c r="G910" t="s">
        <v>40</v>
      </c>
      <c r="H910" s="1">
        <v>45475</v>
      </c>
      <c r="I910" t="s">
        <v>1060</v>
      </c>
      <c r="J910" t="s">
        <v>21</v>
      </c>
      <c r="K910" t="s">
        <v>63</v>
      </c>
      <c r="L910" s="2" t="s">
        <v>215</v>
      </c>
    </row>
    <row r="911" spans="1:12" x14ac:dyDescent="0.3">
      <c r="A911" t="s">
        <v>1061</v>
      </c>
      <c r="B911">
        <v>1592</v>
      </c>
      <c r="C911">
        <v>480</v>
      </c>
      <c r="D911">
        <v>13</v>
      </c>
      <c r="E911" t="s">
        <v>13</v>
      </c>
      <c r="F911" t="s">
        <v>39</v>
      </c>
      <c r="G911" t="s">
        <v>32</v>
      </c>
      <c r="H911" s="1">
        <v>44579</v>
      </c>
      <c r="I911" t="s">
        <v>1062</v>
      </c>
      <c r="J911" t="s">
        <v>98</v>
      </c>
      <c r="K911" t="s">
        <v>117</v>
      </c>
      <c r="L911" s="2" t="s">
        <v>87</v>
      </c>
    </row>
    <row r="912" spans="1:12" x14ac:dyDescent="0.3">
      <c r="A912" t="s">
        <v>1063</v>
      </c>
      <c r="B912">
        <v>8400</v>
      </c>
      <c r="C912">
        <v>267</v>
      </c>
      <c r="D912">
        <v>5</v>
      </c>
      <c r="E912" t="s">
        <v>13</v>
      </c>
      <c r="F912" t="s">
        <v>82</v>
      </c>
      <c r="G912" t="s">
        <v>32</v>
      </c>
      <c r="H912" s="1">
        <v>45573</v>
      </c>
      <c r="I912" t="s">
        <v>1064</v>
      </c>
      <c r="J912" t="s">
        <v>98</v>
      </c>
      <c r="K912" t="s">
        <v>99</v>
      </c>
      <c r="L912" s="2" t="s">
        <v>360</v>
      </c>
    </row>
    <row r="913" spans="1:12" x14ac:dyDescent="0.3">
      <c r="A913" t="s">
        <v>1063</v>
      </c>
      <c r="B913">
        <v>4963</v>
      </c>
      <c r="C913">
        <v>1254</v>
      </c>
      <c r="D913">
        <v>15</v>
      </c>
      <c r="E913" t="s">
        <v>30</v>
      </c>
      <c r="F913" t="s">
        <v>64</v>
      </c>
      <c r="G913" t="s">
        <v>40</v>
      </c>
      <c r="H913" s="1">
        <v>45573</v>
      </c>
      <c r="I913" t="s">
        <v>1064</v>
      </c>
      <c r="J913" t="s">
        <v>98</v>
      </c>
      <c r="K913" t="s">
        <v>99</v>
      </c>
      <c r="L913" s="2" t="s">
        <v>360</v>
      </c>
    </row>
    <row r="914" spans="1:12" x14ac:dyDescent="0.3">
      <c r="A914" t="s">
        <v>1065</v>
      </c>
      <c r="B914">
        <v>2472</v>
      </c>
      <c r="C914">
        <v>211</v>
      </c>
      <c r="D914">
        <v>5</v>
      </c>
      <c r="E914" t="s">
        <v>13</v>
      </c>
      <c r="F914" t="s">
        <v>28</v>
      </c>
      <c r="G914" t="s">
        <v>65</v>
      </c>
      <c r="H914" s="1">
        <v>44003</v>
      </c>
      <c r="I914" t="s">
        <v>1066</v>
      </c>
      <c r="J914" t="s">
        <v>42</v>
      </c>
      <c r="K914" t="s">
        <v>75</v>
      </c>
      <c r="L914" s="2" t="s">
        <v>313</v>
      </c>
    </row>
    <row r="915" spans="1:12" x14ac:dyDescent="0.3">
      <c r="A915" t="s">
        <v>1067</v>
      </c>
      <c r="B915">
        <v>9132</v>
      </c>
      <c r="C915">
        <v>3096</v>
      </c>
      <c r="D915">
        <v>14</v>
      </c>
      <c r="E915" t="s">
        <v>45</v>
      </c>
      <c r="F915" t="s">
        <v>49</v>
      </c>
      <c r="G915" t="s">
        <v>32</v>
      </c>
      <c r="H915" s="1">
        <v>45274</v>
      </c>
      <c r="I915" t="s">
        <v>1068</v>
      </c>
      <c r="J915" t="s">
        <v>17</v>
      </c>
      <c r="K915" t="s">
        <v>150</v>
      </c>
      <c r="L915" s="2" t="s">
        <v>102</v>
      </c>
    </row>
    <row r="916" spans="1:12" x14ac:dyDescent="0.3">
      <c r="A916" t="s">
        <v>1069</v>
      </c>
      <c r="B916">
        <v>8305</v>
      </c>
      <c r="C916">
        <v>1577</v>
      </c>
      <c r="D916">
        <v>6</v>
      </c>
      <c r="E916" t="s">
        <v>30</v>
      </c>
      <c r="F916" t="s">
        <v>78</v>
      </c>
      <c r="G916" t="s">
        <v>32</v>
      </c>
      <c r="H916" s="1">
        <v>44181</v>
      </c>
      <c r="I916" t="s">
        <v>1070</v>
      </c>
      <c r="J916" t="s">
        <v>25</v>
      </c>
      <c r="K916" t="s">
        <v>68</v>
      </c>
      <c r="L916" s="2" t="s">
        <v>287</v>
      </c>
    </row>
    <row r="917" spans="1:12" x14ac:dyDescent="0.3">
      <c r="A917" t="s">
        <v>1071</v>
      </c>
      <c r="B917">
        <v>1010</v>
      </c>
      <c r="C917">
        <v>58</v>
      </c>
      <c r="D917">
        <v>19</v>
      </c>
      <c r="E917" t="s">
        <v>13</v>
      </c>
      <c r="F917" t="s">
        <v>14</v>
      </c>
      <c r="G917" t="s">
        <v>65</v>
      </c>
      <c r="H917" s="1">
        <v>45731</v>
      </c>
      <c r="I917" t="s">
        <v>1072</v>
      </c>
      <c r="J917" t="s">
        <v>17</v>
      </c>
      <c r="K917" t="s">
        <v>150</v>
      </c>
      <c r="L917" s="2" t="s">
        <v>157</v>
      </c>
    </row>
    <row r="918" spans="1:12" x14ac:dyDescent="0.3">
      <c r="A918" t="s">
        <v>1073</v>
      </c>
      <c r="B918">
        <v>4544</v>
      </c>
      <c r="C918">
        <v>1726</v>
      </c>
      <c r="D918">
        <v>9</v>
      </c>
      <c r="E918" t="s">
        <v>13</v>
      </c>
      <c r="F918" t="s">
        <v>82</v>
      </c>
      <c r="G918" t="s">
        <v>40</v>
      </c>
      <c r="H918" s="1">
        <v>45525</v>
      </c>
      <c r="I918" t="s">
        <v>1074</v>
      </c>
      <c r="J918" t="s">
        <v>71</v>
      </c>
      <c r="K918" t="s">
        <v>72</v>
      </c>
      <c r="L918" s="2" t="s">
        <v>114</v>
      </c>
    </row>
    <row r="919" spans="1:12" x14ac:dyDescent="0.3">
      <c r="A919" t="s">
        <v>1073</v>
      </c>
      <c r="B919">
        <v>5900</v>
      </c>
      <c r="C919">
        <v>1738</v>
      </c>
      <c r="D919">
        <v>20</v>
      </c>
      <c r="E919" t="s">
        <v>13</v>
      </c>
      <c r="F919" t="s">
        <v>82</v>
      </c>
      <c r="G919" t="s">
        <v>15</v>
      </c>
      <c r="H919" s="1">
        <v>45525</v>
      </c>
      <c r="I919" t="s">
        <v>1074</v>
      </c>
      <c r="J919" t="s">
        <v>71</v>
      </c>
      <c r="K919" t="s">
        <v>72</v>
      </c>
      <c r="L919" s="2" t="s">
        <v>114</v>
      </c>
    </row>
    <row r="920" spans="1:12" x14ac:dyDescent="0.3">
      <c r="A920" t="s">
        <v>1075</v>
      </c>
      <c r="B920">
        <v>8861</v>
      </c>
      <c r="C920">
        <v>3381</v>
      </c>
      <c r="D920">
        <v>19</v>
      </c>
      <c r="E920" t="s">
        <v>30</v>
      </c>
      <c r="F920" t="s">
        <v>57</v>
      </c>
      <c r="G920" t="s">
        <v>47</v>
      </c>
      <c r="H920" s="1">
        <v>44343</v>
      </c>
      <c r="I920" t="s">
        <v>1076</v>
      </c>
      <c r="J920" t="s">
        <v>42</v>
      </c>
      <c r="K920" t="s">
        <v>75</v>
      </c>
      <c r="L920" s="2" t="s">
        <v>108</v>
      </c>
    </row>
    <row r="921" spans="1:12" x14ac:dyDescent="0.3">
      <c r="A921" t="s">
        <v>1077</v>
      </c>
      <c r="B921">
        <v>8158</v>
      </c>
      <c r="C921">
        <v>2052</v>
      </c>
      <c r="D921">
        <v>13</v>
      </c>
      <c r="E921" t="s">
        <v>13</v>
      </c>
      <c r="F921" t="s">
        <v>82</v>
      </c>
      <c r="G921" t="s">
        <v>32</v>
      </c>
      <c r="H921" s="1">
        <v>44095</v>
      </c>
      <c r="I921" t="s">
        <v>1078</v>
      </c>
      <c r="J921" t="s">
        <v>98</v>
      </c>
      <c r="K921" t="s">
        <v>107</v>
      </c>
      <c r="L921" s="2" t="s">
        <v>389</v>
      </c>
    </row>
    <row r="922" spans="1:12" x14ac:dyDescent="0.3">
      <c r="A922" t="s">
        <v>1079</v>
      </c>
      <c r="B922">
        <v>3411</v>
      </c>
      <c r="C922">
        <v>1704</v>
      </c>
      <c r="D922">
        <v>14</v>
      </c>
      <c r="E922" t="s">
        <v>30</v>
      </c>
      <c r="F922" t="s">
        <v>31</v>
      </c>
      <c r="G922" t="s">
        <v>15</v>
      </c>
      <c r="H922" s="1">
        <v>45668</v>
      </c>
      <c r="I922" t="s">
        <v>1080</v>
      </c>
      <c r="J922" t="s">
        <v>42</v>
      </c>
      <c r="K922" t="s">
        <v>43</v>
      </c>
      <c r="L922" s="2" t="s">
        <v>308</v>
      </c>
    </row>
    <row r="923" spans="1:12" x14ac:dyDescent="0.3">
      <c r="A923" t="s">
        <v>1081</v>
      </c>
      <c r="B923">
        <v>9406</v>
      </c>
      <c r="C923">
        <v>1137</v>
      </c>
      <c r="D923">
        <v>16</v>
      </c>
      <c r="E923" t="s">
        <v>30</v>
      </c>
      <c r="F923" t="s">
        <v>57</v>
      </c>
      <c r="G923" t="s">
        <v>15</v>
      </c>
      <c r="H923" s="1">
        <v>44489</v>
      </c>
      <c r="I923" t="s">
        <v>1082</v>
      </c>
      <c r="J923" t="s">
        <v>71</v>
      </c>
      <c r="K923" t="s">
        <v>138</v>
      </c>
      <c r="L923" s="2" t="s">
        <v>37</v>
      </c>
    </row>
    <row r="924" spans="1:12" x14ac:dyDescent="0.3">
      <c r="A924" t="s">
        <v>1081</v>
      </c>
      <c r="B924">
        <v>1156</v>
      </c>
      <c r="C924">
        <v>74</v>
      </c>
      <c r="D924">
        <v>15</v>
      </c>
      <c r="E924" t="s">
        <v>13</v>
      </c>
      <c r="F924" t="s">
        <v>28</v>
      </c>
      <c r="G924" t="s">
        <v>40</v>
      </c>
      <c r="H924" s="1">
        <v>44489</v>
      </c>
      <c r="I924" t="s">
        <v>1082</v>
      </c>
      <c r="J924" t="s">
        <v>71</v>
      </c>
      <c r="K924" t="s">
        <v>138</v>
      </c>
      <c r="L924" s="2" t="s">
        <v>37</v>
      </c>
    </row>
    <row r="925" spans="1:12" x14ac:dyDescent="0.3">
      <c r="A925" t="s">
        <v>1083</v>
      </c>
      <c r="B925">
        <v>5354</v>
      </c>
      <c r="C925">
        <v>743</v>
      </c>
      <c r="D925">
        <v>10</v>
      </c>
      <c r="E925" t="s">
        <v>45</v>
      </c>
      <c r="F925" t="s">
        <v>109</v>
      </c>
      <c r="G925" t="s">
        <v>15</v>
      </c>
      <c r="H925" s="1">
        <v>44488</v>
      </c>
      <c r="I925" t="s">
        <v>1084</v>
      </c>
      <c r="J925" t="s">
        <v>21</v>
      </c>
      <c r="K925" t="s">
        <v>63</v>
      </c>
      <c r="L925" s="2" t="s">
        <v>37</v>
      </c>
    </row>
    <row r="926" spans="1:12" x14ac:dyDescent="0.3">
      <c r="A926" t="s">
        <v>1085</v>
      </c>
      <c r="B926">
        <v>8780</v>
      </c>
      <c r="C926">
        <v>3430</v>
      </c>
      <c r="D926">
        <v>4</v>
      </c>
      <c r="E926" t="s">
        <v>13</v>
      </c>
      <c r="F926" t="s">
        <v>14</v>
      </c>
      <c r="G926" t="s">
        <v>47</v>
      </c>
      <c r="H926" s="1">
        <v>45480</v>
      </c>
      <c r="I926" t="s">
        <v>1086</v>
      </c>
      <c r="J926" t="s">
        <v>71</v>
      </c>
      <c r="K926" t="s">
        <v>86</v>
      </c>
      <c r="L926" s="2" t="s">
        <v>215</v>
      </c>
    </row>
    <row r="927" spans="1:12" x14ac:dyDescent="0.3">
      <c r="A927" t="s">
        <v>1085</v>
      </c>
      <c r="B927">
        <v>8780</v>
      </c>
      <c r="C927">
        <v>3430</v>
      </c>
      <c r="D927">
        <v>4</v>
      </c>
      <c r="E927" t="s">
        <v>13</v>
      </c>
      <c r="F927" t="s">
        <v>14</v>
      </c>
      <c r="G927" t="s">
        <v>47</v>
      </c>
      <c r="H927" s="1">
        <v>45132</v>
      </c>
      <c r="I927" t="s">
        <v>1087</v>
      </c>
      <c r="J927" t="s">
        <v>71</v>
      </c>
      <c r="K927" t="s">
        <v>86</v>
      </c>
      <c r="L927" s="2" t="s">
        <v>105</v>
      </c>
    </row>
    <row r="928" spans="1:12" x14ac:dyDescent="0.3">
      <c r="A928" t="s">
        <v>1088</v>
      </c>
      <c r="B928">
        <v>6783</v>
      </c>
      <c r="C928">
        <v>3306</v>
      </c>
      <c r="D928">
        <v>8</v>
      </c>
      <c r="E928" t="s">
        <v>45</v>
      </c>
      <c r="F928" t="s">
        <v>60</v>
      </c>
      <c r="G928" t="s">
        <v>32</v>
      </c>
      <c r="H928" s="1">
        <v>43937</v>
      </c>
      <c r="I928" t="s">
        <v>1089</v>
      </c>
      <c r="J928" t="s">
        <v>98</v>
      </c>
      <c r="K928" t="s">
        <v>99</v>
      </c>
      <c r="L928" s="2" t="s">
        <v>162</v>
      </c>
    </row>
    <row r="929" spans="1:12" x14ac:dyDescent="0.3">
      <c r="A929" t="s">
        <v>1090</v>
      </c>
      <c r="B929">
        <v>1778</v>
      </c>
      <c r="C929">
        <v>285</v>
      </c>
      <c r="D929">
        <v>4</v>
      </c>
      <c r="E929" t="s">
        <v>30</v>
      </c>
      <c r="F929" t="s">
        <v>31</v>
      </c>
      <c r="G929" t="s">
        <v>47</v>
      </c>
      <c r="H929" s="1">
        <v>44016</v>
      </c>
      <c r="I929" t="s">
        <v>1091</v>
      </c>
      <c r="J929" t="s">
        <v>25</v>
      </c>
      <c r="K929" t="s">
        <v>51</v>
      </c>
      <c r="L929" s="2" t="s">
        <v>462</v>
      </c>
    </row>
    <row r="930" spans="1:12" x14ac:dyDescent="0.3">
      <c r="A930" t="s">
        <v>1092</v>
      </c>
      <c r="B930">
        <v>9399</v>
      </c>
      <c r="C930">
        <v>1949</v>
      </c>
      <c r="D930">
        <v>12</v>
      </c>
      <c r="E930" t="s">
        <v>13</v>
      </c>
      <c r="F930" t="s">
        <v>28</v>
      </c>
      <c r="G930" t="s">
        <v>15</v>
      </c>
      <c r="H930" s="1">
        <v>44697</v>
      </c>
      <c r="I930" t="s">
        <v>1093</v>
      </c>
      <c r="J930" t="s">
        <v>25</v>
      </c>
      <c r="K930" t="s">
        <v>68</v>
      </c>
      <c r="L930" s="2" t="s">
        <v>180</v>
      </c>
    </row>
    <row r="931" spans="1:12" x14ac:dyDescent="0.3">
      <c r="A931" t="s">
        <v>1092</v>
      </c>
      <c r="B931">
        <v>7957</v>
      </c>
      <c r="C931">
        <v>965</v>
      </c>
      <c r="D931">
        <v>4</v>
      </c>
      <c r="E931" t="s">
        <v>45</v>
      </c>
      <c r="F931" t="s">
        <v>60</v>
      </c>
      <c r="G931" t="s">
        <v>47</v>
      </c>
      <c r="H931" s="1">
        <v>44697</v>
      </c>
      <c r="I931" t="s">
        <v>1093</v>
      </c>
      <c r="J931" t="s">
        <v>25</v>
      </c>
      <c r="K931" t="s">
        <v>68</v>
      </c>
      <c r="L931" s="2" t="s">
        <v>180</v>
      </c>
    </row>
    <row r="932" spans="1:12" x14ac:dyDescent="0.3">
      <c r="A932" t="s">
        <v>1094</v>
      </c>
      <c r="B932">
        <v>1638</v>
      </c>
      <c r="C932">
        <v>661</v>
      </c>
      <c r="D932">
        <v>13</v>
      </c>
      <c r="E932" t="s">
        <v>45</v>
      </c>
      <c r="F932" t="s">
        <v>49</v>
      </c>
      <c r="G932" t="s">
        <v>40</v>
      </c>
      <c r="H932" s="1">
        <v>45255</v>
      </c>
      <c r="I932" t="s">
        <v>1095</v>
      </c>
      <c r="J932" t="s">
        <v>21</v>
      </c>
      <c r="K932" t="s">
        <v>63</v>
      </c>
      <c r="L932" s="2" t="s">
        <v>52</v>
      </c>
    </row>
    <row r="933" spans="1:12" x14ac:dyDescent="0.3">
      <c r="A933" t="s">
        <v>1096</v>
      </c>
      <c r="B933">
        <v>1786</v>
      </c>
      <c r="C933">
        <v>224</v>
      </c>
      <c r="D933">
        <v>4</v>
      </c>
      <c r="E933" t="s">
        <v>45</v>
      </c>
      <c r="F933" t="s">
        <v>46</v>
      </c>
      <c r="G933" t="s">
        <v>65</v>
      </c>
      <c r="H933" s="1">
        <v>44425</v>
      </c>
      <c r="I933" t="s">
        <v>1097</v>
      </c>
      <c r="J933" t="s">
        <v>71</v>
      </c>
      <c r="K933" t="s">
        <v>72</v>
      </c>
      <c r="L933" s="2" t="s">
        <v>178</v>
      </c>
    </row>
    <row r="934" spans="1:12" x14ac:dyDescent="0.3">
      <c r="A934" t="s">
        <v>1098</v>
      </c>
      <c r="B934">
        <v>4751</v>
      </c>
      <c r="C934">
        <v>781</v>
      </c>
      <c r="D934">
        <v>9</v>
      </c>
      <c r="E934" t="s">
        <v>30</v>
      </c>
      <c r="F934" t="s">
        <v>64</v>
      </c>
      <c r="G934" t="s">
        <v>40</v>
      </c>
      <c r="H934" s="1">
        <v>45109</v>
      </c>
      <c r="I934" t="s">
        <v>1099</v>
      </c>
      <c r="J934" t="s">
        <v>25</v>
      </c>
      <c r="K934" t="s">
        <v>26</v>
      </c>
      <c r="L934" s="2" t="s">
        <v>105</v>
      </c>
    </row>
    <row r="935" spans="1:12" x14ac:dyDescent="0.3">
      <c r="A935" t="s">
        <v>1100</v>
      </c>
      <c r="B935">
        <v>8979</v>
      </c>
      <c r="C935">
        <v>4477</v>
      </c>
      <c r="D935">
        <v>4</v>
      </c>
      <c r="E935" t="s">
        <v>30</v>
      </c>
      <c r="F935" t="s">
        <v>64</v>
      </c>
      <c r="G935" t="s">
        <v>47</v>
      </c>
      <c r="H935" s="1">
        <v>44067</v>
      </c>
      <c r="I935" t="s">
        <v>1101</v>
      </c>
      <c r="J935" t="s">
        <v>21</v>
      </c>
      <c r="K935" t="s">
        <v>22</v>
      </c>
      <c r="L935" s="2" t="s">
        <v>185</v>
      </c>
    </row>
    <row r="936" spans="1:12" x14ac:dyDescent="0.3">
      <c r="A936" t="s">
        <v>1102</v>
      </c>
      <c r="B936">
        <v>2727</v>
      </c>
      <c r="C936">
        <v>663</v>
      </c>
      <c r="D936">
        <v>8</v>
      </c>
      <c r="E936" t="s">
        <v>13</v>
      </c>
      <c r="F936" t="s">
        <v>82</v>
      </c>
      <c r="G936" t="s">
        <v>47</v>
      </c>
      <c r="H936" s="1">
        <v>44872</v>
      </c>
      <c r="I936" t="s">
        <v>1103</v>
      </c>
      <c r="J936" t="s">
        <v>17</v>
      </c>
      <c r="K936" t="s">
        <v>18</v>
      </c>
      <c r="L936" s="2" t="s">
        <v>44</v>
      </c>
    </row>
    <row r="937" spans="1:12" x14ac:dyDescent="0.3">
      <c r="A937" t="s">
        <v>1104</v>
      </c>
      <c r="B937">
        <v>1093</v>
      </c>
      <c r="C937">
        <v>397</v>
      </c>
      <c r="D937">
        <v>17</v>
      </c>
      <c r="E937" t="s">
        <v>13</v>
      </c>
      <c r="F937" t="s">
        <v>28</v>
      </c>
      <c r="G937" t="s">
        <v>47</v>
      </c>
      <c r="H937" s="1">
        <v>45378</v>
      </c>
      <c r="I937" t="s">
        <v>1105</v>
      </c>
      <c r="J937" t="s">
        <v>21</v>
      </c>
      <c r="K937" t="s">
        <v>172</v>
      </c>
      <c r="L937" s="2" t="s">
        <v>338</v>
      </c>
    </row>
    <row r="938" spans="1:12" x14ac:dyDescent="0.3">
      <c r="A938" t="s">
        <v>1104</v>
      </c>
      <c r="B938">
        <v>1093</v>
      </c>
      <c r="C938">
        <v>397</v>
      </c>
      <c r="D938">
        <v>17</v>
      </c>
      <c r="E938" t="s">
        <v>13</v>
      </c>
      <c r="F938" t="s">
        <v>28</v>
      </c>
      <c r="G938" t="s">
        <v>47</v>
      </c>
      <c r="H938" s="1">
        <v>45536</v>
      </c>
      <c r="I938" t="s">
        <v>1106</v>
      </c>
      <c r="J938" t="s">
        <v>25</v>
      </c>
      <c r="K938" t="s">
        <v>26</v>
      </c>
      <c r="L938" s="2" t="s">
        <v>159</v>
      </c>
    </row>
    <row r="939" spans="1:12" x14ac:dyDescent="0.3">
      <c r="A939" t="s">
        <v>1104</v>
      </c>
      <c r="B939">
        <v>1093</v>
      </c>
      <c r="C939">
        <v>397</v>
      </c>
      <c r="D939">
        <v>17</v>
      </c>
      <c r="E939" t="s">
        <v>13</v>
      </c>
      <c r="F939" t="s">
        <v>28</v>
      </c>
      <c r="G939" t="s">
        <v>47</v>
      </c>
      <c r="H939" s="1">
        <v>44614</v>
      </c>
      <c r="I939" t="s">
        <v>1107</v>
      </c>
      <c r="J939" t="s">
        <v>98</v>
      </c>
      <c r="K939" t="s">
        <v>99</v>
      </c>
      <c r="L939" s="2" t="s">
        <v>137</v>
      </c>
    </row>
    <row r="940" spans="1:12" x14ac:dyDescent="0.3">
      <c r="A940" t="s">
        <v>1104</v>
      </c>
      <c r="B940">
        <v>2636</v>
      </c>
      <c r="C940">
        <v>88</v>
      </c>
      <c r="D940">
        <v>11</v>
      </c>
      <c r="E940" t="s">
        <v>30</v>
      </c>
      <c r="F940" t="s">
        <v>64</v>
      </c>
      <c r="G940" t="s">
        <v>32</v>
      </c>
      <c r="H940" s="1">
        <v>45378</v>
      </c>
      <c r="I940" t="s">
        <v>1105</v>
      </c>
      <c r="J940" t="s">
        <v>21</v>
      </c>
      <c r="K940" t="s">
        <v>172</v>
      </c>
      <c r="L940" s="2" t="s">
        <v>338</v>
      </c>
    </row>
    <row r="941" spans="1:12" x14ac:dyDescent="0.3">
      <c r="A941" t="s">
        <v>1104</v>
      </c>
      <c r="B941">
        <v>2636</v>
      </c>
      <c r="C941">
        <v>88</v>
      </c>
      <c r="D941">
        <v>11</v>
      </c>
      <c r="E941" t="s">
        <v>30</v>
      </c>
      <c r="F941" t="s">
        <v>64</v>
      </c>
      <c r="G941" t="s">
        <v>32</v>
      </c>
      <c r="H941" s="1">
        <v>45536</v>
      </c>
      <c r="I941" t="s">
        <v>1106</v>
      </c>
      <c r="J941" t="s">
        <v>25</v>
      </c>
      <c r="K941" t="s">
        <v>26</v>
      </c>
      <c r="L941" s="2" t="s">
        <v>159</v>
      </c>
    </row>
    <row r="942" spans="1:12" x14ac:dyDescent="0.3">
      <c r="A942" t="s">
        <v>1104</v>
      </c>
      <c r="B942">
        <v>2636</v>
      </c>
      <c r="C942">
        <v>88</v>
      </c>
      <c r="D942">
        <v>11</v>
      </c>
      <c r="E942" t="s">
        <v>30</v>
      </c>
      <c r="F942" t="s">
        <v>64</v>
      </c>
      <c r="G942" t="s">
        <v>32</v>
      </c>
      <c r="H942" s="1">
        <v>44614</v>
      </c>
      <c r="I942" t="s">
        <v>1107</v>
      </c>
      <c r="J942" t="s">
        <v>98</v>
      </c>
      <c r="K942" t="s">
        <v>99</v>
      </c>
      <c r="L942" s="2" t="s">
        <v>137</v>
      </c>
    </row>
    <row r="943" spans="1:12" x14ac:dyDescent="0.3">
      <c r="A943" t="s">
        <v>1108</v>
      </c>
      <c r="B943">
        <v>7344</v>
      </c>
      <c r="C943">
        <v>2251</v>
      </c>
      <c r="D943">
        <v>7</v>
      </c>
      <c r="E943" t="s">
        <v>13</v>
      </c>
      <c r="F943" t="s">
        <v>14</v>
      </c>
      <c r="G943" t="s">
        <v>32</v>
      </c>
      <c r="H943" s="1">
        <v>44603</v>
      </c>
      <c r="I943" t="s">
        <v>1109</v>
      </c>
      <c r="J943" t="s">
        <v>17</v>
      </c>
      <c r="K943" t="s">
        <v>18</v>
      </c>
      <c r="L943" s="2" t="s">
        <v>137</v>
      </c>
    </row>
    <row r="944" spans="1:12" x14ac:dyDescent="0.3">
      <c r="A944" t="s">
        <v>1108</v>
      </c>
      <c r="B944">
        <v>7306</v>
      </c>
      <c r="C944">
        <v>1547</v>
      </c>
      <c r="D944">
        <v>3</v>
      </c>
      <c r="E944" t="s">
        <v>30</v>
      </c>
      <c r="F944" t="s">
        <v>64</v>
      </c>
      <c r="G944" t="s">
        <v>65</v>
      </c>
      <c r="H944" s="1">
        <v>44603</v>
      </c>
      <c r="I944" t="s">
        <v>1109</v>
      </c>
      <c r="J944" t="s">
        <v>17</v>
      </c>
      <c r="K944" t="s">
        <v>18</v>
      </c>
      <c r="L944" s="2" t="s">
        <v>137</v>
      </c>
    </row>
    <row r="945" spans="1:12" x14ac:dyDescent="0.3">
      <c r="A945" t="s">
        <v>1108</v>
      </c>
      <c r="B945">
        <v>5832</v>
      </c>
      <c r="C945">
        <v>2588</v>
      </c>
      <c r="D945">
        <v>10</v>
      </c>
      <c r="E945" t="s">
        <v>13</v>
      </c>
      <c r="F945" t="s">
        <v>28</v>
      </c>
      <c r="G945" t="s">
        <v>65</v>
      </c>
      <c r="H945" s="1">
        <v>44603</v>
      </c>
      <c r="I945" t="s">
        <v>1109</v>
      </c>
      <c r="J945" t="s">
        <v>17</v>
      </c>
      <c r="K945" t="s">
        <v>18</v>
      </c>
      <c r="L945" s="2" t="s">
        <v>137</v>
      </c>
    </row>
    <row r="946" spans="1:12" x14ac:dyDescent="0.3">
      <c r="A946" t="s">
        <v>1110</v>
      </c>
      <c r="B946">
        <v>8572</v>
      </c>
      <c r="C946">
        <v>2041</v>
      </c>
      <c r="D946">
        <v>8</v>
      </c>
      <c r="E946" t="s">
        <v>45</v>
      </c>
      <c r="F946" t="s">
        <v>46</v>
      </c>
      <c r="G946" t="s">
        <v>40</v>
      </c>
      <c r="H946" s="1">
        <v>44343</v>
      </c>
      <c r="I946" t="s">
        <v>1111</v>
      </c>
      <c r="J946" t="s">
        <v>21</v>
      </c>
      <c r="K946" t="s">
        <v>63</v>
      </c>
      <c r="L946" s="2" t="s">
        <v>108</v>
      </c>
    </row>
    <row r="947" spans="1:12" x14ac:dyDescent="0.3">
      <c r="A947" t="s">
        <v>1110</v>
      </c>
      <c r="B947">
        <v>8572</v>
      </c>
      <c r="C947">
        <v>2041</v>
      </c>
      <c r="D947">
        <v>8</v>
      </c>
      <c r="E947" t="s">
        <v>45</v>
      </c>
      <c r="F947" t="s">
        <v>46</v>
      </c>
      <c r="G947" t="s">
        <v>40</v>
      </c>
      <c r="H947" s="1">
        <v>45112</v>
      </c>
      <c r="I947" t="s">
        <v>1112</v>
      </c>
      <c r="J947" t="s">
        <v>21</v>
      </c>
      <c r="K947" t="s">
        <v>63</v>
      </c>
      <c r="L947" s="2" t="s">
        <v>105</v>
      </c>
    </row>
    <row r="948" spans="1:12" x14ac:dyDescent="0.3">
      <c r="A948" t="s">
        <v>1110</v>
      </c>
      <c r="B948">
        <v>8572</v>
      </c>
      <c r="C948">
        <v>2041</v>
      </c>
      <c r="D948">
        <v>8</v>
      </c>
      <c r="E948" t="s">
        <v>45</v>
      </c>
      <c r="F948" t="s">
        <v>46</v>
      </c>
      <c r="G948" t="s">
        <v>40</v>
      </c>
      <c r="H948" s="1">
        <v>44131</v>
      </c>
      <c r="I948" t="s">
        <v>1113</v>
      </c>
      <c r="J948" t="s">
        <v>42</v>
      </c>
      <c r="K948" t="s">
        <v>75</v>
      </c>
      <c r="L948" s="2" t="s">
        <v>119</v>
      </c>
    </row>
    <row r="949" spans="1:12" x14ac:dyDescent="0.3">
      <c r="A949" t="s">
        <v>1110</v>
      </c>
      <c r="B949">
        <v>8059</v>
      </c>
      <c r="C949">
        <v>1834</v>
      </c>
      <c r="D949">
        <v>10</v>
      </c>
      <c r="E949" t="s">
        <v>13</v>
      </c>
      <c r="F949" t="s">
        <v>28</v>
      </c>
      <c r="G949" t="s">
        <v>47</v>
      </c>
      <c r="H949" s="1">
        <v>44343</v>
      </c>
      <c r="I949" t="s">
        <v>1111</v>
      </c>
      <c r="J949" t="s">
        <v>21</v>
      </c>
      <c r="K949" t="s">
        <v>63</v>
      </c>
      <c r="L949" s="2" t="s">
        <v>108</v>
      </c>
    </row>
    <row r="950" spans="1:12" x14ac:dyDescent="0.3">
      <c r="A950" t="s">
        <v>1110</v>
      </c>
      <c r="B950">
        <v>8059</v>
      </c>
      <c r="C950">
        <v>1834</v>
      </c>
      <c r="D950">
        <v>10</v>
      </c>
      <c r="E950" t="s">
        <v>13</v>
      </c>
      <c r="F950" t="s">
        <v>28</v>
      </c>
      <c r="G950" t="s">
        <v>47</v>
      </c>
      <c r="H950" s="1">
        <v>45112</v>
      </c>
      <c r="I950" t="s">
        <v>1112</v>
      </c>
      <c r="J950" t="s">
        <v>21</v>
      </c>
      <c r="K950" t="s">
        <v>63</v>
      </c>
      <c r="L950" s="2" t="s">
        <v>105</v>
      </c>
    </row>
    <row r="951" spans="1:12" x14ac:dyDescent="0.3">
      <c r="A951" t="s">
        <v>1110</v>
      </c>
      <c r="B951">
        <v>8059</v>
      </c>
      <c r="C951">
        <v>1834</v>
      </c>
      <c r="D951">
        <v>10</v>
      </c>
      <c r="E951" t="s">
        <v>13</v>
      </c>
      <c r="F951" t="s">
        <v>28</v>
      </c>
      <c r="G951" t="s">
        <v>47</v>
      </c>
      <c r="H951" s="1">
        <v>44131</v>
      </c>
      <c r="I951" t="s">
        <v>1113</v>
      </c>
      <c r="J951" t="s">
        <v>42</v>
      </c>
      <c r="K951" t="s">
        <v>75</v>
      </c>
      <c r="L951" s="2" t="s">
        <v>119</v>
      </c>
    </row>
    <row r="952" spans="1:12" x14ac:dyDescent="0.3">
      <c r="A952" t="s">
        <v>1114</v>
      </c>
      <c r="B952">
        <v>3661</v>
      </c>
      <c r="C952">
        <v>436</v>
      </c>
      <c r="D952">
        <v>13</v>
      </c>
      <c r="E952" t="s">
        <v>45</v>
      </c>
      <c r="F952" t="s">
        <v>60</v>
      </c>
      <c r="G952" t="s">
        <v>40</v>
      </c>
      <c r="H952" s="1">
        <v>44952</v>
      </c>
      <c r="I952" t="s">
        <v>1115</v>
      </c>
      <c r="J952" t="s">
        <v>71</v>
      </c>
      <c r="K952" t="s">
        <v>86</v>
      </c>
      <c r="L952" s="2" t="s">
        <v>333</v>
      </c>
    </row>
    <row r="953" spans="1:12" x14ac:dyDescent="0.3">
      <c r="A953" t="s">
        <v>1116</v>
      </c>
      <c r="B953">
        <v>2451</v>
      </c>
      <c r="C953">
        <v>342</v>
      </c>
      <c r="D953">
        <v>8</v>
      </c>
      <c r="E953" t="s">
        <v>30</v>
      </c>
      <c r="F953" t="s">
        <v>64</v>
      </c>
      <c r="G953" t="s">
        <v>40</v>
      </c>
      <c r="H953" s="1">
        <v>44445</v>
      </c>
      <c r="I953" t="s">
        <v>1117</v>
      </c>
      <c r="J953" t="s">
        <v>42</v>
      </c>
      <c r="K953" t="s">
        <v>43</v>
      </c>
      <c r="L953" s="2" t="s">
        <v>224</v>
      </c>
    </row>
    <row r="954" spans="1:12" x14ac:dyDescent="0.3">
      <c r="A954" t="s">
        <v>1116</v>
      </c>
      <c r="B954">
        <v>2451</v>
      </c>
      <c r="C954">
        <v>342</v>
      </c>
      <c r="D954">
        <v>8</v>
      </c>
      <c r="E954" t="s">
        <v>30</v>
      </c>
      <c r="F954" t="s">
        <v>64</v>
      </c>
      <c r="G954" t="s">
        <v>40</v>
      </c>
      <c r="H954" s="1">
        <v>44512</v>
      </c>
      <c r="I954" t="s">
        <v>1118</v>
      </c>
      <c r="J954" t="s">
        <v>98</v>
      </c>
      <c r="K954" t="s">
        <v>107</v>
      </c>
      <c r="L954" s="2" t="s">
        <v>175</v>
      </c>
    </row>
    <row r="955" spans="1:12" x14ac:dyDescent="0.3">
      <c r="A955" t="s">
        <v>1116</v>
      </c>
      <c r="B955">
        <v>2451</v>
      </c>
      <c r="C955">
        <v>342</v>
      </c>
      <c r="D955">
        <v>8</v>
      </c>
      <c r="E955" t="s">
        <v>30</v>
      </c>
      <c r="F955" t="s">
        <v>64</v>
      </c>
      <c r="G955" t="s">
        <v>40</v>
      </c>
      <c r="H955" s="1">
        <v>45503</v>
      </c>
      <c r="I955" t="s">
        <v>1119</v>
      </c>
      <c r="J955" t="s">
        <v>71</v>
      </c>
      <c r="K955" t="s">
        <v>138</v>
      </c>
      <c r="L955" s="2" t="s">
        <v>215</v>
      </c>
    </row>
    <row r="956" spans="1:12" x14ac:dyDescent="0.3">
      <c r="A956" t="s">
        <v>1120</v>
      </c>
      <c r="B956">
        <v>7067</v>
      </c>
      <c r="C956">
        <v>1943</v>
      </c>
      <c r="D956">
        <v>16</v>
      </c>
      <c r="E956" t="s">
        <v>45</v>
      </c>
      <c r="F956" t="s">
        <v>46</v>
      </c>
      <c r="G956" t="s">
        <v>47</v>
      </c>
      <c r="H956" s="1">
        <v>44635</v>
      </c>
      <c r="I956" t="s">
        <v>1121</v>
      </c>
      <c r="J956" t="s">
        <v>42</v>
      </c>
      <c r="K956" t="s">
        <v>92</v>
      </c>
      <c r="L956" s="2" t="s">
        <v>134</v>
      </c>
    </row>
    <row r="957" spans="1:12" x14ac:dyDescent="0.3">
      <c r="A957" t="s">
        <v>1122</v>
      </c>
      <c r="B957">
        <v>4307</v>
      </c>
      <c r="C957">
        <v>615</v>
      </c>
      <c r="D957">
        <v>3</v>
      </c>
      <c r="E957" t="s">
        <v>13</v>
      </c>
      <c r="F957" t="s">
        <v>14</v>
      </c>
      <c r="G957" t="s">
        <v>15</v>
      </c>
      <c r="H957" s="1">
        <v>45366</v>
      </c>
      <c r="I957" t="s">
        <v>1123</v>
      </c>
      <c r="J957" t="s">
        <v>25</v>
      </c>
      <c r="K957" t="s">
        <v>51</v>
      </c>
      <c r="L957" s="2" t="s">
        <v>338</v>
      </c>
    </row>
    <row r="958" spans="1:12" x14ac:dyDescent="0.3">
      <c r="A958" t="s">
        <v>1122</v>
      </c>
      <c r="B958">
        <v>4307</v>
      </c>
      <c r="C958">
        <v>615</v>
      </c>
      <c r="D958">
        <v>3</v>
      </c>
      <c r="E958" t="s">
        <v>13</v>
      </c>
      <c r="F958" t="s">
        <v>14</v>
      </c>
      <c r="G958" t="s">
        <v>15</v>
      </c>
      <c r="H958" s="1">
        <v>44145</v>
      </c>
      <c r="I958" t="s">
        <v>1124</v>
      </c>
      <c r="J958" t="s">
        <v>21</v>
      </c>
      <c r="K958" t="s">
        <v>63</v>
      </c>
      <c r="L958" s="2" t="s">
        <v>80</v>
      </c>
    </row>
    <row r="959" spans="1:12" x14ac:dyDescent="0.3">
      <c r="A959" t="s">
        <v>1122</v>
      </c>
      <c r="B959">
        <v>5694</v>
      </c>
      <c r="C959">
        <v>1134</v>
      </c>
      <c r="D959">
        <v>5</v>
      </c>
      <c r="E959" t="s">
        <v>45</v>
      </c>
      <c r="F959" t="s">
        <v>49</v>
      </c>
      <c r="G959" t="s">
        <v>40</v>
      </c>
      <c r="H959" s="1">
        <v>45366</v>
      </c>
      <c r="I959" t="s">
        <v>1123</v>
      </c>
      <c r="J959" t="s">
        <v>25</v>
      </c>
      <c r="K959" t="s">
        <v>51</v>
      </c>
      <c r="L959" s="2" t="s">
        <v>338</v>
      </c>
    </row>
    <row r="960" spans="1:12" x14ac:dyDescent="0.3">
      <c r="A960" t="s">
        <v>1122</v>
      </c>
      <c r="B960">
        <v>5694</v>
      </c>
      <c r="C960">
        <v>1134</v>
      </c>
      <c r="D960">
        <v>5</v>
      </c>
      <c r="E960" t="s">
        <v>45</v>
      </c>
      <c r="F960" t="s">
        <v>49</v>
      </c>
      <c r="G960" t="s">
        <v>40</v>
      </c>
      <c r="H960" s="1">
        <v>44145</v>
      </c>
      <c r="I960" t="s">
        <v>1124</v>
      </c>
      <c r="J960" t="s">
        <v>21</v>
      </c>
      <c r="K960" t="s">
        <v>63</v>
      </c>
      <c r="L960" s="2" t="s">
        <v>80</v>
      </c>
    </row>
    <row r="961" spans="1:12" x14ac:dyDescent="0.3">
      <c r="A961" t="s">
        <v>1125</v>
      </c>
      <c r="B961">
        <v>962</v>
      </c>
      <c r="C961">
        <v>298</v>
      </c>
      <c r="D961">
        <v>18</v>
      </c>
      <c r="E961" t="s">
        <v>30</v>
      </c>
      <c r="F961" t="s">
        <v>78</v>
      </c>
      <c r="G961" t="s">
        <v>47</v>
      </c>
      <c r="H961" s="1">
        <v>44765</v>
      </c>
      <c r="I961" t="s">
        <v>1126</v>
      </c>
      <c r="J961" t="s">
        <v>21</v>
      </c>
      <c r="K961" t="s">
        <v>63</v>
      </c>
      <c r="L961" s="2" t="s">
        <v>418</v>
      </c>
    </row>
    <row r="962" spans="1:12" x14ac:dyDescent="0.3">
      <c r="A962" t="s">
        <v>1127</v>
      </c>
      <c r="B962">
        <v>2995</v>
      </c>
      <c r="C962">
        <v>220</v>
      </c>
      <c r="D962">
        <v>14</v>
      </c>
      <c r="E962" t="s">
        <v>45</v>
      </c>
      <c r="F962" t="s">
        <v>109</v>
      </c>
      <c r="G962" t="s">
        <v>47</v>
      </c>
      <c r="H962" s="1">
        <v>45548</v>
      </c>
      <c r="I962" t="s">
        <v>1128</v>
      </c>
      <c r="J962" t="s">
        <v>25</v>
      </c>
      <c r="K962" t="s">
        <v>26</v>
      </c>
      <c r="L962" s="2" t="s">
        <v>159</v>
      </c>
    </row>
    <row r="963" spans="1:12" x14ac:dyDescent="0.3">
      <c r="A963" t="s">
        <v>1127</v>
      </c>
      <c r="B963">
        <v>2047</v>
      </c>
      <c r="C963">
        <v>914</v>
      </c>
      <c r="D963">
        <v>5</v>
      </c>
      <c r="E963" t="s">
        <v>30</v>
      </c>
      <c r="F963" t="s">
        <v>57</v>
      </c>
      <c r="G963" t="s">
        <v>32</v>
      </c>
      <c r="H963" s="1">
        <v>45548</v>
      </c>
      <c r="I963" t="s">
        <v>1128</v>
      </c>
      <c r="J963" t="s">
        <v>25</v>
      </c>
      <c r="K963" t="s">
        <v>26</v>
      </c>
      <c r="L963" s="2" t="s">
        <v>159</v>
      </c>
    </row>
    <row r="964" spans="1:12" x14ac:dyDescent="0.3">
      <c r="A964" t="s">
        <v>1129</v>
      </c>
      <c r="B964">
        <v>2078</v>
      </c>
      <c r="C964">
        <v>612</v>
      </c>
      <c r="D964">
        <v>6</v>
      </c>
      <c r="E964" t="s">
        <v>13</v>
      </c>
      <c r="F964" t="s">
        <v>39</v>
      </c>
      <c r="G964" t="s">
        <v>65</v>
      </c>
      <c r="H964" s="1">
        <v>44586</v>
      </c>
      <c r="I964" t="s">
        <v>1130</v>
      </c>
      <c r="J964" t="s">
        <v>71</v>
      </c>
      <c r="K964" t="s">
        <v>86</v>
      </c>
      <c r="L964" s="2" t="s">
        <v>87</v>
      </c>
    </row>
    <row r="965" spans="1:12" x14ac:dyDescent="0.3">
      <c r="A965" t="s">
        <v>1131</v>
      </c>
      <c r="B965">
        <v>2737</v>
      </c>
      <c r="C965">
        <v>1253</v>
      </c>
      <c r="D965">
        <v>3</v>
      </c>
      <c r="E965" t="s">
        <v>13</v>
      </c>
      <c r="F965" t="s">
        <v>28</v>
      </c>
      <c r="G965" t="s">
        <v>40</v>
      </c>
      <c r="H965" s="1">
        <v>44305</v>
      </c>
      <c r="I965" t="s">
        <v>1132</v>
      </c>
      <c r="J965" t="s">
        <v>25</v>
      </c>
      <c r="K965" t="s">
        <v>51</v>
      </c>
      <c r="L965" s="2" t="s">
        <v>139</v>
      </c>
    </row>
    <row r="966" spans="1:12" x14ac:dyDescent="0.3">
      <c r="A966" t="s">
        <v>1133</v>
      </c>
      <c r="B966">
        <v>8194</v>
      </c>
      <c r="C966">
        <v>2881</v>
      </c>
      <c r="D966">
        <v>6</v>
      </c>
      <c r="E966" t="s">
        <v>30</v>
      </c>
      <c r="F966" t="s">
        <v>64</v>
      </c>
      <c r="G966" t="s">
        <v>32</v>
      </c>
      <c r="H966" s="1">
        <v>44395</v>
      </c>
      <c r="I966" t="s">
        <v>1134</v>
      </c>
      <c r="J966" t="s">
        <v>71</v>
      </c>
      <c r="K966" t="s">
        <v>138</v>
      </c>
      <c r="L966" s="2" t="s">
        <v>27</v>
      </c>
    </row>
    <row r="967" spans="1:12" x14ac:dyDescent="0.3">
      <c r="A967" t="s">
        <v>1135</v>
      </c>
      <c r="B967">
        <v>9914</v>
      </c>
      <c r="C967">
        <v>3858</v>
      </c>
      <c r="D967">
        <v>16</v>
      </c>
      <c r="E967" t="s">
        <v>45</v>
      </c>
      <c r="F967" t="s">
        <v>60</v>
      </c>
      <c r="G967" t="s">
        <v>47</v>
      </c>
      <c r="H967" s="1">
        <v>44736</v>
      </c>
      <c r="I967" t="s">
        <v>1136</v>
      </c>
      <c r="J967" t="s">
        <v>25</v>
      </c>
      <c r="K967" t="s">
        <v>26</v>
      </c>
      <c r="L967" s="2" t="s">
        <v>165</v>
      </c>
    </row>
    <row r="968" spans="1:12" x14ac:dyDescent="0.3">
      <c r="A968" t="s">
        <v>1135</v>
      </c>
      <c r="B968">
        <v>9914</v>
      </c>
      <c r="C968">
        <v>3858</v>
      </c>
      <c r="D968">
        <v>16</v>
      </c>
      <c r="E968" t="s">
        <v>45</v>
      </c>
      <c r="F968" t="s">
        <v>60</v>
      </c>
      <c r="G968" t="s">
        <v>47</v>
      </c>
      <c r="H968" s="1">
        <v>45451</v>
      </c>
      <c r="I968" t="s">
        <v>1137</v>
      </c>
      <c r="J968" t="s">
        <v>25</v>
      </c>
      <c r="K968" t="s">
        <v>68</v>
      </c>
      <c r="L968" s="2" t="s">
        <v>262</v>
      </c>
    </row>
    <row r="969" spans="1:12" x14ac:dyDescent="0.3">
      <c r="A969" t="s">
        <v>1135</v>
      </c>
      <c r="B969">
        <v>5470</v>
      </c>
      <c r="C969">
        <v>292</v>
      </c>
      <c r="D969">
        <v>7</v>
      </c>
      <c r="E969" t="s">
        <v>30</v>
      </c>
      <c r="F969" t="s">
        <v>31</v>
      </c>
      <c r="G969" t="s">
        <v>32</v>
      </c>
      <c r="H969" s="1">
        <v>44736</v>
      </c>
      <c r="I969" t="s">
        <v>1136</v>
      </c>
      <c r="J969" t="s">
        <v>25</v>
      </c>
      <c r="K969" t="s">
        <v>26</v>
      </c>
      <c r="L969" s="2" t="s">
        <v>165</v>
      </c>
    </row>
    <row r="970" spans="1:12" x14ac:dyDescent="0.3">
      <c r="A970" t="s">
        <v>1135</v>
      </c>
      <c r="B970">
        <v>5470</v>
      </c>
      <c r="C970">
        <v>292</v>
      </c>
      <c r="D970">
        <v>7</v>
      </c>
      <c r="E970" t="s">
        <v>30</v>
      </c>
      <c r="F970" t="s">
        <v>31</v>
      </c>
      <c r="G970" t="s">
        <v>32</v>
      </c>
      <c r="H970" s="1">
        <v>45451</v>
      </c>
      <c r="I970" t="s">
        <v>1137</v>
      </c>
      <c r="J970" t="s">
        <v>25</v>
      </c>
      <c r="K970" t="s">
        <v>68</v>
      </c>
      <c r="L970" s="2" t="s">
        <v>262</v>
      </c>
    </row>
    <row r="971" spans="1:12" x14ac:dyDescent="0.3">
      <c r="A971" t="s">
        <v>1135</v>
      </c>
      <c r="B971">
        <v>1496</v>
      </c>
      <c r="C971">
        <v>662</v>
      </c>
      <c r="D971">
        <v>17</v>
      </c>
      <c r="E971" t="s">
        <v>45</v>
      </c>
      <c r="F971" t="s">
        <v>109</v>
      </c>
      <c r="G971" t="s">
        <v>15</v>
      </c>
      <c r="H971" s="1">
        <v>44736</v>
      </c>
      <c r="I971" t="s">
        <v>1136</v>
      </c>
      <c r="J971" t="s">
        <v>25</v>
      </c>
      <c r="K971" t="s">
        <v>26</v>
      </c>
      <c r="L971" s="2" t="s">
        <v>165</v>
      </c>
    </row>
    <row r="972" spans="1:12" x14ac:dyDescent="0.3">
      <c r="A972" t="s">
        <v>1135</v>
      </c>
      <c r="B972">
        <v>1496</v>
      </c>
      <c r="C972">
        <v>662</v>
      </c>
      <c r="D972">
        <v>17</v>
      </c>
      <c r="E972" t="s">
        <v>45</v>
      </c>
      <c r="F972" t="s">
        <v>109</v>
      </c>
      <c r="G972" t="s">
        <v>15</v>
      </c>
      <c r="H972" s="1">
        <v>45451</v>
      </c>
      <c r="I972" t="s">
        <v>1137</v>
      </c>
      <c r="J972" t="s">
        <v>25</v>
      </c>
      <c r="K972" t="s">
        <v>68</v>
      </c>
      <c r="L972" s="2" t="s">
        <v>262</v>
      </c>
    </row>
    <row r="973" spans="1:12" x14ac:dyDescent="0.3">
      <c r="A973" t="s">
        <v>1138</v>
      </c>
      <c r="B973">
        <v>3228</v>
      </c>
      <c r="C973">
        <v>476</v>
      </c>
      <c r="D973">
        <v>9</v>
      </c>
      <c r="E973" t="s">
        <v>30</v>
      </c>
      <c r="F973" t="s">
        <v>64</v>
      </c>
      <c r="G973" t="s">
        <v>65</v>
      </c>
      <c r="H973" s="1">
        <v>44833</v>
      </c>
      <c r="I973" t="s">
        <v>1139</v>
      </c>
      <c r="J973" t="s">
        <v>25</v>
      </c>
      <c r="K973" t="s">
        <v>51</v>
      </c>
      <c r="L973" s="2" t="s">
        <v>131</v>
      </c>
    </row>
    <row r="974" spans="1:12" x14ac:dyDescent="0.3">
      <c r="A974" t="s">
        <v>1140</v>
      </c>
      <c r="B974">
        <v>3918</v>
      </c>
      <c r="C974">
        <v>749</v>
      </c>
      <c r="D974">
        <v>8</v>
      </c>
      <c r="E974" t="s">
        <v>13</v>
      </c>
      <c r="F974" t="s">
        <v>39</v>
      </c>
      <c r="G974" t="s">
        <v>47</v>
      </c>
      <c r="H974" s="1">
        <v>45056</v>
      </c>
      <c r="I974" t="s">
        <v>1141</v>
      </c>
      <c r="J974" t="s">
        <v>42</v>
      </c>
      <c r="K974" t="s">
        <v>75</v>
      </c>
      <c r="L974" s="2" t="s">
        <v>127</v>
      </c>
    </row>
    <row r="975" spans="1:12" x14ac:dyDescent="0.3">
      <c r="A975" t="s">
        <v>1140</v>
      </c>
      <c r="B975">
        <v>3918</v>
      </c>
      <c r="C975">
        <v>749</v>
      </c>
      <c r="D975">
        <v>8</v>
      </c>
      <c r="E975" t="s">
        <v>13</v>
      </c>
      <c r="F975" t="s">
        <v>39</v>
      </c>
      <c r="G975" t="s">
        <v>47</v>
      </c>
      <c r="H975" s="1">
        <v>43953</v>
      </c>
      <c r="I975" t="s">
        <v>1142</v>
      </c>
      <c r="J975" t="s">
        <v>71</v>
      </c>
      <c r="K975" t="s">
        <v>138</v>
      </c>
      <c r="L975" s="2" t="s">
        <v>59</v>
      </c>
    </row>
    <row r="976" spans="1:12" x14ac:dyDescent="0.3">
      <c r="A976" t="s">
        <v>1143</v>
      </c>
      <c r="B976">
        <v>9921</v>
      </c>
      <c r="C976">
        <v>1451</v>
      </c>
      <c r="D976">
        <v>15</v>
      </c>
      <c r="E976" t="s">
        <v>45</v>
      </c>
      <c r="F976" t="s">
        <v>60</v>
      </c>
      <c r="G976" t="s">
        <v>40</v>
      </c>
      <c r="H976" s="1">
        <v>44298</v>
      </c>
      <c r="I976" t="s">
        <v>1144</v>
      </c>
      <c r="J976" t="s">
        <v>21</v>
      </c>
      <c r="K976" t="s">
        <v>22</v>
      </c>
      <c r="L976" s="2" t="s">
        <v>139</v>
      </c>
    </row>
    <row r="977" spans="1:12" x14ac:dyDescent="0.3">
      <c r="A977" t="s">
        <v>1145</v>
      </c>
      <c r="B977">
        <v>9694</v>
      </c>
      <c r="C977">
        <v>4361</v>
      </c>
      <c r="D977">
        <v>1</v>
      </c>
      <c r="E977" t="s">
        <v>45</v>
      </c>
      <c r="F977" t="s">
        <v>49</v>
      </c>
      <c r="G977" t="s">
        <v>40</v>
      </c>
      <c r="H977" s="1">
        <v>45234</v>
      </c>
      <c r="I977" t="s">
        <v>1146</v>
      </c>
      <c r="J977" t="s">
        <v>21</v>
      </c>
      <c r="K977" t="s">
        <v>63</v>
      </c>
      <c r="L977" s="2" t="s">
        <v>52</v>
      </c>
    </row>
    <row r="978" spans="1:12" x14ac:dyDescent="0.3">
      <c r="A978" t="s">
        <v>1147</v>
      </c>
      <c r="B978">
        <v>5028</v>
      </c>
      <c r="C978">
        <v>1553</v>
      </c>
      <c r="D978">
        <v>13</v>
      </c>
      <c r="E978" t="s">
        <v>30</v>
      </c>
      <c r="F978" t="s">
        <v>64</v>
      </c>
      <c r="G978" t="s">
        <v>40</v>
      </c>
      <c r="H978" s="1">
        <v>43955</v>
      </c>
      <c r="I978" t="s">
        <v>1148</v>
      </c>
      <c r="J978" t="s">
        <v>17</v>
      </c>
      <c r="K978" t="s">
        <v>150</v>
      </c>
      <c r="L978" s="2" t="s">
        <v>59</v>
      </c>
    </row>
    <row r="979" spans="1:12" x14ac:dyDescent="0.3">
      <c r="A979" t="s">
        <v>1149</v>
      </c>
      <c r="B979">
        <v>594</v>
      </c>
      <c r="C979">
        <v>67</v>
      </c>
      <c r="D979">
        <v>19</v>
      </c>
      <c r="E979" t="s">
        <v>30</v>
      </c>
      <c r="F979" t="s">
        <v>64</v>
      </c>
      <c r="G979" t="s">
        <v>32</v>
      </c>
      <c r="H979" s="1">
        <v>45179</v>
      </c>
      <c r="I979" t="s">
        <v>1150</v>
      </c>
      <c r="J979" t="s">
        <v>25</v>
      </c>
      <c r="K979" t="s">
        <v>26</v>
      </c>
      <c r="L979" s="2" t="s">
        <v>273</v>
      </c>
    </row>
    <row r="980" spans="1:12" x14ac:dyDescent="0.3">
      <c r="A980" t="s">
        <v>1149</v>
      </c>
      <c r="B980">
        <v>594</v>
      </c>
      <c r="C980">
        <v>67</v>
      </c>
      <c r="D980">
        <v>19</v>
      </c>
      <c r="E980" t="s">
        <v>30</v>
      </c>
      <c r="F980" t="s">
        <v>64</v>
      </c>
      <c r="G980" t="s">
        <v>32</v>
      </c>
      <c r="H980" s="1">
        <v>45296</v>
      </c>
      <c r="I980" t="s">
        <v>1151</v>
      </c>
      <c r="J980" t="s">
        <v>17</v>
      </c>
      <c r="K980" t="s">
        <v>18</v>
      </c>
      <c r="L980" s="2" t="s">
        <v>76</v>
      </c>
    </row>
    <row r="981" spans="1:12" x14ac:dyDescent="0.3">
      <c r="A981" t="s">
        <v>1149</v>
      </c>
      <c r="B981">
        <v>594</v>
      </c>
      <c r="C981">
        <v>67</v>
      </c>
      <c r="D981">
        <v>19</v>
      </c>
      <c r="E981" t="s">
        <v>30</v>
      </c>
      <c r="F981" t="s">
        <v>64</v>
      </c>
      <c r="G981" t="s">
        <v>32</v>
      </c>
      <c r="H981" s="1">
        <v>45420</v>
      </c>
      <c r="I981" t="s">
        <v>1152</v>
      </c>
      <c r="J981" t="s">
        <v>71</v>
      </c>
      <c r="K981" t="s">
        <v>86</v>
      </c>
      <c r="L981" s="2" t="s">
        <v>35</v>
      </c>
    </row>
    <row r="982" spans="1:12" x14ac:dyDescent="0.3">
      <c r="A982" t="s">
        <v>1153</v>
      </c>
      <c r="B982">
        <v>5954</v>
      </c>
      <c r="C982">
        <v>2618</v>
      </c>
      <c r="D982">
        <v>11</v>
      </c>
      <c r="E982" t="s">
        <v>45</v>
      </c>
      <c r="F982" t="s">
        <v>46</v>
      </c>
      <c r="G982" t="s">
        <v>65</v>
      </c>
      <c r="H982" s="1">
        <v>45381</v>
      </c>
      <c r="I982" t="s">
        <v>1154</v>
      </c>
      <c r="J982" t="s">
        <v>98</v>
      </c>
      <c r="K982" t="s">
        <v>107</v>
      </c>
      <c r="L982" s="2" t="s">
        <v>338</v>
      </c>
    </row>
    <row r="983" spans="1:12" x14ac:dyDescent="0.3">
      <c r="A983" t="s">
        <v>1155</v>
      </c>
      <c r="B983">
        <v>3518</v>
      </c>
      <c r="C983">
        <v>1051</v>
      </c>
      <c r="D983">
        <v>3</v>
      </c>
      <c r="E983" t="s">
        <v>45</v>
      </c>
      <c r="F983" t="s">
        <v>109</v>
      </c>
      <c r="G983" t="s">
        <v>15</v>
      </c>
      <c r="H983" s="1">
        <v>44084</v>
      </c>
      <c r="I983" t="s">
        <v>1156</v>
      </c>
      <c r="J983" t="s">
        <v>42</v>
      </c>
      <c r="K983" t="s">
        <v>92</v>
      </c>
      <c r="L983" s="2" t="s">
        <v>389</v>
      </c>
    </row>
    <row r="984" spans="1:12" x14ac:dyDescent="0.3">
      <c r="A984" t="s">
        <v>1155</v>
      </c>
      <c r="B984">
        <v>4157</v>
      </c>
      <c r="C984">
        <v>1874</v>
      </c>
      <c r="D984">
        <v>8</v>
      </c>
      <c r="E984" t="s">
        <v>13</v>
      </c>
      <c r="F984" t="s">
        <v>39</v>
      </c>
      <c r="G984" t="s">
        <v>40</v>
      </c>
      <c r="H984" s="1">
        <v>44084</v>
      </c>
      <c r="I984" t="s">
        <v>1156</v>
      </c>
      <c r="J984" t="s">
        <v>42</v>
      </c>
      <c r="K984" t="s">
        <v>92</v>
      </c>
      <c r="L984" s="2" t="s">
        <v>389</v>
      </c>
    </row>
    <row r="985" spans="1:12" x14ac:dyDescent="0.3">
      <c r="A985" t="s">
        <v>1157</v>
      </c>
      <c r="B985">
        <v>3747</v>
      </c>
      <c r="C985">
        <v>410</v>
      </c>
      <c r="D985">
        <v>5</v>
      </c>
      <c r="E985" t="s">
        <v>30</v>
      </c>
      <c r="F985" t="s">
        <v>57</v>
      </c>
      <c r="G985" t="s">
        <v>47</v>
      </c>
      <c r="H985" s="1">
        <v>44024</v>
      </c>
      <c r="I985" t="s">
        <v>1158</v>
      </c>
      <c r="J985" t="s">
        <v>21</v>
      </c>
      <c r="K985" t="s">
        <v>63</v>
      </c>
      <c r="L985" s="2" t="s">
        <v>462</v>
      </c>
    </row>
    <row r="986" spans="1:12" x14ac:dyDescent="0.3">
      <c r="A986" t="s">
        <v>1157</v>
      </c>
      <c r="B986">
        <v>3747</v>
      </c>
      <c r="C986">
        <v>410</v>
      </c>
      <c r="D986">
        <v>5</v>
      </c>
      <c r="E986" t="s">
        <v>30</v>
      </c>
      <c r="F986" t="s">
        <v>57</v>
      </c>
      <c r="G986" t="s">
        <v>47</v>
      </c>
      <c r="H986" s="1">
        <v>44903</v>
      </c>
      <c r="I986" t="s">
        <v>1159</v>
      </c>
      <c r="J986" t="s">
        <v>25</v>
      </c>
      <c r="K986" t="s">
        <v>26</v>
      </c>
      <c r="L986" s="2" t="s">
        <v>152</v>
      </c>
    </row>
    <row r="987" spans="1:12" x14ac:dyDescent="0.3">
      <c r="A987" t="s">
        <v>1157</v>
      </c>
      <c r="B987">
        <v>3747</v>
      </c>
      <c r="C987">
        <v>410</v>
      </c>
      <c r="D987">
        <v>5</v>
      </c>
      <c r="E987" t="s">
        <v>30</v>
      </c>
      <c r="F987" t="s">
        <v>57</v>
      </c>
      <c r="G987" t="s">
        <v>47</v>
      </c>
      <c r="H987" s="1">
        <v>45378</v>
      </c>
      <c r="I987" t="s">
        <v>1160</v>
      </c>
      <c r="J987" t="s">
        <v>98</v>
      </c>
      <c r="K987" t="s">
        <v>99</v>
      </c>
      <c r="L987" s="2" t="s">
        <v>338</v>
      </c>
    </row>
    <row r="988" spans="1:12" x14ac:dyDescent="0.3">
      <c r="A988" t="s">
        <v>1157</v>
      </c>
      <c r="B988">
        <v>3747</v>
      </c>
      <c r="C988">
        <v>410</v>
      </c>
      <c r="D988">
        <v>5</v>
      </c>
      <c r="E988" t="s">
        <v>30</v>
      </c>
      <c r="F988" t="s">
        <v>57</v>
      </c>
      <c r="G988" t="s">
        <v>47</v>
      </c>
      <c r="H988" s="1">
        <v>44974</v>
      </c>
      <c r="I988" t="s">
        <v>1161</v>
      </c>
      <c r="J988" t="s">
        <v>21</v>
      </c>
      <c r="K988" t="s">
        <v>22</v>
      </c>
      <c r="L988" s="2" t="s">
        <v>93</v>
      </c>
    </row>
    <row r="989" spans="1:12" x14ac:dyDescent="0.3">
      <c r="A989" t="s">
        <v>1157</v>
      </c>
      <c r="B989">
        <v>3747</v>
      </c>
      <c r="C989">
        <v>410</v>
      </c>
      <c r="D989">
        <v>5</v>
      </c>
      <c r="E989" t="s">
        <v>30</v>
      </c>
      <c r="F989" t="s">
        <v>57</v>
      </c>
      <c r="G989" t="s">
        <v>47</v>
      </c>
      <c r="H989" s="1">
        <v>44398</v>
      </c>
      <c r="I989" t="s">
        <v>1162</v>
      </c>
      <c r="J989" t="s">
        <v>42</v>
      </c>
      <c r="K989" t="s">
        <v>43</v>
      </c>
      <c r="L989" s="2" t="s">
        <v>27</v>
      </c>
    </row>
    <row r="990" spans="1:12" x14ac:dyDescent="0.3">
      <c r="A990" t="s">
        <v>1157</v>
      </c>
      <c r="B990">
        <v>3194</v>
      </c>
      <c r="C990">
        <v>534</v>
      </c>
      <c r="D990">
        <v>4</v>
      </c>
      <c r="E990" t="s">
        <v>30</v>
      </c>
      <c r="F990" t="s">
        <v>78</v>
      </c>
      <c r="G990" t="s">
        <v>15</v>
      </c>
      <c r="H990" s="1">
        <v>44024</v>
      </c>
      <c r="I990" t="s">
        <v>1158</v>
      </c>
      <c r="J990" t="s">
        <v>21</v>
      </c>
      <c r="K990" t="s">
        <v>63</v>
      </c>
      <c r="L990" s="2" t="s">
        <v>462</v>
      </c>
    </row>
    <row r="991" spans="1:12" x14ac:dyDescent="0.3">
      <c r="A991" t="s">
        <v>1157</v>
      </c>
      <c r="B991">
        <v>3194</v>
      </c>
      <c r="C991">
        <v>534</v>
      </c>
      <c r="D991">
        <v>4</v>
      </c>
      <c r="E991" t="s">
        <v>30</v>
      </c>
      <c r="F991" t="s">
        <v>78</v>
      </c>
      <c r="G991" t="s">
        <v>15</v>
      </c>
      <c r="H991" s="1">
        <v>44903</v>
      </c>
      <c r="I991" t="s">
        <v>1159</v>
      </c>
      <c r="J991" t="s">
        <v>25</v>
      </c>
      <c r="K991" t="s">
        <v>26</v>
      </c>
      <c r="L991" s="2" t="s">
        <v>152</v>
      </c>
    </row>
    <row r="992" spans="1:12" x14ac:dyDescent="0.3">
      <c r="A992" t="s">
        <v>1157</v>
      </c>
      <c r="B992">
        <v>3194</v>
      </c>
      <c r="C992">
        <v>534</v>
      </c>
      <c r="D992">
        <v>4</v>
      </c>
      <c r="E992" t="s">
        <v>30</v>
      </c>
      <c r="F992" t="s">
        <v>78</v>
      </c>
      <c r="G992" t="s">
        <v>15</v>
      </c>
      <c r="H992" s="1">
        <v>45378</v>
      </c>
      <c r="I992" t="s">
        <v>1160</v>
      </c>
      <c r="J992" t="s">
        <v>98</v>
      </c>
      <c r="K992" t="s">
        <v>99</v>
      </c>
      <c r="L992" s="2" t="s">
        <v>338</v>
      </c>
    </row>
    <row r="993" spans="1:12" x14ac:dyDescent="0.3">
      <c r="A993" t="s">
        <v>1157</v>
      </c>
      <c r="B993">
        <v>3194</v>
      </c>
      <c r="C993">
        <v>534</v>
      </c>
      <c r="D993">
        <v>4</v>
      </c>
      <c r="E993" t="s">
        <v>30</v>
      </c>
      <c r="F993" t="s">
        <v>78</v>
      </c>
      <c r="G993" t="s">
        <v>15</v>
      </c>
      <c r="H993" s="1">
        <v>44974</v>
      </c>
      <c r="I993" t="s">
        <v>1161</v>
      </c>
      <c r="J993" t="s">
        <v>21</v>
      </c>
      <c r="K993" t="s">
        <v>22</v>
      </c>
      <c r="L993" s="2" t="s">
        <v>93</v>
      </c>
    </row>
    <row r="994" spans="1:12" x14ac:dyDescent="0.3">
      <c r="A994" t="s">
        <v>1157</v>
      </c>
      <c r="B994">
        <v>3194</v>
      </c>
      <c r="C994">
        <v>534</v>
      </c>
      <c r="D994">
        <v>4</v>
      </c>
      <c r="E994" t="s">
        <v>30</v>
      </c>
      <c r="F994" t="s">
        <v>78</v>
      </c>
      <c r="G994" t="s">
        <v>15</v>
      </c>
      <c r="H994" s="1">
        <v>44398</v>
      </c>
      <c r="I994" t="s">
        <v>1162</v>
      </c>
      <c r="J994" t="s">
        <v>42</v>
      </c>
      <c r="K994" t="s">
        <v>43</v>
      </c>
      <c r="L994" s="2" t="s">
        <v>27</v>
      </c>
    </row>
    <row r="995" spans="1:12" x14ac:dyDescent="0.3">
      <c r="A995" t="s">
        <v>1163</v>
      </c>
      <c r="B995">
        <v>8548</v>
      </c>
      <c r="C995">
        <v>2305</v>
      </c>
      <c r="D995">
        <v>1</v>
      </c>
      <c r="E995" t="s">
        <v>30</v>
      </c>
      <c r="F995" t="s">
        <v>78</v>
      </c>
      <c r="G995" t="s">
        <v>65</v>
      </c>
      <c r="H995" s="1">
        <v>44864</v>
      </c>
      <c r="I995" t="s">
        <v>1164</v>
      </c>
      <c r="J995" t="s">
        <v>17</v>
      </c>
      <c r="K995" t="s">
        <v>150</v>
      </c>
      <c r="L995" s="2" t="s">
        <v>96</v>
      </c>
    </row>
    <row r="996" spans="1:12" x14ac:dyDescent="0.3">
      <c r="A996" t="s">
        <v>1165</v>
      </c>
      <c r="B996">
        <v>6089</v>
      </c>
      <c r="C996">
        <v>139</v>
      </c>
      <c r="D996">
        <v>19</v>
      </c>
      <c r="E996" t="s">
        <v>45</v>
      </c>
      <c r="F996" t="s">
        <v>46</v>
      </c>
      <c r="G996" t="s">
        <v>32</v>
      </c>
      <c r="H996" s="1">
        <v>44196</v>
      </c>
      <c r="I996" t="s">
        <v>1166</v>
      </c>
      <c r="J996" t="s">
        <v>98</v>
      </c>
      <c r="K996" t="s">
        <v>107</v>
      </c>
      <c r="L996" s="2" t="s">
        <v>287</v>
      </c>
    </row>
    <row r="997" spans="1:12" x14ac:dyDescent="0.3">
      <c r="A997" t="s">
        <v>1165</v>
      </c>
      <c r="B997">
        <v>6089</v>
      </c>
      <c r="C997">
        <v>139</v>
      </c>
      <c r="D997">
        <v>19</v>
      </c>
      <c r="E997" t="s">
        <v>45</v>
      </c>
      <c r="F997" t="s">
        <v>46</v>
      </c>
      <c r="G997" t="s">
        <v>32</v>
      </c>
      <c r="H997" s="1">
        <v>44666</v>
      </c>
      <c r="I997" t="s">
        <v>1167</v>
      </c>
      <c r="J997" t="s">
        <v>98</v>
      </c>
      <c r="K997" t="s">
        <v>117</v>
      </c>
      <c r="L997" s="2" t="s">
        <v>187</v>
      </c>
    </row>
    <row r="998" spans="1:12" x14ac:dyDescent="0.3">
      <c r="A998" t="s">
        <v>1165</v>
      </c>
      <c r="B998">
        <v>6089</v>
      </c>
      <c r="C998">
        <v>139</v>
      </c>
      <c r="D998">
        <v>19</v>
      </c>
      <c r="E998" t="s">
        <v>45</v>
      </c>
      <c r="F998" t="s">
        <v>46</v>
      </c>
      <c r="G998" t="s">
        <v>32</v>
      </c>
      <c r="H998" s="1">
        <v>45021</v>
      </c>
      <c r="I998" t="s">
        <v>1168</v>
      </c>
      <c r="J998" t="s">
        <v>21</v>
      </c>
      <c r="K998" t="s">
        <v>22</v>
      </c>
      <c r="L998" s="2" t="s">
        <v>145</v>
      </c>
    </row>
    <row r="999" spans="1:12" x14ac:dyDescent="0.3">
      <c r="A999" t="s">
        <v>1165</v>
      </c>
      <c r="B999">
        <v>2586</v>
      </c>
      <c r="C999">
        <v>800</v>
      </c>
      <c r="D999">
        <v>16</v>
      </c>
      <c r="E999" t="s">
        <v>45</v>
      </c>
      <c r="F999" t="s">
        <v>46</v>
      </c>
      <c r="G999" t="s">
        <v>15</v>
      </c>
      <c r="H999" s="1">
        <v>44196</v>
      </c>
      <c r="I999" t="s">
        <v>1166</v>
      </c>
      <c r="J999" t="s">
        <v>98</v>
      </c>
      <c r="K999" t="s">
        <v>107</v>
      </c>
      <c r="L999" s="2" t="s">
        <v>287</v>
      </c>
    </row>
    <row r="1000" spans="1:12" x14ac:dyDescent="0.3">
      <c r="A1000" t="s">
        <v>1165</v>
      </c>
      <c r="B1000">
        <v>2586</v>
      </c>
      <c r="C1000">
        <v>800</v>
      </c>
      <c r="D1000">
        <v>16</v>
      </c>
      <c r="E1000" t="s">
        <v>45</v>
      </c>
      <c r="F1000" t="s">
        <v>46</v>
      </c>
      <c r="G1000" t="s">
        <v>15</v>
      </c>
      <c r="H1000" s="1">
        <v>44666</v>
      </c>
      <c r="I1000" t="s">
        <v>1167</v>
      </c>
      <c r="J1000" t="s">
        <v>98</v>
      </c>
      <c r="K1000" t="s">
        <v>117</v>
      </c>
      <c r="L1000" s="2" t="s">
        <v>187</v>
      </c>
    </row>
    <row r="1001" spans="1:12" x14ac:dyDescent="0.3">
      <c r="A1001" t="s">
        <v>1165</v>
      </c>
      <c r="B1001">
        <v>2586</v>
      </c>
      <c r="C1001">
        <v>800</v>
      </c>
      <c r="D1001">
        <v>16</v>
      </c>
      <c r="E1001" t="s">
        <v>45</v>
      </c>
      <c r="F1001" t="s">
        <v>46</v>
      </c>
      <c r="G1001" t="s">
        <v>15</v>
      </c>
      <c r="H1001" s="1">
        <v>45021</v>
      </c>
      <c r="I1001" t="s">
        <v>1168</v>
      </c>
      <c r="J1001" t="s">
        <v>21</v>
      </c>
      <c r="K1001" t="s">
        <v>22</v>
      </c>
      <c r="L1001" s="2" t="s">
        <v>145</v>
      </c>
    </row>
    <row r="1002" spans="1:12" x14ac:dyDescent="0.3">
      <c r="A1002" t="s">
        <v>1165</v>
      </c>
      <c r="B1002">
        <v>3757</v>
      </c>
      <c r="C1002">
        <v>1626</v>
      </c>
      <c r="D1002">
        <v>9</v>
      </c>
      <c r="E1002" t="s">
        <v>30</v>
      </c>
      <c r="F1002" t="s">
        <v>64</v>
      </c>
      <c r="G1002" t="s">
        <v>15</v>
      </c>
      <c r="H1002" s="1">
        <v>44196</v>
      </c>
      <c r="I1002" t="s">
        <v>1166</v>
      </c>
      <c r="J1002" t="s">
        <v>98</v>
      </c>
      <c r="K1002" t="s">
        <v>107</v>
      </c>
      <c r="L1002" s="2" t="s">
        <v>287</v>
      </c>
    </row>
    <row r="1003" spans="1:12" x14ac:dyDescent="0.3">
      <c r="A1003" t="s">
        <v>1165</v>
      </c>
      <c r="B1003">
        <v>3757</v>
      </c>
      <c r="C1003">
        <v>1626</v>
      </c>
      <c r="D1003">
        <v>9</v>
      </c>
      <c r="E1003" t="s">
        <v>30</v>
      </c>
      <c r="F1003" t="s">
        <v>64</v>
      </c>
      <c r="G1003" t="s">
        <v>15</v>
      </c>
      <c r="H1003" s="1">
        <v>44666</v>
      </c>
      <c r="I1003" t="s">
        <v>1167</v>
      </c>
      <c r="J1003" t="s">
        <v>98</v>
      </c>
      <c r="K1003" t="s">
        <v>117</v>
      </c>
      <c r="L1003" s="2" t="s">
        <v>187</v>
      </c>
    </row>
    <row r="1004" spans="1:12" x14ac:dyDescent="0.3">
      <c r="A1004" t="s">
        <v>1165</v>
      </c>
      <c r="B1004">
        <v>3757</v>
      </c>
      <c r="C1004">
        <v>1626</v>
      </c>
      <c r="D1004">
        <v>9</v>
      </c>
      <c r="E1004" t="s">
        <v>30</v>
      </c>
      <c r="F1004" t="s">
        <v>64</v>
      </c>
      <c r="G1004" t="s">
        <v>15</v>
      </c>
      <c r="H1004" s="1">
        <v>45021</v>
      </c>
      <c r="I1004" t="s">
        <v>1168</v>
      </c>
      <c r="J1004" t="s">
        <v>21</v>
      </c>
      <c r="K1004" t="s">
        <v>22</v>
      </c>
      <c r="L1004" s="2" t="s">
        <v>145</v>
      </c>
    </row>
    <row r="1005" spans="1:12" x14ac:dyDescent="0.3">
      <c r="A1005" t="s">
        <v>1169</v>
      </c>
      <c r="B1005">
        <v>5193</v>
      </c>
      <c r="C1005">
        <v>2530</v>
      </c>
      <c r="D1005">
        <v>5</v>
      </c>
      <c r="E1005" t="s">
        <v>45</v>
      </c>
      <c r="F1005" t="s">
        <v>60</v>
      </c>
      <c r="G1005" t="s">
        <v>32</v>
      </c>
      <c r="H1005" s="1">
        <v>44498</v>
      </c>
      <c r="I1005" t="s">
        <v>1170</v>
      </c>
      <c r="J1005" t="s">
        <v>42</v>
      </c>
      <c r="K1005" t="s">
        <v>75</v>
      </c>
      <c r="L1005" s="2" t="s">
        <v>37</v>
      </c>
    </row>
    <row r="1006" spans="1:12" x14ac:dyDescent="0.3">
      <c r="A1006" t="s">
        <v>1169</v>
      </c>
      <c r="B1006">
        <v>5193</v>
      </c>
      <c r="C1006">
        <v>2530</v>
      </c>
      <c r="D1006">
        <v>5</v>
      </c>
      <c r="E1006" t="s">
        <v>45</v>
      </c>
      <c r="F1006" t="s">
        <v>60</v>
      </c>
      <c r="G1006" t="s">
        <v>32</v>
      </c>
      <c r="H1006" s="1">
        <v>45655</v>
      </c>
      <c r="I1006" t="s">
        <v>1171</v>
      </c>
      <c r="J1006" t="s">
        <v>17</v>
      </c>
      <c r="K1006" t="s">
        <v>18</v>
      </c>
      <c r="L1006" s="2" t="s">
        <v>23</v>
      </c>
    </row>
    <row r="1007" spans="1:12" x14ac:dyDescent="0.3">
      <c r="A1007" t="s">
        <v>1172</v>
      </c>
      <c r="B1007">
        <v>7493</v>
      </c>
      <c r="C1007">
        <v>96</v>
      </c>
      <c r="D1007">
        <v>3</v>
      </c>
      <c r="E1007" t="s">
        <v>13</v>
      </c>
      <c r="F1007" t="s">
        <v>14</v>
      </c>
      <c r="G1007" t="s">
        <v>15</v>
      </c>
      <c r="H1007" s="1">
        <v>44054</v>
      </c>
      <c r="I1007" t="s">
        <v>1173</v>
      </c>
      <c r="J1007" t="s">
        <v>98</v>
      </c>
      <c r="K1007" t="s">
        <v>117</v>
      </c>
      <c r="L1007" s="2" t="s">
        <v>185</v>
      </c>
    </row>
    <row r="1008" spans="1:12" x14ac:dyDescent="0.3">
      <c r="A1008" t="s">
        <v>1174</v>
      </c>
      <c r="B1008">
        <v>2062</v>
      </c>
      <c r="C1008">
        <v>848</v>
      </c>
      <c r="D1008">
        <v>6</v>
      </c>
      <c r="E1008" t="s">
        <v>30</v>
      </c>
      <c r="F1008" t="s">
        <v>57</v>
      </c>
      <c r="G1008" t="s">
        <v>47</v>
      </c>
      <c r="H1008" s="1">
        <v>45355</v>
      </c>
      <c r="I1008" t="s">
        <v>1175</v>
      </c>
      <c r="J1008" t="s">
        <v>17</v>
      </c>
      <c r="K1008" t="s">
        <v>150</v>
      </c>
      <c r="L1008" s="2" t="s">
        <v>338</v>
      </c>
    </row>
    <row r="1009" spans="1:12" x14ac:dyDescent="0.3">
      <c r="A1009" t="s">
        <v>1176</v>
      </c>
      <c r="B1009">
        <v>7163</v>
      </c>
      <c r="C1009">
        <v>1536</v>
      </c>
      <c r="D1009">
        <v>1</v>
      </c>
      <c r="E1009" t="s">
        <v>13</v>
      </c>
      <c r="F1009" t="s">
        <v>82</v>
      </c>
      <c r="G1009" t="s">
        <v>40</v>
      </c>
      <c r="H1009" s="1">
        <v>45216</v>
      </c>
      <c r="I1009" t="s">
        <v>1177</v>
      </c>
      <c r="J1009" t="s">
        <v>42</v>
      </c>
      <c r="K1009" t="s">
        <v>75</v>
      </c>
      <c r="L1009" s="2" t="s">
        <v>442</v>
      </c>
    </row>
    <row r="1010" spans="1:12" x14ac:dyDescent="0.3">
      <c r="A1010" t="s">
        <v>1178</v>
      </c>
      <c r="B1010">
        <v>4026</v>
      </c>
      <c r="C1010">
        <v>163</v>
      </c>
      <c r="D1010">
        <v>6</v>
      </c>
      <c r="E1010" t="s">
        <v>13</v>
      </c>
      <c r="F1010" t="s">
        <v>82</v>
      </c>
      <c r="G1010" t="s">
        <v>65</v>
      </c>
      <c r="H1010" s="1">
        <v>45135</v>
      </c>
      <c r="I1010" t="s">
        <v>1179</v>
      </c>
      <c r="J1010" t="s">
        <v>25</v>
      </c>
      <c r="K1010" t="s">
        <v>51</v>
      </c>
      <c r="L1010" s="2" t="s">
        <v>105</v>
      </c>
    </row>
    <row r="1011" spans="1:12" x14ac:dyDescent="0.3">
      <c r="A1011" t="s">
        <v>1180</v>
      </c>
      <c r="B1011">
        <v>1894</v>
      </c>
      <c r="C1011">
        <v>275</v>
      </c>
      <c r="D1011">
        <v>5</v>
      </c>
      <c r="E1011" t="s">
        <v>45</v>
      </c>
      <c r="F1011" t="s">
        <v>49</v>
      </c>
      <c r="G1011" t="s">
        <v>47</v>
      </c>
      <c r="H1011" s="1">
        <v>44527</v>
      </c>
      <c r="I1011" t="s">
        <v>1181</v>
      </c>
      <c r="J1011" t="s">
        <v>17</v>
      </c>
      <c r="K1011" t="s">
        <v>18</v>
      </c>
      <c r="L1011" s="2" t="s">
        <v>175</v>
      </c>
    </row>
    <row r="1012" spans="1:12" x14ac:dyDescent="0.3">
      <c r="A1012" t="s">
        <v>1180</v>
      </c>
      <c r="B1012">
        <v>7144</v>
      </c>
      <c r="C1012">
        <v>192</v>
      </c>
      <c r="D1012">
        <v>13</v>
      </c>
      <c r="E1012" t="s">
        <v>13</v>
      </c>
      <c r="F1012" t="s">
        <v>14</v>
      </c>
      <c r="G1012" t="s">
        <v>47</v>
      </c>
      <c r="H1012" s="1">
        <v>44527</v>
      </c>
      <c r="I1012" t="s">
        <v>1181</v>
      </c>
      <c r="J1012" t="s">
        <v>17</v>
      </c>
      <c r="K1012" t="s">
        <v>18</v>
      </c>
      <c r="L1012" s="2" t="s">
        <v>175</v>
      </c>
    </row>
    <row r="1013" spans="1:12" x14ac:dyDescent="0.3">
      <c r="A1013" t="s">
        <v>1182</v>
      </c>
      <c r="B1013">
        <v>3482</v>
      </c>
      <c r="C1013">
        <v>1554</v>
      </c>
      <c r="D1013">
        <v>15</v>
      </c>
      <c r="E1013" t="s">
        <v>13</v>
      </c>
      <c r="F1013" t="s">
        <v>39</v>
      </c>
      <c r="G1013" t="s">
        <v>32</v>
      </c>
      <c r="H1013" s="1">
        <v>44083</v>
      </c>
      <c r="I1013" t="s">
        <v>1183</v>
      </c>
      <c r="J1013" t="s">
        <v>98</v>
      </c>
      <c r="K1013" t="s">
        <v>99</v>
      </c>
      <c r="L1013" s="2" t="s">
        <v>389</v>
      </c>
    </row>
    <row r="1014" spans="1:12" x14ac:dyDescent="0.3">
      <c r="A1014" t="s">
        <v>1184</v>
      </c>
      <c r="B1014">
        <v>4172</v>
      </c>
      <c r="C1014">
        <v>235</v>
      </c>
      <c r="D1014">
        <v>5</v>
      </c>
      <c r="E1014" t="s">
        <v>30</v>
      </c>
      <c r="F1014" t="s">
        <v>64</v>
      </c>
      <c r="G1014" t="s">
        <v>40</v>
      </c>
      <c r="H1014" s="1">
        <v>44349</v>
      </c>
      <c r="I1014" t="s">
        <v>1185</v>
      </c>
      <c r="J1014" t="s">
        <v>98</v>
      </c>
      <c r="K1014" t="s">
        <v>117</v>
      </c>
      <c r="L1014" s="2" t="s">
        <v>125</v>
      </c>
    </row>
    <row r="1015" spans="1:12" x14ac:dyDescent="0.3">
      <c r="A1015" t="s">
        <v>1184</v>
      </c>
      <c r="B1015">
        <v>4172</v>
      </c>
      <c r="C1015">
        <v>235</v>
      </c>
      <c r="D1015">
        <v>5</v>
      </c>
      <c r="E1015" t="s">
        <v>30</v>
      </c>
      <c r="F1015" t="s">
        <v>64</v>
      </c>
      <c r="G1015" t="s">
        <v>40</v>
      </c>
      <c r="H1015" s="1">
        <v>44795</v>
      </c>
      <c r="I1015" t="s">
        <v>1186</v>
      </c>
      <c r="J1015" t="s">
        <v>17</v>
      </c>
      <c r="K1015" t="s">
        <v>34</v>
      </c>
      <c r="L1015" s="2" t="s">
        <v>209</v>
      </c>
    </row>
    <row r="1016" spans="1:12" x14ac:dyDescent="0.3">
      <c r="A1016" t="s">
        <v>1184</v>
      </c>
      <c r="B1016">
        <v>4172</v>
      </c>
      <c r="C1016">
        <v>235</v>
      </c>
      <c r="D1016">
        <v>5</v>
      </c>
      <c r="E1016" t="s">
        <v>30</v>
      </c>
      <c r="F1016" t="s">
        <v>64</v>
      </c>
      <c r="G1016" t="s">
        <v>40</v>
      </c>
      <c r="H1016" s="1">
        <v>45398</v>
      </c>
      <c r="I1016" t="s">
        <v>1187</v>
      </c>
      <c r="J1016" t="s">
        <v>21</v>
      </c>
      <c r="K1016" t="s">
        <v>63</v>
      </c>
      <c r="L1016" s="2" t="s">
        <v>235</v>
      </c>
    </row>
    <row r="1017" spans="1:12" x14ac:dyDescent="0.3">
      <c r="A1017" t="s">
        <v>1188</v>
      </c>
      <c r="B1017">
        <v>6265</v>
      </c>
      <c r="C1017">
        <v>155</v>
      </c>
      <c r="D1017">
        <v>8</v>
      </c>
      <c r="E1017" t="s">
        <v>45</v>
      </c>
      <c r="F1017" t="s">
        <v>60</v>
      </c>
      <c r="G1017" t="s">
        <v>65</v>
      </c>
      <c r="H1017" s="1">
        <v>44796</v>
      </c>
      <c r="I1017" t="s">
        <v>1189</v>
      </c>
      <c r="J1017" t="s">
        <v>98</v>
      </c>
      <c r="K1017" t="s">
        <v>107</v>
      </c>
      <c r="L1017" s="2" t="s">
        <v>209</v>
      </c>
    </row>
    <row r="1018" spans="1:12" x14ac:dyDescent="0.3">
      <c r="A1018" t="s">
        <v>1188</v>
      </c>
      <c r="B1018">
        <v>6265</v>
      </c>
      <c r="C1018">
        <v>155</v>
      </c>
      <c r="D1018">
        <v>8</v>
      </c>
      <c r="E1018" t="s">
        <v>45</v>
      </c>
      <c r="F1018" t="s">
        <v>60</v>
      </c>
      <c r="G1018" t="s">
        <v>65</v>
      </c>
      <c r="H1018" s="1">
        <v>44267</v>
      </c>
      <c r="I1018" t="s">
        <v>1190</v>
      </c>
      <c r="J1018" t="s">
        <v>98</v>
      </c>
      <c r="K1018" t="s">
        <v>117</v>
      </c>
      <c r="L1018" s="2" t="s">
        <v>167</v>
      </c>
    </row>
    <row r="1019" spans="1:12" x14ac:dyDescent="0.3">
      <c r="A1019" t="s">
        <v>1191</v>
      </c>
      <c r="B1019">
        <v>2931</v>
      </c>
      <c r="C1019">
        <v>212</v>
      </c>
      <c r="D1019">
        <v>7</v>
      </c>
      <c r="E1019" t="s">
        <v>13</v>
      </c>
      <c r="F1019" t="s">
        <v>14</v>
      </c>
      <c r="G1019" t="s">
        <v>47</v>
      </c>
      <c r="H1019" s="1">
        <v>45469</v>
      </c>
      <c r="I1019" t="s">
        <v>1192</v>
      </c>
      <c r="J1019" t="s">
        <v>21</v>
      </c>
      <c r="K1019" t="s">
        <v>172</v>
      </c>
      <c r="L1019" s="2" t="s">
        <v>262</v>
      </c>
    </row>
    <row r="1020" spans="1:12" x14ac:dyDescent="0.3">
      <c r="A1020" t="s">
        <v>1191</v>
      </c>
      <c r="B1020">
        <v>2931</v>
      </c>
      <c r="C1020">
        <v>212</v>
      </c>
      <c r="D1020">
        <v>7</v>
      </c>
      <c r="E1020" t="s">
        <v>13</v>
      </c>
      <c r="F1020" t="s">
        <v>14</v>
      </c>
      <c r="G1020" t="s">
        <v>47</v>
      </c>
      <c r="H1020" s="1">
        <v>45268</v>
      </c>
      <c r="I1020" t="s">
        <v>1193</v>
      </c>
      <c r="J1020" t="s">
        <v>17</v>
      </c>
      <c r="K1020" t="s">
        <v>150</v>
      </c>
      <c r="L1020" s="2" t="s">
        <v>102</v>
      </c>
    </row>
    <row r="1021" spans="1:12" x14ac:dyDescent="0.3">
      <c r="A1021" t="s">
        <v>1194</v>
      </c>
      <c r="B1021">
        <v>1146</v>
      </c>
      <c r="C1021">
        <v>188</v>
      </c>
      <c r="D1021">
        <v>9</v>
      </c>
      <c r="E1021" t="s">
        <v>45</v>
      </c>
      <c r="F1021" t="s">
        <v>49</v>
      </c>
      <c r="G1021" t="s">
        <v>32</v>
      </c>
      <c r="H1021" s="1">
        <v>45623</v>
      </c>
      <c r="I1021" t="s">
        <v>1195</v>
      </c>
      <c r="J1021" t="s">
        <v>17</v>
      </c>
      <c r="K1021" t="s">
        <v>150</v>
      </c>
      <c r="L1021" s="2" t="s">
        <v>255</v>
      </c>
    </row>
    <row r="1022" spans="1:12" x14ac:dyDescent="0.3">
      <c r="A1022" t="s">
        <v>1196</v>
      </c>
      <c r="B1022">
        <v>9215</v>
      </c>
      <c r="C1022">
        <v>767</v>
      </c>
      <c r="D1022">
        <v>13</v>
      </c>
      <c r="E1022" t="s">
        <v>13</v>
      </c>
      <c r="F1022" t="s">
        <v>28</v>
      </c>
      <c r="G1022" t="s">
        <v>65</v>
      </c>
      <c r="H1022" s="1">
        <v>44571</v>
      </c>
      <c r="I1022" t="s">
        <v>1197</v>
      </c>
      <c r="J1022" t="s">
        <v>17</v>
      </c>
      <c r="K1022" t="s">
        <v>150</v>
      </c>
      <c r="L1022" s="2" t="s">
        <v>87</v>
      </c>
    </row>
    <row r="1023" spans="1:12" x14ac:dyDescent="0.3">
      <c r="A1023" t="s">
        <v>1196</v>
      </c>
      <c r="B1023">
        <v>9215</v>
      </c>
      <c r="C1023">
        <v>767</v>
      </c>
      <c r="D1023">
        <v>13</v>
      </c>
      <c r="E1023" t="s">
        <v>13</v>
      </c>
      <c r="F1023" t="s">
        <v>28</v>
      </c>
      <c r="G1023" t="s">
        <v>65</v>
      </c>
      <c r="H1023" s="1">
        <v>44501</v>
      </c>
      <c r="I1023" t="s">
        <v>1198</v>
      </c>
      <c r="J1023" t="s">
        <v>42</v>
      </c>
      <c r="K1023" t="s">
        <v>92</v>
      </c>
      <c r="L1023" s="2" t="s">
        <v>175</v>
      </c>
    </row>
    <row r="1024" spans="1:12" x14ac:dyDescent="0.3">
      <c r="A1024" t="s">
        <v>1199</v>
      </c>
      <c r="B1024">
        <v>7895</v>
      </c>
      <c r="C1024">
        <v>1005</v>
      </c>
      <c r="D1024">
        <v>1</v>
      </c>
      <c r="E1024" t="s">
        <v>45</v>
      </c>
      <c r="F1024" t="s">
        <v>49</v>
      </c>
      <c r="G1024" t="s">
        <v>47</v>
      </c>
      <c r="H1024" s="1">
        <v>45227</v>
      </c>
      <c r="I1024" t="s">
        <v>1200</v>
      </c>
      <c r="J1024" t="s">
        <v>98</v>
      </c>
      <c r="K1024" t="s">
        <v>107</v>
      </c>
      <c r="L1024" s="2" t="s">
        <v>442</v>
      </c>
    </row>
    <row r="1025" spans="1:12" x14ac:dyDescent="0.3">
      <c r="A1025" t="s">
        <v>1199</v>
      </c>
      <c r="B1025">
        <v>7895</v>
      </c>
      <c r="C1025">
        <v>1005</v>
      </c>
      <c r="D1025">
        <v>1</v>
      </c>
      <c r="E1025" t="s">
        <v>45</v>
      </c>
      <c r="F1025" t="s">
        <v>49</v>
      </c>
      <c r="G1025" t="s">
        <v>47</v>
      </c>
      <c r="H1025" s="1">
        <v>45717</v>
      </c>
      <c r="I1025" t="s">
        <v>1201</v>
      </c>
      <c r="J1025" t="s">
        <v>42</v>
      </c>
      <c r="K1025" t="s">
        <v>75</v>
      </c>
      <c r="L1025" s="2" t="s">
        <v>157</v>
      </c>
    </row>
    <row r="1026" spans="1:12" x14ac:dyDescent="0.3">
      <c r="A1026" t="s">
        <v>1199</v>
      </c>
      <c r="B1026">
        <v>2740</v>
      </c>
      <c r="C1026">
        <v>558</v>
      </c>
      <c r="D1026">
        <v>8</v>
      </c>
      <c r="E1026" t="s">
        <v>30</v>
      </c>
      <c r="F1026" t="s">
        <v>31</v>
      </c>
      <c r="G1026" t="s">
        <v>15</v>
      </c>
      <c r="H1026" s="1">
        <v>45227</v>
      </c>
      <c r="I1026" t="s">
        <v>1200</v>
      </c>
      <c r="J1026" t="s">
        <v>98</v>
      </c>
      <c r="K1026" t="s">
        <v>107</v>
      </c>
      <c r="L1026" s="2" t="s">
        <v>442</v>
      </c>
    </row>
    <row r="1027" spans="1:12" x14ac:dyDescent="0.3">
      <c r="A1027" t="s">
        <v>1199</v>
      </c>
      <c r="B1027">
        <v>2740</v>
      </c>
      <c r="C1027">
        <v>558</v>
      </c>
      <c r="D1027">
        <v>8</v>
      </c>
      <c r="E1027" t="s">
        <v>30</v>
      </c>
      <c r="F1027" t="s">
        <v>31</v>
      </c>
      <c r="G1027" t="s">
        <v>15</v>
      </c>
      <c r="H1027" s="1">
        <v>45717</v>
      </c>
      <c r="I1027" t="s">
        <v>1201</v>
      </c>
      <c r="J1027" t="s">
        <v>42</v>
      </c>
      <c r="K1027" t="s">
        <v>75</v>
      </c>
      <c r="L1027" s="2" t="s">
        <v>157</v>
      </c>
    </row>
    <row r="1028" spans="1:12" x14ac:dyDescent="0.3">
      <c r="A1028" t="s">
        <v>1202</v>
      </c>
      <c r="B1028">
        <v>5338</v>
      </c>
      <c r="C1028">
        <v>1354</v>
      </c>
      <c r="D1028">
        <v>16</v>
      </c>
      <c r="E1028" t="s">
        <v>30</v>
      </c>
      <c r="F1028" t="s">
        <v>57</v>
      </c>
      <c r="G1028" t="s">
        <v>15</v>
      </c>
      <c r="H1028" s="1">
        <v>45505</v>
      </c>
      <c r="I1028" t="s">
        <v>1203</v>
      </c>
      <c r="J1028" t="s">
        <v>21</v>
      </c>
      <c r="K1028" t="s">
        <v>172</v>
      </c>
      <c r="L1028" s="2" t="s">
        <v>114</v>
      </c>
    </row>
    <row r="1029" spans="1:12" x14ac:dyDescent="0.3">
      <c r="A1029" t="s">
        <v>1202</v>
      </c>
      <c r="B1029">
        <v>5338</v>
      </c>
      <c r="C1029">
        <v>1354</v>
      </c>
      <c r="D1029">
        <v>16</v>
      </c>
      <c r="E1029" t="s">
        <v>30</v>
      </c>
      <c r="F1029" t="s">
        <v>57</v>
      </c>
      <c r="G1029" t="s">
        <v>15</v>
      </c>
      <c r="H1029" s="1">
        <v>45084</v>
      </c>
      <c r="I1029" t="s">
        <v>1204</v>
      </c>
      <c r="J1029" t="s">
        <v>25</v>
      </c>
      <c r="K1029" t="s">
        <v>26</v>
      </c>
      <c r="L1029" s="2" t="s">
        <v>19</v>
      </c>
    </row>
    <row r="1030" spans="1:12" x14ac:dyDescent="0.3">
      <c r="A1030" t="s">
        <v>1202</v>
      </c>
      <c r="B1030">
        <v>5338</v>
      </c>
      <c r="C1030">
        <v>1354</v>
      </c>
      <c r="D1030">
        <v>16</v>
      </c>
      <c r="E1030" t="s">
        <v>30</v>
      </c>
      <c r="F1030" t="s">
        <v>57</v>
      </c>
      <c r="G1030" t="s">
        <v>15</v>
      </c>
      <c r="H1030" s="1">
        <v>45586</v>
      </c>
      <c r="I1030" t="s">
        <v>1205</v>
      </c>
      <c r="J1030" t="s">
        <v>17</v>
      </c>
      <c r="K1030" t="s">
        <v>34</v>
      </c>
      <c r="L1030" s="2" t="s">
        <v>360</v>
      </c>
    </row>
    <row r="1031" spans="1:12" x14ac:dyDescent="0.3">
      <c r="A1031" t="s">
        <v>1202</v>
      </c>
      <c r="B1031">
        <v>5338</v>
      </c>
      <c r="C1031">
        <v>1354</v>
      </c>
      <c r="D1031">
        <v>16</v>
      </c>
      <c r="E1031" t="s">
        <v>30</v>
      </c>
      <c r="F1031" t="s">
        <v>57</v>
      </c>
      <c r="G1031" t="s">
        <v>15</v>
      </c>
      <c r="H1031" s="1">
        <v>44200</v>
      </c>
      <c r="I1031" t="s">
        <v>1206</v>
      </c>
      <c r="J1031" t="s">
        <v>25</v>
      </c>
      <c r="K1031" t="s">
        <v>26</v>
      </c>
      <c r="L1031" s="2" t="s">
        <v>276</v>
      </c>
    </row>
    <row r="1032" spans="1:12" x14ac:dyDescent="0.3">
      <c r="A1032" t="s">
        <v>1207</v>
      </c>
      <c r="B1032">
        <v>3095</v>
      </c>
      <c r="C1032">
        <v>941</v>
      </c>
      <c r="D1032">
        <v>2</v>
      </c>
      <c r="E1032" t="s">
        <v>30</v>
      </c>
      <c r="F1032" t="s">
        <v>31</v>
      </c>
      <c r="G1032" t="s">
        <v>40</v>
      </c>
      <c r="H1032" s="1">
        <v>44670</v>
      </c>
      <c r="I1032" t="s">
        <v>1208</v>
      </c>
      <c r="J1032" t="s">
        <v>98</v>
      </c>
      <c r="K1032" t="s">
        <v>117</v>
      </c>
      <c r="L1032" s="2" t="s">
        <v>187</v>
      </c>
    </row>
    <row r="1033" spans="1:12" x14ac:dyDescent="0.3">
      <c r="A1033" t="s">
        <v>1207</v>
      </c>
      <c r="B1033">
        <v>3095</v>
      </c>
      <c r="C1033">
        <v>941</v>
      </c>
      <c r="D1033">
        <v>2</v>
      </c>
      <c r="E1033" t="s">
        <v>30</v>
      </c>
      <c r="F1033" t="s">
        <v>31</v>
      </c>
      <c r="G1033" t="s">
        <v>40</v>
      </c>
      <c r="H1033" s="1">
        <v>44784</v>
      </c>
      <c r="I1033" t="s">
        <v>1209</v>
      </c>
      <c r="J1033" t="s">
        <v>71</v>
      </c>
      <c r="K1033" t="s">
        <v>86</v>
      </c>
      <c r="L1033" s="2" t="s">
        <v>209</v>
      </c>
    </row>
    <row r="1034" spans="1:12" x14ac:dyDescent="0.3">
      <c r="A1034" t="s">
        <v>1210</v>
      </c>
      <c r="B1034">
        <v>6017</v>
      </c>
      <c r="C1034">
        <v>2230</v>
      </c>
      <c r="D1034">
        <v>13</v>
      </c>
      <c r="E1034" t="s">
        <v>13</v>
      </c>
      <c r="F1034" t="s">
        <v>28</v>
      </c>
      <c r="G1034" t="s">
        <v>32</v>
      </c>
      <c r="H1034" s="1">
        <v>45142</v>
      </c>
      <c r="I1034" t="s">
        <v>1211</v>
      </c>
      <c r="J1034" t="s">
        <v>21</v>
      </c>
      <c r="K1034" t="s">
        <v>172</v>
      </c>
      <c r="L1034" s="2" t="s">
        <v>121</v>
      </c>
    </row>
    <row r="1035" spans="1:12" x14ac:dyDescent="0.3">
      <c r="A1035" t="s">
        <v>1212</v>
      </c>
      <c r="B1035">
        <v>4904</v>
      </c>
      <c r="C1035">
        <v>469</v>
      </c>
      <c r="D1035">
        <v>2</v>
      </c>
      <c r="E1035" t="s">
        <v>30</v>
      </c>
      <c r="F1035" t="s">
        <v>31</v>
      </c>
      <c r="G1035" t="s">
        <v>32</v>
      </c>
      <c r="H1035" s="1">
        <v>43946</v>
      </c>
      <c r="I1035" t="s">
        <v>1213</v>
      </c>
      <c r="J1035" t="s">
        <v>71</v>
      </c>
      <c r="K1035" t="s">
        <v>72</v>
      </c>
      <c r="L1035" s="2" t="s">
        <v>162</v>
      </c>
    </row>
    <row r="1036" spans="1:12" x14ac:dyDescent="0.3">
      <c r="A1036" t="s">
        <v>1212</v>
      </c>
      <c r="B1036">
        <v>3080</v>
      </c>
      <c r="C1036">
        <v>737</v>
      </c>
      <c r="D1036">
        <v>6</v>
      </c>
      <c r="E1036" t="s">
        <v>30</v>
      </c>
      <c r="F1036" t="s">
        <v>78</v>
      </c>
      <c r="G1036" t="s">
        <v>15</v>
      </c>
      <c r="H1036" s="1">
        <v>43946</v>
      </c>
      <c r="I1036" t="s">
        <v>1213</v>
      </c>
      <c r="J1036" t="s">
        <v>71</v>
      </c>
      <c r="K1036" t="s">
        <v>72</v>
      </c>
      <c r="L1036" s="2" t="s">
        <v>162</v>
      </c>
    </row>
    <row r="1037" spans="1:12" x14ac:dyDescent="0.3">
      <c r="A1037" t="s">
        <v>1214</v>
      </c>
      <c r="B1037">
        <v>1992</v>
      </c>
      <c r="C1037">
        <v>355</v>
      </c>
      <c r="D1037">
        <v>2</v>
      </c>
      <c r="E1037" t="s">
        <v>13</v>
      </c>
      <c r="F1037" t="s">
        <v>82</v>
      </c>
      <c r="G1037" t="s">
        <v>65</v>
      </c>
      <c r="H1037" s="1">
        <v>45640</v>
      </c>
      <c r="I1037" t="s">
        <v>1215</v>
      </c>
      <c r="J1037" t="s">
        <v>17</v>
      </c>
      <c r="K1037" t="s">
        <v>150</v>
      </c>
      <c r="L1037" s="2" t="s">
        <v>23</v>
      </c>
    </row>
    <row r="1038" spans="1:12" x14ac:dyDescent="0.3">
      <c r="A1038" t="s">
        <v>1216</v>
      </c>
      <c r="B1038">
        <v>5346</v>
      </c>
      <c r="C1038">
        <v>1246</v>
      </c>
      <c r="D1038">
        <v>17</v>
      </c>
      <c r="E1038" t="s">
        <v>45</v>
      </c>
      <c r="F1038" t="s">
        <v>60</v>
      </c>
      <c r="G1038" t="s">
        <v>40</v>
      </c>
      <c r="H1038" s="1">
        <v>44767</v>
      </c>
      <c r="I1038" t="s">
        <v>1217</v>
      </c>
      <c r="J1038" t="s">
        <v>17</v>
      </c>
      <c r="K1038" t="s">
        <v>34</v>
      </c>
      <c r="L1038" s="2" t="s">
        <v>418</v>
      </c>
    </row>
    <row r="1039" spans="1:12" x14ac:dyDescent="0.3">
      <c r="A1039" t="s">
        <v>1216</v>
      </c>
      <c r="B1039">
        <v>5346</v>
      </c>
      <c r="C1039">
        <v>1246</v>
      </c>
      <c r="D1039">
        <v>17</v>
      </c>
      <c r="E1039" t="s">
        <v>45</v>
      </c>
      <c r="F1039" t="s">
        <v>60</v>
      </c>
      <c r="G1039" t="s">
        <v>40</v>
      </c>
      <c r="H1039" s="1">
        <v>44688</v>
      </c>
      <c r="I1039" t="s">
        <v>1218</v>
      </c>
      <c r="J1039" t="s">
        <v>17</v>
      </c>
      <c r="K1039" t="s">
        <v>18</v>
      </c>
      <c r="L1039" s="2" t="s">
        <v>180</v>
      </c>
    </row>
    <row r="1040" spans="1:12" x14ac:dyDescent="0.3">
      <c r="A1040" t="s">
        <v>1219</v>
      </c>
      <c r="B1040">
        <v>8422</v>
      </c>
      <c r="C1040">
        <v>893</v>
      </c>
      <c r="D1040">
        <v>18</v>
      </c>
      <c r="E1040" t="s">
        <v>13</v>
      </c>
      <c r="F1040" t="s">
        <v>28</v>
      </c>
      <c r="G1040" t="s">
        <v>32</v>
      </c>
      <c r="H1040" s="1">
        <v>44784</v>
      </c>
      <c r="I1040" t="s">
        <v>1220</v>
      </c>
      <c r="J1040" t="s">
        <v>42</v>
      </c>
      <c r="K1040" t="s">
        <v>92</v>
      </c>
      <c r="L1040" s="2" t="s">
        <v>209</v>
      </c>
    </row>
    <row r="1041" spans="1:12" x14ac:dyDescent="0.3">
      <c r="A1041" t="s">
        <v>1219</v>
      </c>
      <c r="B1041">
        <v>8422</v>
      </c>
      <c r="C1041">
        <v>893</v>
      </c>
      <c r="D1041">
        <v>18</v>
      </c>
      <c r="E1041" t="s">
        <v>13</v>
      </c>
      <c r="F1041" t="s">
        <v>28</v>
      </c>
      <c r="G1041" t="s">
        <v>32</v>
      </c>
      <c r="H1041" s="1">
        <v>44785</v>
      </c>
      <c r="I1041" t="s">
        <v>1221</v>
      </c>
      <c r="J1041" t="s">
        <v>98</v>
      </c>
      <c r="K1041" t="s">
        <v>99</v>
      </c>
      <c r="L1041" s="2" t="s">
        <v>209</v>
      </c>
    </row>
    <row r="1042" spans="1:12" x14ac:dyDescent="0.3">
      <c r="A1042" t="s">
        <v>1219</v>
      </c>
      <c r="B1042">
        <v>6105</v>
      </c>
      <c r="C1042">
        <v>1447</v>
      </c>
      <c r="D1042">
        <v>8</v>
      </c>
      <c r="E1042" t="s">
        <v>45</v>
      </c>
      <c r="F1042" t="s">
        <v>109</v>
      </c>
      <c r="G1042" t="s">
        <v>47</v>
      </c>
      <c r="H1042" s="1">
        <v>44784</v>
      </c>
      <c r="I1042" t="s">
        <v>1220</v>
      </c>
      <c r="J1042" t="s">
        <v>42</v>
      </c>
      <c r="K1042" t="s">
        <v>92</v>
      </c>
      <c r="L1042" s="2" t="s">
        <v>209</v>
      </c>
    </row>
    <row r="1043" spans="1:12" x14ac:dyDescent="0.3">
      <c r="A1043" t="s">
        <v>1219</v>
      </c>
      <c r="B1043">
        <v>6105</v>
      </c>
      <c r="C1043">
        <v>1447</v>
      </c>
      <c r="D1043">
        <v>8</v>
      </c>
      <c r="E1043" t="s">
        <v>45</v>
      </c>
      <c r="F1043" t="s">
        <v>109</v>
      </c>
      <c r="G1043" t="s">
        <v>47</v>
      </c>
      <c r="H1043" s="1">
        <v>44785</v>
      </c>
      <c r="I1043" t="s">
        <v>1221</v>
      </c>
      <c r="J1043" t="s">
        <v>98</v>
      </c>
      <c r="K1043" t="s">
        <v>99</v>
      </c>
      <c r="L1043" s="2" t="s">
        <v>209</v>
      </c>
    </row>
    <row r="1044" spans="1:12" x14ac:dyDescent="0.3">
      <c r="A1044" t="s">
        <v>1222</v>
      </c>
      <c r="B1044">
        <v>670</v>
      </c>
      <c r="C1044">
        <v>85</v>
      </c>
      <c r="D1044">
        <v>9</v>
      </c>
      <c r="E1044" t="s">
        <v>30</v>
      </c>
      <c r="F1044" t="s">
        <v>31</v>
      </c>
      <c r="G1044" t="s">
        <v>40</v>
      </c>
      <c r="H1044" s="1">
        <v>45159</v>
      </c>
      <c r="I1044" t="s">
        <v>1223</v>
      </c>
      <c r="J1044" t="s">
        <v>71</v>
      </c>
      <c r="K1044" t="s">
        <v>138</v>
      </c>
      <c r="L1044" s="2" t="s">
        <v>121</v>
      </c>
    </row>
    <row r="1045" spans="1:12" x14ac:dyDescent="0.3">
      <c r="A1045" t="s">
        <v>1224</v>
      </c>
      <c r="B1045">
        <v>4057</v>
      </c>
      <c r="C1045">
        <v>1012</v>
      </c>
      <c r="D1045">
        <v>6</v>
      </c>
      <c r="E1045" t="s">
        <v>13</v>
      </c>
      <c r="F1045" t="s">
        <v>39</v>
      </c>
      <c r="G1045" t="s">
        <v>47</v>
      </c>
      <c r="H1045" s="1">
        <v>44816</v>
      </c>
      <c r="I1045" t="s">
        <v>1225</v>
      </c>
      <c r="J1045" t="s">
        <v>42</v>
      </c>
      <c r="K1045" t="s">
        <v>75</v>
      </c>
      <c r="L1045" s="2" t="s">
        <v>131</v>
      </c>
    </row>
    <row r="1046" spans="1:12" x14ac:dyDescent="0.3">
      <c r="A1046" t="s">
        <v>1226</v>
      </c>
      <c r="B1046">
        <v>8178</v>
      </c>
      <c r="C1046">
        <v>2462</v>
      </c>
      <c r="D1046">
        <v>10</v>
      </c>
      <c r="E1046" t="s">
        <v>30</v>
      </c>
      <c r="F1046" t="s">
        <v>31</v>
      </c>
      <c r="G1046" t="s">
        <v>15</v>
      </c>
      <c r="H1046" s="1">
        <v>45158</v>
      </c>
      <c r="I1046" t="s">
        <v>1227</v>
      </c>
      <c r="J1046" t="s">
        <v>42</v>
      </c>
      <c r="K1046" t="s">
        <v>43</v>
      </c>
      <c r="L1046" s="2" t="s">
        <v>121</v>
      </c>
    </row>
    <row r="1047" spans="1:12" x14ac:dyDescent="0.3">
      <c r="A1047" t="s">
        <v>1228</v>
      </c>
      <c r="B1047">
        <v>8752</v>
      </c>
      <c r="C1047">
        <v>1686</v>
      </c>
      <c r="D1047">
        <v>9</v>
      </c>
      <c r="E1047" t="s">
        <v>45</v>
      </c>
      <c r="F1047" t="s">
        <v>46</v>
      </c>
      <c r="G1047" t="s">
        <v>32</v>
      </c>
      <c r="H1047" s="1">
        <v>44192</v>
      </c>
      <c r="I1047" t="s">
        <v>1229</v>
      </c>
      <c r="J1047" t="s">
        <v>98</v>
      </c>
      <c r="K1047" t="s">
        <v>107</v>
      </c>
      <c r="L1047" s="2" t="s">
        <v>287</v>
      </c>
    </row>
    <row r="1048" spans="1:12" x14ac:dyDescent="0.3">
      <c r="A1048" t="s">
        <v>1228</v>
      </c>
      <c r="B1048">
        <v>8752</v>
      </c>
      <c r="C1048">
        <v>1686</v>
      </c>
      <c r="D1048">
        <v>9</v>
      </c>
      <c r="E1048" t="s">
        <v>45</v>
      </c>
      <c r="F1048" t="s">
        <v>46</v>
      </c>
      <c r="G1048" t="s">
        <v>32</v>
      </c>
      <c r="H1048" s="1">
        <v>45173</v>
      </c>
      <c r="I1048" t="s">
        <v>1230</v>
      </c>
      <c r="J1048" t="s">
        <v>21</v>
      </c>
      <c r="K1048" t="s">
        <v>172</v>
      </c>
      <c r="L1048" s="2" t="s">
        <v>273</v>
      </c>
    </row>
    <row r="1049" spans="1:12" x14ac:dyDescent="0.3">
      <c r="A1049" t="s">
        <v>1228</v>
      </c>
      <c r="B1049">
        <v>8752</v>
      </c>
      <c r="C1049">
        <v>1686</v>
      </c>
      <c r="D1049">
        <v>9</v>
      </c>
      <c r="E1049" t="s">
        <v>45</v>
      </c>
      <c r="F1049" t="s">
        <v>46</v>
      </c>
      <c r="G1049" t="s">
        <v>32</v>
      </c>
      <c r="H1049" s="1">
        <v>44569</v>
      </c>
      <c r="I1049" t="s">
        <v>1231</v>
      </c>
      <c r="J1049" t="s">
        <v>21</v>
      </c>
      <c r="K1049" t="s">
        <v>22</v>
      </c>
      <c r="L1049" s="2" t="s">
        <v>87</v>
      </c>
    </row>
    <row r="1050" spans="1:12" x14ac:dyDescent="0.3">
      <c r="A1050" t="s">
        <v>1232</v>
      </c>
      <c r="B1050">
        <v>8974</v>
      </c>
      <c r="C1050">
        <v>4441</v>
      </c>
      <c r="D1050">
        <v>16</v>
      </c>
      <c r="E1050" t="s">
        <v>13</v>
      </c>
      <c r="F1050" t="s">
        <v>28</v>
      </c>
      <c r="G1050" t="s">
        <v>40</v>
      </c>
      <c r="H1050" s="1">
        <v>45082</v>
      </c>
      <c r="I1050" t="s">
        <v>1233</v>
      </c>
      <c r="J1050" t="s">
        <v>25</v>
      </c>
      <c r="K1050" t="s">
        <v>51</v>
      </c>
      <c r="L1050" s="2" t="s">
        <v>19</v>
      </c>
    </row>
    <row r="1051" spans="1:12" x14ac:dyDescent="0.3">
      <c r="A1051" t="s">
        <v>1234</v>
      </c>
      <c r="B1051">
        <v>9090</v>
      </c>
      <c r="C1051">
        <v>3098</v>
      </c>
      <c r="D1051">
        <v>16</v>
      </c>
      <c r="E1051" t="s">
        <v>13</v>
      </c>
      <c r="F1051" t="s">
        <v>82</v>
      </c>
      <c r="G1051" t="s">
        <v>47</v>
      </c>
      <c r="H1051" s="1">
        <v>44287</v>
      </c>
      <c r="I1051" t="s">
        <v>1235</v>
      </c>
      <c r="J1051" t="s">
        <v>71</v>
      </c>
      <c r="K1051" t="s">
        <v>72</v>
      </c>
      <c r="L1051" s="2" t="s">
        <v>139</v>
      </c>
    </row>
    <row r="1052" spans="1:12" x14ac:dyDescent="0.3">
      <c r="A1052" t="s">
        <v>1234</v>
      </c>
      <c r="B1052">
        <v>9090</v>
      </c>
      <c r="C1052">
        <v>3098</v>
      </c>
      <c r="D1052">
        <v>16</v>
      </c>
      <c r="E1052" t="s">
        <v>13</v>
      </c>
      <c r="F1052" t="s">
        <v>82</v>
      </c>
      <c r="G1052" t="s">
        <v>47</v>
      </c>
      <c r="H1052" s="1">
        <v>45440</v>
      </c>
      <c r="I1052" t="s">
        <v>1236</v>
      </c>
      <c r="J1052" t="s">
        <v>21</v>
      </c>
      <c r="K1052" t="s">
        <v>63</v>
      </c>
      <c r="L1052" s="2" t="s">
        <v>35</v>
      </c>
    </row>
    <row r="1053" spans="1:12" x14ac:dyDescent="0.3">
      <c r="A1053" t="s">
        <v>1234</v>
      </c>
      <c r="B1053">
        <v>851</v>
      </c>
      <c r="C1053">
        <v>356</v>
      </c>
      <c r="D1053">
        <v>11</v>
      </c>
      <c r="E1053" t="s">
        <v>13</v>
      </c>
      <c r="F1053" t="s">
        <v>14</v>
      </c>
      <c r="G1053" t="s">
        <v>47</v>
      </c>
      <c r="H1053" s="1">
        <v>44287</v>
      </c>
      <c r="I1053" t="s">
        <v>1235</v>
      </c>
      <c r="J1053" t="s">
        <v>71</v>
      </c>
      <c r="K1053" t="s">
        <v>72</v>
      </c>
      <c r="L1053" s="2" t="s">
        <v>139</v>
      </c>
    </row>
    <row r="1054" spans="1:12" x14ac:dyDescent="0.3">
      <c r="A1054" t="s">
        <v>1234</v>
      </c>
      <c r="B1054">
        <v>851</v>
      </c>
      <c r="C1054">
        <v>356</v>
      </c>
      <c r="D1054">
        <v>11</v>
      </c>
      <c r="E1054" t="s">
        <v>13</v>
      </c>
      <c r="F1054" t="s">
        <v>14</v>
      </c>
      <c r="G1054" t="s">
        <v>47</v>
      </c>
      <c r="H1054" s="1">
        <v>45440</v>
      </c>
      <c r="I1054" t="s">
        <v>1236</v>
      </c>
      <c r="J1054" t="s">
        <v>21</v>
      </c>
      <c r="K1054" t="s">
        <v>63</v>
      </c>
      <c r="L1054" s="2" t="s">
        <v>35</v>
      </c>
    </row>
    <row r="1055" spans="1:12" x14ac:dyDescent="0.3">
      <c r="A1055" t="s">
        <v>1237</v>
      </c>
      <c r="B1055">
        <v>5427</v>
      </c>
      <c r="C1055">
        <v>728</v>
      </c>
      <c r="D1055">
        <v>3</v>
      </c>
      <c r="E1055" t="s">
        <v>13</v>
      </c>
      <c r="F1055" t="s">
        <v>82</v>
      </c>
      <c r="G1055" t="s">
        <v>15</v>
      </c>
      <c r="H1055" s="1">
        <v>44994</v>
      </c>
      <c r="I1055" t="s">
        <v>1238</v>
      </c>
      <c r="J1055" t="s">
        <v>17</v>
      </c>
      <c r="K1055" t="s">
        <v>18</v>
      </c>
      <c r="L1055" s="2" t="s">
        <v>245</v>
      </c>
    </row>
    <row r="1056" spans="1:12" x14ac:dyDescent="0.3">
      <c r="A1056" t="s">
        <v>1239</v>
      </c>
      <c r="B1056">
        <v>2695</v>
      </c>
      <c r="C1056">
        <v>914</v>
      </c>
      <c r="D1056">
        <v>15</v>
      </c>
      <c r="E1056" t="s">
        <v>45</v>
      </c>
      <c r="F1056" t="s">
        <v>109</v>
      </c>
      <c r="G1056" t="s">
        <v>32</v>
      </c>
      <c r="H1056" s="1">
        <v>44770</v>
      </c>
      <c r="I1056" t="s">
        <v>1240</v>
      </c>
      <c r="J1056" t="s">
        <v>21</v>
      </c>
      <c r="K1056" t="s">
        <v>172</v>
      </c>
      <c r="L1056" s="2" t="s">
        <v>418</v>
      </c>
    </row>
    <row r="1057" spans="1:12" x14ac:dyDescent="0.3">
      <c r="A1057" t="s">
        <v>1239</v>
      </c>
      <c r="B1057">
        <v>2695</v>
      </c>
      <c r="C1057">
        <v>914</v>
      </c>
      <c r="D1057">
        <v>15</v>
      </c>
      <c r="E1057" t="s">
        <v>45</v>
      </c>
      <c r="F1057" t="s">
        <v>109</v>
      </c>
      <c r="G1057" t="s">
        <v>32</v>
      </c>
      <c r="H1057" s="1">
        <v>44364</v>
      </c>
      <c r="I1057" t="s">
        <v>1241</v>
      </c>
      <c r="J1057" t="s">
        <v>42</v>
      </c>
      <c r="K1057" t="s">
        <v>43</v>
      </c>
      <c r="L1057" s="2" t="s">
        <v>125</v>
      </c>
    </row>
    <row r="1058" spans="1:12" x14ac:dyDescent="0.3">
      <c r="A1058" t="s">
        <v>1242</v>
      </c>
      <c r="B1058">
        <v>2386</v>
      </c>
      <c r="C1058">
        <v>999</v>
      </c>
      <c r="D1058">
        <v>3</v>
      </c>
      <c r="E1058" t="s">
        <v>30</v>
      </c>
      <c r="F1058" t="s">
        <v>31</v>
      </c>
      <c r="G1058" t="s">
        <v>65</v>
      </c>
      <c r="H1058" s="1">
        <v>45335</v>
      </c>
      <c r="I1058" t="s">
        <v>1243</v>
      </c>
      <c r="J1058" t="s">
        <v>17</v>
      </c>
      <c r="K1058" t="s">
        <v>18</v>
      </c>
      <c r="L1058" s="2" t="s">
        <v>218</v>
      </c>
    </row>
    <row r="1059" spans="1:12" x14ac:dyDescent="0.3">
      <c r="A1059" t="s">
        <v>1244</v>
      </c>
      <c r="B1059">
        <v>2284</v>
      </c>
      <c r="C1059">
        <v>149</v>
      </c>
      <c r="D1059">
        <v>20</v>
      </c>
      <c r="E1059" t="s">
        <v>30</v>
      </c>
      <c r="F1059" t="s">
        <v>31</v>
      </c>
      <c r="G1059" t="s">
        <v>32</v>
      </c>
      <c r="H1059" s="1">
        <v>44414</v>
      </c>
      <c r="I1059" t="s">
        <v>1245</v>
      </c>
      <c r="J1059" t="s">
        <v>25</v>
      </c>
      <c r="K1059" t="s">
        <v>68</v>
      </c>
      <c r="L1059" s="2" t="s">
        <v>178</v>
      </c>
    </row>
    <row r="1060" spans="1:12" x14ac:dyDescent="0.3">
      <c r="A1060" t="s">
        <v>1246</v>
      </c>
      <c r="B1060">
        <v>6034</v>
      </c>
      <c r="C1060">
        <v>608</v>
      </c>
      <c r="D1060">
        <v>8</v>
      </c>
      <c r="E1060" t="s">
        <v>13</v>
      </c>
      <c r="F1060" t="s">
        <v>82</v>
      </c>
      <c r="G1060" t="s">
        <v>40</v>
      </c>
      <c r="H1060" s="1">
        <v>44682</v>
      </c>
      <c r="I1060" t="s">
        <v>1247</v>
      </c>
      <c r="J1060" t="s">
        <v>71</v>
      </c>
      <c r="K1060" t="s">
        <v>138</v>
      </c>
      <c r="L1060" s="2" t="s">
        <v>180</v>
      </c>
    </row>
    <row r="1061" spans="1:12" x14ac:dyDescent="0.3">
      <c r="A1061" t="s">
        <v>1246</v>
      </c>
      <c r="B1061">
        <v>8956</v>
      </c>
      <c r="C1061">
        <v>3359</v>
      </c>
      <c r="D1061">
        <v>13</v>
      </c>
      <c r="E1061" t="s">
        <v>45</v>
      </c>
      <c r="F1061" t="s">
        <v>109</v>
      </c>
      <c r="G1061" t="s">
        <v>47</v>
      </c>
      <c r="H1061" s="1">
        <v>44682</v>
      </c>
      <c r="I1061" t="s">
        <v>1247</v>
      </c>
      <c r="J1061" t="s">
        <v>71</v>
      </c>
      <c r="K1061" t="s">
        <v>138</v>
      </c>
      <c r="L1061" s="2" t="s">
        <v>180</v>
      </c>
    </row>
    <row r="1062" spans="1:12" x14ac:dyDescent="0.3">
      <c r="A1062" t="s">
        <v>1248</v>
      </c>
      <c r="B1062">
        <v>7122</v>
      </c>
      <c r="C1062">
        <v>1982</v>
      </c>
      <c r="D1062">
        <v>7</v>
      </c>
      <c r="E1062" t="s">
        <v>30</v>
      </c>
      <c r="F1062" t="s">
        <v>57</v>
      </c>
      <c r="G1062" t="s">
        <v>40</v>
      </c>
      <c r="H1062" s="1">
        <v>45362</v>
      </c>
      <c r="I1062" t="s">
        <v>1249</v>
      </c>
      <c r="J1062" t="s">
        <v>21</v>
      </c>
      <c r="K1062" t="s">
        <v>172</v>
      </c>
      <c r="L1062" s="2" t="s">
        <v>338</v>
      </c>
    </row>
    <row r="1063" spans="1:12" x14ac:dyDescent="0.3">
      <c r="A1063" t="s">
        <v>1250</v>
      </c>
      <c r="B1063">
        <v>9775</v>
      </c>
      <c r="C1063">
        <v>4507</v>
      </c>
      <c r="D1063">
        <v>5</v>
      </c>
      <c r="E1063" t="s">
        <v>30</v>
      </c>
      <c r="F1063" t="s">
        <v>57</v>
      </c>
      <c r="G1063" t="s">
        <v>15</v>
      </c>
      <c r="H1063" s="1">
        <v>44018</v>
      </c>
      <c r="I1063" t="s">
        <v>1251</v>
      </c>
      <c r="J1063" t="s">
        <v>98</v>
      </c>
      <c r="K1063" t="s">
        <v>107</v>
      </c>
      <c r="L1063" s="2" t="s">
        <v>462</v>
      </c>
    </row>
    <row r="1064" spans="1:12" x14ac:dyDescent="0.3">
      <c r="A1064" t="s">
        <v>1252</v>
      </c>
      <c r="B1064">
        <v>3309</v>
      </c>
      <c r="C1064">
        <v>177</v>
      </c>
      <c r="D1064">
        <v>13</v>
      </c>
      <c r="E1064" t="s">
        <v>45</v>
      </c>
      <c r="F1064" t="s">
        <v>109</v>
      </c>
      <c r="G1064" t="s">
        <v>40</v>
      </c>
      <c r="H1064" s="1">
        <v>44182</v>
      </c>
      <c r="I1064" t="s">
        <v>1253</v>
      </c>
      <c r="J1064" t="s">
        <v>98</v>
      </c>
      <c r="K1064" t="s">
        <v>117</v>
      </c>
      <c r="L1064" s="2" t="s">
        <v>287</v>
      </c>
    </row>
    <row r="1065" spans="1:12" x14ac:dyDescent="0.3">
      <c r="A1065" t="s">
        <v>1254</v>
      </c>
      <c r="B1065">
        <v>4163</v>
      </c>
      <c r="C1065">
        <v>897</v>
      </c>
      <c r="D1065">
        <v>14</v>
      </c>
      <c r="E1065" t="s">
        <v>13</v>
      </c>
      <c r="F1065" t="s">
        <v>14</v>
      </c>
      <c r="G1065" t="s">
        <v>65</v>
      </c>
      <c r="H1065" s="1">
        <v>44803</v>
      </c>
      <c r="I1065" t="s">
        <v>1255</v>
      </c>
      <c r="J1065" t="s">
        <v>21</v>
      </c>
      <c r="K1065" t="s">
        <v>63</v>
      </c>
      <c r="L1065" s="2" t="s">
        <v>209</v>
      </c>
    </row>
    <row r="1066" spans="1:12" x14ac:dyDescent="0.3">
      <c r="A1066" t="s">
        <v>1254</v>
      </c>
      <c r="B1066">
        <v>4163</v>
      </c>
      <c r="C1066">
        <v>897</v>
      </c>
      <c r="D1066">
        <v>14</v>
      </c>
      <c r="E1066" t="s">
        <v>13</v>
      </c>
      <c r="F1066" t="s">
        <v>14</v>
      </c>
      <c r="G1066" t="s">
        <v>65</v>
      </c>
      <c r="H1066" s="1">
        <v>45715</v>
      </c>
      <c r="I1066" t="s">
        <v>1256</v>
      </c>
      <c r="J1066" t="s">
        <v>98</v>
      </c>
      <c r="K1066" t="s">
        <v>117</v>
      </c>
      <c r="L1066" s="2" t="s">
        <v>73</v>
      </c>
    </row>
    <row r="1067" spans="1:12" x14ac:dyDescent="0.3">
      <c r="A1067" t="s">
        <v>1254</v>
      </c>
      <c r="B1067">
        <v>4163</v>
      </c>
      <c r="C1067">
        <v>897</v>
      </c>
      <c r="D1067">
        <v>14</v>
      </c>
      <c r="E1067" t="s">
        <v>13</v>
      </c>
      <c r="F1067" t="s">
        <v>14</v>
      </c>
      <c r="G1067" t="s">
        <v>65</v>
      </c>
      <c r="H1067" s="1">
        <v>44352</v>
      </c>
      <c r="I1067" t="s">
        <v>1257</v>
      </c>
      <c r="J1067" t="s">
        <v>17</v>
      </c>
      <c r="K1067" t="s">
        <v>34</v>
      </c>
      <c r="L1067" s="2" t="s">
        <v>125</v>
      </c>
    </row>
    <row r="1068" spans="1:12" x14ac:dyDescent="0.3">
      <c r="A1068" t="s">
        <v>1258</v>
      </c>
      <c r="B1068">
        <v>5518</v>
      </c>
      <c r="C1068">
        <v>867</v>
      </c>
      <c r="D1068">
        <v>7</v>
      </c>
      <c r="E1068" t="s">
        <v>45</v>
      </c>
      <c r="F1068" t="s">
        <v>60</v>
      </c>
      <c r="G1068" t="s">
        <v>15</v>
      </c>
      <c r="H1068" s="1">
        <v>44917</v>
      </c>
      <c r="I1068" t="s">
        <v>1259</v>
      </c>
      <c r="J1068" t="s">
        <v>71</v>
      </c>
      <c r="K1068" t="s">
        <v>138</v>
      </c>
      <c r="L1068" s="2" t="s">
        <v>152</v>
      </c>
    </row>
    <row r="1069" spans="1:12" x14ac:dyDescent="0.3">
      <c r="A1069" t="s">
        <v>1260</v>
      </c>
      <c r="B1069">
        <v>7566</v>
      </c>
      <c r="C1069">
        <v>606</v>
      </c>
      <c r="D1069">
        <v>6</v>
      </c>
      <c r="E1069" t="s">
        <v>13</v>
      </c>
      <c r="F1069" t="s">
        <v>82</v>
      </c>
      <c r="G1069" t="s">
        <v>32</v>
      </c>
      <c r="H1069" s="1">
        <v>45682</v>
      </c>
      <c r="I1069" t="s">
        <v>1261</v>
      </c>
      <c r="J1069" t="s">
        <v>98</v>
      </c>
      <c r="K1069" t="s">
        <v>99</v>
      </c>
      <c r="L1069" s="2" t="s">
        <v>308</v>
      </c>
    </row>
    <row r="1070" spans="1:12" x14ac:dyDescent="0.3">
      <c r="A1070" t="s">
        <v>1260</v>
      </c>
      <c r="B1070">
        <v>7566</v>
      </c>
      <c r="C1070">
        <v>606</v>
      </c>
      <c r="D1070">
        <v>6</v>
      </c>
      <c r="E1070" t="s">
        <v>13</v>
      </c>
      <c r="F1070" t="s">
        <v>82</v>
      </c>
      <c r="G1070" t="s">
        <v>32</v>
      </c>
      <c r="H1070" s="1">
        <v>45702</v>
      </c>
      <c r="I1070" t="s">
        <v>1262</v>
      </c>
      <c r="J1070" t="s">
        <v>42</v>
      </c>
      <c r="K1070" t="s">
        <v>75</v>
      </c>
      <c r="L1070" s="2" t="s">
        <v>73</v>
      </c>
    </row>
    <row r="1071" spans="1:12" x14ac:dyDescent="0.3">
      <c r="A1071" t="s">
        <v>1263</v>
      </c>
      <c r="B1071">
        <v>762</v>
      </c>
      <c r="C1071">
        <v>92</v>
      </c>
      <c r="D1071">
        <v>11</v>
      </c>
      <c r="E1071" t="s">
        <v>13</v>
      </c>
      <c r="F1071" t="s">
        <v>28</v>
      </c>
      <c r="G1071" t="s">
        <v>65</v>
      </c>
      <c r="H1071" s="1">
        <v>44932</v>
      </c>
      <c r="I1071" t="s">
        <v>1264</v>
      </c>
      <c r="J1071" t="s">
        <v>21</v>
      </c>
      <c r="K1071" t="s">
        <v>63</v>
      </c>
      <c r="L1071" s="2" t="s">
        <v>333</v>
      </c>
    </row>
    <row r="1072" spans="1:12" x14ac:dyDescent="0.3">
      <c r="A1072" t="s">
        <v>1265</v>
      </c>
      <c r="B1072">
        <v>3316</v>
      </c>
      <c r="C1072">
        <v>126</v>
      </c>
      <c r="D1072">
        <v>6</v>
      </c>
      <c r="E1072" t="s">
        <v>13</v>
      </c>
      <c r="F1072" t="s">
        <v>39</v>
      </c>
      <c r="G1072" t="s">
        <v>65</v>
      </c>
      <c r="H1072" s="1">
        <v>44115</v>
      </c>
      <c r="I1072" t="s">
        <v>1266</v>
      </c>
      <c r="J1072" t="s">
        <v>98</v>
      </c>
      <c r="K1072" t="s">
        <v>107</v>
      </c>
      <c r="L1072" s="2" t="s">
        <v>119</v>
      </c>
    </row>
    <row r="1073" spans="1:12" x14ac:dyDescent="0.3">
      <c r="A1073" t="s">
        <v>1267</v>
      </c>
      <c r="B1073">
        <v>5994</v>
      </c>
      <c r="C1073">
        <v>2826</v>
      </c>
      <c r="D1073">
        <v>9</v>
      </c>
      <c r="E1073" t="s">
        <v>45</v>
      </c>
      <c r="F1073" t="s">
        <v>109</v>
      </c>
      <c r="G1073" t="s">
        <v>40</v>
      </c>
      <c r="H1073" s="1">
        <v>45070</v>
      </c>
      <c r="I1073" t="s">
        <v>1268</v>
      </c>
      <c r="J1073" t="s">
        <v>42</v>
      </c>
      <c r="K1073" t="s">
        <v>92</v>
      </c>
      <c r="L1073" s="2" t="s">
        <v>127</v>
      </c>
    </row>
    <row r="1074" spans="1:12" x14ac:dyDescent="0.3">
      <c r="A1074" t="s">
        <v>1267</v>
      </c>
      <c r="B1074">
        <v>5994</v>
      </c>
      <c r="C1074">
        <v>2826</v>
      </c>
      <c r="D1074">
        <v>9</v>
      </c>
      <c r="E1074" t="s">
        <v>45</v>
      </c>
      <c r="F1074" t="s">
        <v>109</v>
      </c>
      <c r="G1074" t="s">
        <v>40</v>
      </c>
      <c r="H1074" s="1">
        <v>45363</v>
      </c>
      <c r="I1074" t="s">
        <v>1269</v>
      </c>
      <c r="J1074" t="s">
        <v>42</v>
      </c>
      <c r="K1074" t="s">
        <v>43</v>
      </c>
      <c r="L1074" s="2" t="s">
        <v>338</v>
      </c>
    </row>
    <row r="1075" spans="1:12" x14ac:dyDescent="0.3">
      <c r="A1075" t="s">
        <v>1267</v>
      </c>
      <c r="B1075">
        <v>5994</v>
      </c>
      <c r="C1075">
        <v>2826</v>
      </c>
      <c r="D1075">
        <v>9</v>
      </c>
      <c r="E1075" t="s">
        <v>45</v>
      </c>
      <c r="F1075" t="s">
        <v>109</v>
      </c>
      <c r="G1075" t="s">
        <v>40</v>
      </c>
      <c r="H1075" s="1">
        <v>45368</v>
      </c>
      <c r="I1075" t="s">
        <v>1270</v>
      </c>
      <c r="J1075" t="s">
        <v>25</v>
      </c>
      <c r="K1075" t="s">
        <v>51</v>
      </c>
      <c r="L1075" s="2" t="s">
        <v>338</v>
      </c>
    </row>
    <row r="1076" spans="1:12" x14ac:dyDescent="0.3">
      <c r="A1076" t="s">
        <v>1271</v>
      </c>
      <c r="B1076">
        <v>3854</v>
      </c>
      <c r="C1076">
        <v>245</v>
      </c>
      <c r="D1076">
        <v>19</v>
      </c>
      <c r="E1076" t="s">
        <v>13</v>
      </c>
      <c r="F1076" t="s">
        <v>39</v>
      </c>
      <c r="G1076" t="s">
        <v>65</v>
      </c>
      <c r="H1076" s="1">
        <v>44698</v>
      </c>
      <c r="I1076" t="s">
        <v>1272</v>
      </c>
      <c r="J1076" t="s">
        <v>98</v>
      </c>
      <c r="K1076" t="s">
        <v>99</v>
      </c>
      <c r="L1076" s="2" t="s">
        <v>180</v>
      </c>
    </row>
    <row r="1077" spans="1:12" x14ac:dyDescent="0.3">
      <c r="A1077" t="s">
        <v>1273</v>
      </c>
      <c r="B1077">
        <v>7019</v>
      </c>
      <c r="C1077">
        <v>2677</v>
      </c>
      <c r="D1077">
        <v>15</v>
      </c>
      <c r="E1077" t="s">
        <v>30</v>
      </c>
      <c r="F1077" t="s">
        <v>57</v>
      </c>
      <c r="G1077" t="s">
        <v>15</v>
      </c>
      <c r="H1077" s="1">
        <v>44186</v>
      </c>
      <c r="I1077" t="s">
        <v>1274</v>
      </c>
      <c r="J1077" t="s">
        <v>17</v>
      </c>
      <c r="K1077" t="s">
        <v>18</v>
      </c>
      <c r="L1077" s="2" t="s">
        <v>287</v>
      </c>
    </row>
    <row r="1078" spans="1:12" x14ac:dyDescent="0.3">
      <c r="A1078" t="s">
        <v>1275</v>
      </c>
      <c r="B1078">
        <v>5954</v>
      </c>
      <c r="C1078">
        <v>2640</v>
      </c>
      <c r="D1078">
        <v>14</v>
      </c>
      <c r="E1078" t="s">
        <v>13</v>
      </c>
      <c r="F1078" t="s">
        <v>39</v>
      </c>
      <c r="G1078" t="s">
        <v>47</v>
      </c>
      <c r="H1078" s="1">
        <v>44432</v>
      </c>
      <c r="I1078" t="s">
        <v>1276</v>
      </c>
      <c r="J1078" t="s">
        <v>25</v>
      </c>
      <c r="K1078" t="s">
        <v>51</v>
      </c>
      <c r="L1078" s="2" t="s">
        <v>178</v>
      </c>
    </row>
    <row r="1079" spans="1:12" x14ac:dyDescent="0.3">
      <c r="A1079" t="s">
        <v>1275</v>
      </c>
      <c r="B1079">
        <v>5954</v>
      </c>
      <c r="C1079">
        <v>2640</v>
      </c>
      <c r="D1079">
        <v>14</v>
      </c>
      <c r="E1079" t="s">
        <v>13</v>
      </c>
      <c r="F1079" t="s">
        <v>39</v>
      </c>
      <c r="G1079" t="s">
        <v>47</v>
      </c>
      <c r="H1079" s="1">
        <v>44856</v>
      </c>
      <c r="I1079" t="s">
        <v>1277</v>
      </c>
      <c r="J1079" t="s">
        <v>71</v>
      </c>
      <c r="K1079" t="s">
        <v>72</v>
      </c>
      <c r="L1079" s="2" t="s">
        <v>96</v>
      </c>
    </row>
    <row r="1080" spans="1:12" x14ac:dyDescent="0.3">
      <c r="A1080" t="s">
        <v>1278</v>
      </c>
      <c r="B1080">
        <v>9752</v>
      </c>
      <c r="C1080">
        <v>3618</v>
      </c>
      <c r="D1080">
        <v>5</v>
      </c>
      <c r="E1080" t="s">
        <v>45</v>
      </c>
      <c r="F1080" t="s">
        <v>109</v>
      </c>
      <c r="G1080" t="s">
        <v>32</v>
      </c>
      <c r="H1080" s="1">
        <v>45343</v>
      </c>
      <c r="I1080" t="s">
        <v>1279</v>
      </c>
      <c r="J1080" t="s">
        <v>25</v>
      </c>
      <c r="K1080" t="s">
        <v>68</v>
      </c>
      <c r="L1080" s="2" t="s">
        <v>218</v>
      </c>
    </row>
    <row r="1081" spans="1:12" x14ac:dyDescent="0.3">
      <c r="A1081" t="s">
        <v>1278</v>
      </c>
      <c r="B1081">
        <v>9752</v>
      </c>
      <c r="C1081">
        <v>3618</v>
      </c>
      <c r="D1081">
        <v>5</v>
      </c>
      <c r="E1081" t="s">
        <v>45</v>
      </c>
      <c r="F1081" t="s">
        <v>109</v>
      </c>
      <c r="G1081" t="s">
        <v>32</v>
      </c>
      <c r="H1081" s="1">
        <v>44865</v>
      </c>
      <c r="I1081" t="s">
        <v>1280</v>
      </c>
      <c r="J1081" t="s">
        <v>21</v>
      </c>
      <c r="K1081" t="s">
        <v>172</v>
      </c>
      <c r="L1081" s="2" t="s">
        <v>96</v>
      </c>
    </row>
    <row r="1082" spans="1:12" x14ac:dyDescent="0.3">
      <c r="A1082" t="s">
        <v>1281</v>
      </c>
      <c r="B1082">
        <v>5335</v>
      </c>
      <c r="C1082">
        <v>322</v>
      </c>
      <c r="D1082">
        <v>15</v>
      </c>
      <c r="E1082" t="s">
        <v>13</v>
      </c>
      <c r="F1082" t="s">
        <v>14</v>
      </c>
      <c r="G1082" t="s">
        <v>65</v>
      </c>
      <c r="H1082" s="1">
        <v>44696</v>
      </c>
      <c r="I1082" t="s">
        <v>1282</v>
      </c>
      <c r="J1082" t="s">
        <v>25</v>
      </c>
      <c r="K1082" t="s">
        <v>51</v>
      </c>
      <c r="L1082" s="2" t="s">
        <v>180</v>
      </c>
    </row>
    <row r="1083" spans="1:12" x14ac:dyDescent="0.3">
      <c r="A1083" t="s">
        <v>1283</v>
      </c>
      <c r="B1083">
        <v>1454</v>
      </c>
      <c r="C1083">
        <v>80</v>
      </c>
      <c r="D1083">
        <v>20</v>
      </c>
      <c r="E1083" t="s">
        <v>13</v>
      </c>
      <c r="F1083" t="s">
        <v>14</v>
      </c>
      <c r="G1083" t="s">
        <v>47</v>
      </c>
      <c r="H1083" s="1">
        <v>44764</v>
      </c>
      <c r="I1083" t="s">
        <v>1284</v>
      </c>
      <c r="J1083" t="s">
        <v>25</v>
      </c>
      <c r="K1083" t="s">
        <v>68</v>
      </c>
      <c r="L1083" s="2" t="s">
        <v>418</v>
      </c>
    </row>
    <row r="1084" spans="1:12" x14ac:dyDescent="0.3">
      <c r="A1084" t="s">
        <v>1285</v>
      </c>
      <c r="B1084">
        <v>6724</v>
      </c>
      <c r="C1084">
        <v>1539</v>
      </c>
      <c r="D1084">
        <v>19</v>
      </c>
      <c r="E1084" t="s">
        <v>45</v>
      </c>
      <c r="F1084" t="s">
        <v>109</v>
      </c>
      <c r="G1084" t="s">
        <v>65</v>
      </c>
      <c r="H1084" s="1">
        <v>44543</v>
      </c>
      <c r="I1084" t="s">
        <v>1286</v>
      </c>
      <c r="J1084" t="s">
        <v>42</v>
      </c>
      <c r="K1084" t="s">
        <v>92</v>
      </c>
      <c r="L1084" s="2" t="s">
        <v>90</v>
      </c>
    </row>
    <row r="1085" spans="1:12" x14ac:dyDescent="0.3">
      <c r="A1085" t="s">
        <v>1285</v>
      </c>
      <c r="B1085">
        <v>6724</v>
      </c>
      <c r="C1085">
        <v>1539</v>
      </c>
      <c r="D1085">
        <v>19</v>
      </c>
      <c r="E1085" t="s">
        <v>45</v>
      </c>
      <c r="F1085" t="s">
        <v>109</v>
      </c>
      <c r="G1085" t="s">
        <v>65</v>
      </c>
      <c r="H1085" s="1">
        <v>44350</v>
      </c>
      <c r="I1085" t="s">
        <v>1287</v>
      </c>
      <c r="J1085" t="s">
        <v>71</v>
      </c>
      <c r="K1085" t="s">
        <v>72</v>
      </c>
      <c r="L1085" s="2" t="s">
        <v>125</v>
      </c>
    </row>
    <row r="1086" spans="1:12" x14ac:dyDescent="0.3">
      <c r="A1086" t="s">
        <v>1288</v>
      </c>
      <c r="B1086">
        <v>9874</v>
      </c>
      <c r="C1086">
        <v>3895</v>
      </c>
      <c r="D1086">
        <v>4</v>
      </c>
      <c r="E1086" t="s">
        <v>30</v>
      </c>
      <c r="F1086" t="s">
        <v>78</v>
      </c>
      <c r="G1086" t="s">
        <v>40</v>
      </c>
      <c r="H1086" s="1">
        <v>45712</v>
      </c>
      <c r="I1086" t="s">
        <v>1289</v>
      </c>
      <c r="J1086" t="s">
        <v>98</v>
      </c>
      <c r="K1086" t="s">
        <v>117</v>
      </c>
      <c r="L1086" s="2" t="s">
        <v>73</v>
      </c>
    </row>
    <row r="1087" spans="1:12" x14ac:dyDescent="0.3">
      <c r="A1087" t="s">
        <v>1290</v>
      </c>
      <c r="B1087">
        <v>4918</v>
      </c>
      <c r="C1087">
        <v>1485</v>
      </c>
      <c r="D1087">
        <v>7</v>
      </c>
      <c r="E1087" t="s">
        <v>13</v>
      </c>
      <c r="F1087" t="s">
        <v>82</v>
      </c>
      <c r="G1087" t="s">
        <v>15</v>
      </c>
      <c r="H1087" s="1">
        <v>44959</v>
      </c>
      <c r="I1087" t="s">
        <v>1291</v>
      </c>
      <c r="J1087" t="s">
        <v>17</v>
      </c>
      <c r="K1087" t="s">
        <v>150</v>
      </c>
      <c r="L1087" s="2" t="s">
        <v>93</v>
      </c>
    </row>
    <row r="1088" spans="1:12" x14ac:dyDescent="0.3">
      <c r="A1088" t="s">
        <v>1292</v>
      </c>
      <c r="B1088">
        <v>3189</v>
      </c>
      <c r="C1088">
        <v>1180</v>
      </c>
      <c r="D1088">
        <v>19</v>
      </c>
      <c r="E1088" t="s">
        <v>30</v>
      </c>
      <c r="F1088" t="s">
        <v>64</v>
      </c>
      <c r="G1088" t="s">
        <v>47</v>
      </c>
      <c r="H1088" s="1">
        <v>44561</v>
      </c>
      <c r="I1088" t="s">
        <v>1293</v>
      </c>
      <c r="J1088" t="s">
        <v>25</v>
      </c>
      <c r="K1088" t="s">
        <v>51</v>
      </c>
      <c r="L1088" s="2" t="s">
        <v>90</v>
      </c>
    </row>
    <row r="1089" spans="1:12" x14ac:dyDescent="0.3">
      <c r="A1089" t="s">
        <v>1294</v>
      </c>
      <c r="B1089">
        <v>2684</v>
      </c>
      <c r="C1089">
        <v>713</v>
      </c>
      <c r="D1089">
        <v>2</v>
      </c>
      <c r="E1089" t="s">
        <v>13</v>
      </c>
      <c r="F1089" t="s">
        <v>14</v>
      </c>
      <c r="G1089" t="s">
        <v>15</v>
      </c>
      <c r="H1089" s="1">
        <v>45458</v>
      </c>
      <c r="I1089" t="s">
        <v>1295</v>
      </c>
      <c r="J1089" t="s">
        <v>25</v>
      </c>
      <c r="K1089" t="s">
        <v>51</v>
      </c>
      <c r="L1089" s="2" t="s">
        <v>262</v>
      </c>
    </row>
    <row r="1090" spans="1:12" x14ac:dyDescent="0.3">
      <c r="A1090" t="s">
        <v>1294</v>
      </c>
      <c r="B1090">
        <v>2684</v>
      </c>
      <c r="C1090">
        <v>713</v>
      </c>
      <c r="D1090">
        <v>2</v>
      </c>
      <c r="E1090" t="s">
        <v>13</v>
      </c>
      <c r="F1090" t="s">
        <v>14</v>
      </c>
      <c r="G1090" t="s">
        <v>15</v>
      </c>
      <c r="H1090" s="1">
        <v>44717</v>
      </c>
      <c r="I1090" t="s">
        <v>1296</v>
      </c>
      <c r="J1090" t="s">
        <v>25</v>
      </c>
      <c r="K1090" t="s">
        <v>26</v>
      </c>
      <c r="L1090" s="2" t="s">
        <v>165</v>
      </c>
    </row>
    <row r="1091" spans="1:12" x14ac:dyDescent="0.3">
      <c r="A1091" t="s">
        <v>1294</v>
      </c>
      <c r="B1091">
        <v>2684</v>
      </c>
      <c r="C1091">
        <v>713</v>
      </c>
      <c r="D1091">
        <v>2</v>
      </c>
      <c r="E1091" t="s">
        <v>13</v>
      </c>
      <c r="F1091" t="s">
        <v>14</v>
      </c>
      <c r="G1091" t="s">
        <v>15</v>
      </c>
      <c r="H1091" s="1">
        <v>43962</v>
      </c>
      <c r="I1091" t="s">
        <v>1297</v>
      </c>
      <c r="J1091" t="s">
        <v>71</v>
      </c>
      <c r="K1091" t="s">
        <v>72</v>
      </c>
      <c r="L1091" s="2" t="s">
        <v>59</v>
      </c>
    </row>
    <row r="1092" spans="1:12" x14ac:dyDescent="0.3">
      <c r="A1092" t="s">
        <v>1298</v>
      </c>
      <c r="B1092">
        <v>7626</v>
      </c>
      <c r="C1092">
        <v>229</v>
      </c>
      <c r="D1092">
        <v>5</v>
      </c>
      <c r="E1092" t="s">
        <v>30</v>
      </c>
      <c r="F1092" t="s">
        <v>31</v>
      </c>
      <c r="G1092" t="s">
        <v>40</v>
      </c>
      <c r="H1092" s="1">
        <v>45333</v>
      </c>
      <c r="I1092" t="s">
        <v>1299</v>
      </c>
      <c r="J1092" t="s">
        <v>21</v>
      </c>
      <c r="K1092" t="s">
        <v>63</v>
      </c>
      <c r="L1092" s="2" t="s">
        <v>218</v>
      </c>
    </row>
    <row r="1093" spans="1:12" x14ac:dyDescent="0.3">
      <c r="A1093" t="s">
        <v>1298</v>
      </c>
      <c r="B1093">
        <v>7626</v>
      </c>
      <c r="C1093">
        <v>229</v>
      </c>
      <c r="D1093">
        <v>5</v>
      </c>
      <c r="E1093" t="s">
        <v>30</v>
      </c>
      <c r="F1093" t="s">
        <v>31</v>
      </c>
      <c r="G1093" t="s">
        <v>40</v>
      </c>
      <c r="H1093" s="1">
        <v>44160</v>
      </c>
      <c r="I1093" t="s">
        <v>1300</v>
      </c>
      <c r="J1093" t="s">
        <v>98</v>
      </c>
      <c r="K1093" t="s">
        <v>99</v>
      </c>
      <c r="L1093" s="2" t="s">
        <v>80</v>
      </c>
    </row>
    <row r="1094" spans="1:12" x14ac:dyDescent="0.3">
      <c r="A1094" t="s">
        <v>1301</v>
      </c>
      <c r="B1094">
        <v>6669</v>
      </c>
      <c r="C1094">
        <v>3063</v>
      </c>
      <c r="D1094">
        <v>19</v>
      </c>
      <c r="E1094" t="s">
        <v>13</v>
      </c>
      <c r="F1094" t="s">
        <v>28</v>
      </c>
      <c r="G1094" t="s">
        <v>15</v>
      </c>
      <c r="H1094" s="1">
        <v>45150</v>
      </c>
      <c r="I1094" t="s">
        <v>1302</v>
      </c>
      <c r="J1094" t="s">
        <v>98</v>
      </c>
      <c r="K1094" t="s">
        <v>107</v>
      </c>
      <c r="L1094" s="2" t="s">
        <v>121</v>
      </c>
    </row>
    <row r="1095" spans="1:12" x14ac:dyDescent="0.3">
      <c r="A1095" t="s">
        <v>1303</v>
      </c>
      <c r="B1095">
        <v>6123</v>
      </c>
      <c r="C1095">
        <v>1686</v>
      </c>
      <c r="D1095">
        <v>3</v>
      </c>
      <c r="E1095" t="s">
        <v>30</v>
      </c>
      <c r="F1095" t="s">
        <v>57</v>
      </c>
      <c r="G1095" t="s">
        <v>47</v>
      </c>
      <c r="H1095" s="1">
        <v>44687</v>
      </c>
      <c r="I1095" t="s">
        <v>1304</v>
      </c>
      <c r="J1095" t="s">
        <v>98</v>
      </c>
      <c r="K1095" t="s">
        <v>107</v>
      </c>
      <c r="L1095" s="2" t="s">
        <v>180</v>
      </c>
    </row>
    <row r="1096" spans="1:12" x14ac:dyDescent="0.3">
      <c r="A1096" t="s">
        <v>1305</v>
      </c>
      <c r="B1096">
        <v>3265</v>
      </c>
      <c r="C1096">
        <v>1390</v>
      </c>
      <c r="D1096">
        <v>16</v>
      </c>
      <c r="E1096" t="s">
        <v>30</v>
      </c>
      <c r="F1096" t="s">
        <v>64</v>
      </c>
      <c r="G1096" t="s">
        <v>47</v>
      </c>
      <c r="H1096" s="1">
        <v>45308</v>
      </c>
      <c r="I1096" t="s">
        <v>1306</v>
      </c>
      <c r="J1096" t="s">
        <v>42</v>
      </c>
      <c r="K1096" t="s">
        <v>43</v>
      </c>
      <c r="L1096" s="2" t="s">
        <v>76</v>
      </c>
    </row>
    <row r="1097" spans="1:12" x14ac:dyDescent="0.3">
      <c r="A1097" t="s">
        <v>1307</v>
      </c>
      <c r="B1097">
        <v>8104</v>
      </c>
      <c r="C1097">
        <v>1039</v>
      </c>
      <c r="D1097">
        <v>6</v>
      </c>
      <c r="E1097" t="s">
        <v>30</v>
      </c>
      <c r="F1097" t="s">
        <v>57</v>
      </c>
      <c r="G1097" t="s">
        <v>65</v>
      </c>
      <c r="H1097" s="1">
        <v>44524</v>
      </c>
      <c r="I1097" t="s">
        <v>1308</v>
      </c>
      <c r="J1097" t="s">
        <v>17</v>
      </c>
      <c r="K1097" t="s">
        <v>34</v>
      </c>
      <c r="L1097" s="2" t="s">
        <v>175</v>
      </c>
    </row>
    <row r="1098" spans="1:12" x14ac:dyDescent="0.3">
      <c r="A1098" t="s">
        <v>1307</v>
      </c>
      <c r="B1098">
        <v>8104</v>
      </c>
      <c r="C1098">
        <v>1039</v>
      </c>
      <c r="D1098">
        <v>6</v>
      </c>
      <c r="E1098" t="s">
        <v>30</v>
      </c>
      <c r="F1098" t="s">
        <v>57</v>
      </c>
      <c r="G1098" t="s">
        <v>65</v>
      </c>
      <c r="H1098" s="1">
        <v>44475</v>
      </c>
      <c r="I1098" t="s">
        <v>1309</v>
      </c>
      <c r="J1098" t="s">
        <v>17</v>
      </c>
      <c r="K1098" t="s">
        <v>18</v>
      </c>
      <c r="L1098" s="2" t="s">
        <v>37</v>
      </c>
    </row>
    <row r="1099" spans="1:12" x14ac:dyDescent="0.3">
      <c r="A1099" t="s">
        <v>1307</v>
      </c>
      <c r="B1099">
        <v>8104</v>
      </c>
      <c r="C1099">
        <v>1039</v>
      </c>
      <c r="D1099">
        <v>6</v>
      </c>
      <c r="E1099" t="s">
        <v>30</v>
      </c>
      <c r="F1099" t="s">
        <v>57</v>
      </c>
      <c r="G1099" t="s">
        <v>65</v>
      </c>
      <c r="H1099" s="1">
        <v>45684</v>
      </c>
      <c r="I1099" t="s">
        <v>1310</v>
      </c>
      <c r="J1099" t="s">
        <v>42</v>
      </c>
      <c r="K1099" t="s">
        <v>92</v>
      </c>
      <c r="L1099" s="2" t="s">
        <v>308</v>
      </c>
    </row>
    <row r="1100" spans="1:12" x14ac:dyDescent="0.3">
      <c r="A1100" t="s">
        <v>1311</v>
      </c>
      <c r="B1100">
        <v>847</v>
      </c>
      <c r="C1100">
        <v>355</v>
      </c>
      <c r="D1100">
        <v>17</v>
      </c>
      <c r="E1100" t="s">
        <v>45</v>
      </c>
      <c r="F1100" t="s">
        <v>46</v>
      </c>
      <c r="G1100" t="s">
        <v>65</v>
      </c>
      <c r="H1100" s="1">
        <v>44704</v>
      </c>
      <c r="I1100" t="s">
        <v>1312</v>
      </c>
      <c r="J1100" t="s">
        <v>25</v>
      </c>
      <c r="K1100" t="s">
        <v>26</v>
      </c>
      <c r="L1100" s="2" t="s">
        <v>180</v>
      </c>
    </row>
    <row r="1101" spans="1:12" x14ac:dyDescent="0.3">
      <c r="A1101" t="s">
        <v>1311</v>
      </c>
      <c r="B1101">
        <v>847</v>
      </c>
      <c r="C1101">
        <v>355</v>
      </c>
      <c r="D1101">
        <v>17</v>
      </c>
      <c r="E1101" t="s">
        <v>45</v>
      </c>
      <c r="F1101" t="s">
        <v>46</v>
      </c>
      <c r="G1101" t="s">
        <v>65</v>
      </c>
      <c r="H1101" s="1">
        <v>45258</v>
      </c>
      <c r="I1101" t="s">
        <v>1313</v>
      </c>
      <c r="J1101" t="s">
        <v>71</v>
      </c>
      <c r="K1101" t="s">
        <v>86</v>
      </c>
      <c r="L1101" s="2" t="s">
        <v>52</v>
      </c>
    </row>
    <row r="1102" spans="1:12" x14ac:dyDescent="0.3">
      <c r="A1102" t="s">
        <v>1311</v>
      </c>
      <c r="B1102">
        <v>847</v>
      </c>
      <c r="C1102">
        <v>355</v>
      </c>
      <c r="D1102">
        <v>17</v>
      </c>
      <c r="E1102" t="s">
        <v>45</v>
      </c>
      <c r="F1102" t="s">
        <v>46</v>
      </c>
      <c r="G1102" t="s">
        <v>65</v>
      </c>
      <c r="H1102" s="1">
        <v>44944</v>
      </c>
      <c r="I1102" t="s">
        <v>1314</v>
      </c>
      <c r="J1102" t="s">
        <v>42</v>
      </c>
      <c r="K1102" t="s">
        <v>92</v>
      </c>
      <c r="L1102" s="2" t="s">
        <v>333</v>
      </c>
    </row>
    <row r="1103" spans="1:12" x14ac:dyDescent="0.3">
      <c r="A1103" t="s">
        <v>1315</v>
      </c>
      <c r="B1103">
        <v>3129</v>
      </c>
      <c r="C1103">
        <v>55</v>
      </c>
      <c r="D1103">
        <v>9</v>
      </c>
      <c r="E1103" t="s">
        <v>45</v>
      </c>
      <c r="F1103" t="s">
        <v>109</v>
      </c>
      <c r="G1103" t="s">
        <v>32</v>
      </c>
      <c r="H1103" s="1">
        <v>44445</v>
      </c>
      <c r="I1103" t="s">
        <v>1316</v>
      </c>
      <c r="J1103" t="s">
        <v>21</v>
      </c>
      <c r="K1103" t="s">
        <v>172</v>
      </c>
      <c r="L1103" s="2" t="s">
        <v>224</v>
      </c>
    </row>
    <row r="1104" spans="1:12" x14ac:dyDescent="0.3">
      <c r="A1104" t="s">
        <v>1315</v>
      </c>
      <c r="B1104">
        <v>7821</v>
      </c>
      <c r="C1104">
        <v>3821</v>
      </c>
      <c r="D1104">
        <v>13</v>
      </c>
      <c r="E1104" t="s">
        <v>13</v>
      </c>
      <c r="F1104" t="s">
        <v>39</v>
      </c>
      <c r="G1104" t="s">
        <v>40</v>
      </c>
      <c r="H1104" s="1">
        <v>44445</v>
      </c>
      <c r="I1104" t="s">
        <v>1316</v>
      </c>
      <c r="J1104" t="s">
        <v>21</v>
      </c>
      <c r="K1104" t="s">
        <v>172</v>
      </c>
      <c r="L1104" s="2" t="s">
        <v>224</v>
      </c>
    </row>
    <row r="1105" spans="1:12" x14ac:dyDescent="0.3">
      <c r="A1105" t="s">
        <v>1317</v>
      </c>
      <c r="B1105">
        <v>9498</v>
      </c>
      <c r="C1105">
        <v>256</v>
      </c>
      <c r="D1105">
        <v>12</v>
      </c>
      <c r="E1105" t="s">
        <v>13</v>
      </c>
      <c r="F1105" t="s">
        <v>82</v>
      </c>
      <c r="G1105" t="s">
        <v>65</v>
      </c>
      <c r="H1105" s="1">
        <v>44249</v>
      </c>
      <c r="I1105" t="s">
        <v>1318</v>
      </c>
      <c r="J1105" t="s">
        <v>21</v>
      </c>
      <c r="K1105" t="s">
        <v>172</v>
      </c>
      <c r="L1105" s="2" t="s">
        <v>292</v>
      </c>
    </row>
    <row r="1106" spans="1:12" x14ac:dyDescent="0.3">
      <c r="A1106" t="s">
        <v>1317</v>
      </c>
      <c r="B1106">
        <v>9498</v>
      </c>
      <c r="C1106">
        <v>256</v>
      </c>
      <c r="D1106">
        <v>12</v>
      </c>
      <c r="E1106" t="s">
        <v>13</v>
      </c>
      <c r="F1106" t="s">
        <v>82</v>
      </c>
      <c r="G1106" t="s">
        <v>65</v>
      </c>
      <c r="H1106" s="1">
        <v>44475</v>
      </c>
      <c r="I1106" t="s">
        <v>1319</v>
      </c>
      <c r="J1106" t="s">
        <v>25</v>
      </c>
      <c r="K1106" t="s">
        <v>51</v>
      </c>
      <c r="L1106" s="2" t="s">
        <v>37</v>
      </c>
    </row>
    <row r="1107" spans="1:12" x14ac:dyDescent="0.3">
      <c r="A1107" t="s">
        <v>1320</v>
      </c>
      <c r="B1107">
        <v>5461</v>
      </c>
      <c r="C1107">
        <v>1214</v>
      </c>
      <c r="D1107">
        <v>7</v>
      </c>
      <c r="E1107" t="s">
        <v>45</v>
      </c>
      <c r="F1107" t="s">
        <v>60</v>
      </c>
      <c r="G1107" t="s">
        <v>47</v>
      </c>
      <c r="H1107" s="1">
        <v>43989</v>
      </c>
      <c r="I1107" t="s">
        <v>1321</v>
      </c>
      <c r="J1107" t="s">
        <v>25</v>
      </c>
      <c r="K1107" t="s">
        <v>68</v>
      </c>
      <c r="L1107" s="2" t="s">
        <v>313</v>
      </c>
    </row>
    <row r="1108" spans="1:12" x14ac:dyDescent="0.3">
      <c r="A1108" t="s">
        <v>1322</v>
      </c>
      <c r="B1108">
        <v>3084</v>
      </c>
      <c r="C1108">
        <v>611</v>
      </c>
      <c r="D1108">
        <v>19</v>
      </c>
      <c r="E1108" t="s">
        <v>45</v>
      </c>
      <c r="F1108" t="s">
        <v>109</v>
      </c>
      <c r="G1108" t="s">
        <v>15</v>
      </c>
      <c r="H1108" s="1">
        <v>45433</v>
      </c>
      <c r="I1108" t="s">
        <v>1323</v>
      </c>
      <c r="J1108" t="s">
        <v>71</v>
      </c>
      <c r="K1108" t="s">
        <v>72</v>
      </c>
      <c r="L1108" s="2" t="s">
        <v>35</v>
      </c>
    </row>
    <row r="1109" spans="1:12" x14ac:dyDescent="0.3">
      <c r="A1109" t="s">
        <v>1324</v>
      </c>
      <c r="B1109">
        <v>6087</v>
      </c>
      <c r="C1109">
        <v>3043</v>
      </c>
      <c r="D1109">
        <v>1</v>
      </c>
      <c r="E1109" t="s">
        <v>45</v>
      </c>
      <c r="F1109" t="s">
        <v>60</v>
      </c>
      <c r="G1109" t="s">
        <v>65</v>
      </c>
      <c r="H1109" s="1">
        <v>44048</v>
      </c>
      <c r="I1109" t="s">
        <v>1325</v>
      </c>
      <c r="J1109" t="s">
        <v>25</v>
      </c>
      <c r="K1109" t="s">
        <v>26</v>
      </c>
      <c r="L1109" s="2" t="s">
        <v>185</v>
      </c>
    </row>
    <row r="1110" spans="1:12" x14ac:dyDescent="0.3">
      <c r="A1110" t="s">
        <v>1326</v>
      </c>
      <c r="B1110">
        <v>611</v>
      </c>
      <c r="C1110">
        <v>300</v>
      </c>
      <c r="D1110">
        <v>3</v>
      </c>
      <c r="E1110" t="s">
        <v>45</v>
      </c>
      <c r="F1110" t="s">
        <v>109</v>
      </c>
      <c r="G1110" t="s">
        <v>47</v>
      </c>
      <c r="H1110" s="1">
        <v>44119</v>
      </c>
      <c r="I1110" t="s">
        <v>1327</v>
      </c>
      <c r="J1110" t="s">
        <v>21</v>
      </c>
      <c r="K1110" t="s">
        <v>172</v>
      </c>
      <c r="L1110" s="2" t="s">
        <v>119</v>
      </c>
    </row>
    <row r="1111" spans="1:12" x14ac:dyDescent="0.3">
      <c r="A1111" t="s">
        <v>1328</v>
      </c>
      <c r="B1111">
        <v>9909</v>
      </c>
      <c r="C1111">
        <v>2999</v>
      </c>
      <c r="D1111">
        <v>18</v>
      </c>
      <c r="E1111" t="s">
        <v>30</v>
      </c>
      <c r="F1111" t="s">
        <v>57</v>
      </c>
      <c r="G1111" t="s">
        <v>65</v>
      </c>
      <c r="H1111" s="1">
        <v>44331</v>
      </c>
      <c r="I1111" t="s">
        <v>1329</v>
      </c>
      <c r="J1111" t="s">
        <v>98</v>
      </c>
      <c r="K1111" t="s">
        <v>117</v>
      </c>
      <c r="L1111" s="2" t="s">
        <v>108</v>
      </c>
    </row>
    <row r="1112" spans="1:12" x14ac:dyDescent="0.3">
      <c r="A1112" t="s">
        <v>1328</v>
      </c>
      <c r="B1112">
        <v>9909</v>
      </c>
      <c r="C1112">
        <v>2999</v>
      </c>
      <c r="D1112">
        <v>18</v>
      </c>
      <c r="E1112" t="s">
        <v>30</v>
      </c>
      <c r="F1112" t="s">
        <v>57</v>
      </c>
      <c r="G1112" t="s">
        <v>65</v>
      </c>
      <c r="H1112" s="1">
        <v>44574</v>
      </c>
      <c r="I1112" t="s">
        <v>1330</v>
      </c>
      <c r="J1112" t="s">
        <v>71</v>
      </c>
      <c r="K1112" t="s">
        <v>86</v>
      </c>
      <c r="L1112" s="2" t="s">
        <v>87</v>
      </c>
    </row>
    <row r="1113" spans="1:12" x14ac:dyDescent="0.3">
      <c r="A1113" t="s">
        <v>1331</v>
      </c>
      <c r="B1113">
        <v>6485</v>
      </c>
      <c r="C1113">
        <v>3178</v>
      </c>
      <c r="D1113">
        <v>18</v>
      </c>
      <c r="E1113" t="s">
        <v>45</v>
      </c>
      <c r="F1113" t="s">
        <v>60</v>
      </c>
      <c r="G1113" t="s">
        <v>15</v>
      </c>
      <c r="H1113" s="1">
        <v>45125</v>
      </c>
      <c r="I1113" t="s">
        <v>1332</v>
      </c>
      <c r="J1113" t="s">
        <v>98</v>
      </c>
      <c r="K1113" t="s">
        <v>99</v>
      </c>
      <c r="L1113" s="2" t="s">
        <v>105</v>
      </c>
    </row>
    <row r="1114" spans="1:12" x14ac:dyDescent="0.3">
      <c r="A1114" t="s">
        <v>1333</v>
      </c>
      <c r="B1114">
        <v>7259</v>
      </c>
      <c r="C1114">
        <v>1969</v>
      </c>
      <c r="D1114">
        <v>10</v>
      </c>
      <c r="E1114" t="s">
        <v>13</v>
      </c>
      <c r="F1114" t="s">
        <v>39</v>
      </c>
      <c r="G1114" t="s">
        <v>47</v>
      </c>
      <c r="H1114" s="1">
        <v>44903</v>
      </c>
      <c r="I1114" t="s">
        <v>1334</v>
      </c>
      <c r="J1114" t="s">
        <v>21</v>
      </c>
      <c r="K1114" t="s">
        <v>63</v>
      </c>
      <c r="L1114" s="2" t="s">
        <v>152</v>
      </c>
    </row>
    <row r="1115" spans="1:12" x14ac:dyDescent="0.3">
      <c r="A1115" t="s">
        <v>1335</v>
      </c>
      <c r="B1115">
        <v>3333</v>
      </c>
      <c r="C1115">
        <v>700</v>
      </c>
      <c r="D1115">
        <v>18</v>
      </c>
      <c r="E1115" t="s">
        <v>13</v>
      </c>
      <c r="F1115" t="s">
        <v>28</v>
      </c>
      <c r="G1115" t="s">
        <v>65</v>
      </c>
      <c r="H1115" s="1">
        <v>45033</v>
      </c>
      <c r="I1115" t="s">
        <v>1336</v>
      </c>
      <c r="J1115" t="s">
        <v>17</v>
      </c>
      <c r="K1115" t="s">
        <v>18</v>
      </c>
      <c r="L1115" s="2" t="s">
        <v>145</v>
      </c>
    </row>
    <row r="1116" spans="1:12" x14ac:dyDescent="0.3">
      <c r="A1116" t="s">
        <v>1337</v>
      </c>
      <c r="B1116">
        <v>7786</v>
      </c>
      <c r="C1116">
        <v>1202</v>
      </c>
      <c r="D1116">
        <v>4</v>
      </c>
      <c r="E1116" t="s">
        <v>45</v>
      </c>
      <c r="F1116" t="s">
        <v>60</v>
      </c>
      <c r="G1116" t="s">
        <v>40</v>
      </c>
      <c r="H1116" s="1">
        <v>44005</v>
      </c>
      <c r="I1116" t="s">
        <v>1338</v>
      </c>
      <c r="J1116" t="s">
        <v>21</v>
      </c>
      <c r="K1116" t="s">
        <v>172</v>
      </c>
      <c r="L1116" s="2" t="s">
        <v>313</v>
      </c>
    </row>
    <row r="1117" spans="1:12" x14ac:dyDescent="0.3">
      <c r="A1117" t="s">
        <v>1339</v>
      </c>
      <c r="B1117">
        <v>7644</v>
      </c>
      <c r="C1117">
        <v>2428</v>
      </c>
      <c r="D1117">
        <v>6</v>
      </c>
      <c r="E1117" t="s">
        <v>13</v>
      </c>
      <c r="F1117" t="s">
        <v>82</v>
      </c>
      <c r="G1117" t="s">
        <v>32</v>
      </c>
      <c r="H1117" s="1">
        <v>44581</v>
      </c>
      <c r="I1117" t="s">
        <v>1340</v>
      </c>
      <c r="J1117" t="s">
        <v>21</v>
      </c>
      <c r="K1117" t="s">
        <v>63</v>
      </c>
      <c r="L1117" s="2" t="s">
        <v>87</v>
      </c>
    </row>
    <row r="1118" spans="1:12" x14ac:dyDescent="0.3">
      <c r="A1118" t="s">
        <v>1341</v>
      </c>
      <c r="B1118">
        <v>1476</v>
      </c>
      <c r="C1118">
        <v>247</v>
      </c>
      <c r="D1118">
        <v>5</v>
      </c>
      <c r="E1118" t="s">
        <v>45</v>
      </c>
      <c r="F1118" t="s">
        <v>109</v>
      </c>
      <c r="G1118" t="s">
        <v>65</v>
      </c>
      <c r="H1118" s="1">
        <v>45248</v>
      </c>
      <c r="I1118" t="s">
        <v>1342</v>
      </c>
      <c r="J1118" t="s">
        <v>42</v>
      </c>
      <c r="K1118" t="s">
        <v>43</v>
      </c>
      <c r="L1118" s="2" t="s">
        <v>52</v>
      </c>
    </row>
    <row r="1119" spans="1:12" x14ac:dyDescent="0.3">
      <c r="A1119" t="s">
        <v>1341</v>
      </c>
      <c r="B1119">
        <v>1476</v>
      </c>
      <c r="C1119">
        <v>247</v>
      </c>
      <c r="D1119">
        <v>5</v>
      </c>
      <c r="E1119" t="s">
        <v>45</v>
      </c>
      <c r="F1119" t="s">
        <v>109</v>
      </c>
      <c r="G1119" t="s">
        <v>65</v>
      </c>
      <c r="H1119" s="1">
        <v>44580</v>
      </c>
      <c r="I1119" t="s">
        <v>1343</v>
      </c>
      <c r="J1119" t="s">
        <v>42</v>
      </c>
      <c r="K1119" t="s">
        <v>75</v>
      </c>
      <c r="L1119" s="2" t="s">
        <v>87</v>
      </c>
    </row>
    <row r="1120" spans="1:12" x14ac:dyDescent="0.3">
      <c r="A1120" t="s">
        <v>1344</v>
      </c>
      <c r="B1120">
        <v>3445</v>
      </c>
      <c r="C1120">
        <v>1405</v>
      </c>
      <c r="D1120">
        <v>16</v>
      </c>
      <c r="E1120" t="s">
        <v>45</v>
      </c>
      <c r="F1120" t="s">
        <v>60</v>
      </c>
      <c r="G1120" t="s">
        <v>40</v>
      </c>
      <c r="H1120" s="1">
        <v>44095</v>
      </c>
      <c r="I1120" t="s">
        <v>1345</v>
      </c>
      <c r="J1120" t="s">
        <v>42</v>
      </c>
      <c r="K1120" t="s">
        <v>92</v>
      </c>
      <c r="L1120" s="2" t="s">
        <v>389</v>
      </c>
    </row>
    <row r="1121" spans="1:12" x14ac:dyDescent="0.3">
      <c r="A1121" t="s">
        <v>1344</v>
      </c>
      <c r="B1121">
        <v>9837</v>
      </c>
      <c r="C1121">
        <v>384</v>
      </c>
      <c r="D1121">
        <v>1</v>
      </c>
      <c r="E1121" t="s">
        <v>13</v>
      </c>
      <c r="F1121" t="s">
        <v>39</v>
      </c>
      <c r="G1121" t="s">
        <v>15</v>
      </c>
      <c r="H1121" s="1">
        <v>44095</v>
      </c>
      <c r="I1121" t="s">
        <v>1345</v>
      </c>
      <c r="J1121" t="s">
        <v>42</v>
      </c>
      <c r="K1121" t="s">
        <v>92</v>
      </c>
      <c r="L1121" s="2" t="s">
        <v>389</v>
      </c>
    </row>
    <row r="1122" spans="1:12" x14ac:dyDescent="0.3">
      <c r="A1122" t="s">
        <v>1346</v>
      </c>
      <c r="B1122">
        <v>1314</v>
      </c>
      <c r="C1122">
        <v>457</v>
      </c>
      <c r="D1122">
        <v>8</v>
      </c>
      <c r="E1122" t="s">
        <v>45</v>
      </c>
      <c r="F1122" t="s">
        <v>60</v>
      </c>
      <c r="G1122" t="s">
        <v>40</v>
      </c>
      <c r="H1122" s="1">
        <v>44358</v>
      </c>
      <c r="I1122" t="s">
        <v>1347</v>
      </c>
      <c r="J1122" t="s">
        <v>42</v>
      </c>
      <c r="K1122" t="s">
        <v>75</v>
      </c>
      <c r="L1122" s="2" t="s">
        <v>125</v>
      </c>
    </row>
    <row r="1123" spans="1:12" x14ac:dyDescent="0.3">
      <c r="A1123" t="s">
        <v>1348</v>
      </c>
      <c r="B1123">
        <v>5951</v>
      </c>
      <c r="C1123">
        <v>936</v>
      </c>
      <c r="D1123">
        <v>6</v>
      </c>
      <c r="E1123" t="s">
        <v>13</v>
      </c>
      <c r="F1123" t="s">
        <v>39</v>
      </c>
      <c r="G1123" t="s">
        <v>32</v>
      </c>
      <c r="H1123" s="1">
        <v>45511</v>
      </c>
      <c r="I1123" t="s">
        <v>1349</v>
      </c>
      <c r="J1123" t="s">
        <v>71</v>
      </c>
      <c r="K1123" t="s">
        <v>72</v>
      </c>
      <c r="L1123" s="2" t="s">
        <v>114</v>
      </c>
    </row>
    <row r="1124" spans="1:12" x14ac:dyDescent="0.3">
      <c r="A1124" t="s">
        <v>1348</v>
      </c>
      <c r="B1124">
        <v>5951</v>
      </c>
      <c r="C1124">
        <v>936</v>
      </c>
      <c r="D1124">
        <v>6</v>
      </c>
      <c r="E1124" t="s">
        <v>13</v>
      </c>
      <c r="F1124" t="s">
        <v>39</v>
      </c>
      <c r="G1124" t="s">
        <v>32</v>
      </c>
      <c r="H1124" s="1">
        <v>44768</v>
      </c>
      <c r="I1124" t="s">
        <v>1350</v>
      </c>
      <c r="J1124" t="s">
        <v>98</v>
      </c>
      <c r="K1124" t="s">
        <v>99</v>
      </c>
      <c r="L1124" s="2" t="s">
        <v>418</v>
      </c>
    </row>
    <row r="1125" spans="1:12" x14ac:dyDescent="0.3">
      <c r="A1125" t="s">
        <v>1351</v>
      </c>
      <c r="B1125">
        <v>992</v>
      </c>
      <c r="C1125">
        <v>177</v>
      </c>
      <c r="D1125">
        <v>6</v>
      </c>
      <c r="E1125" t="s">
        <v>13</v>
      </c>
      <c r="F1125" t="s">
        <v>82</v>
      </c>
      <c r="G1125" t="s">
        <v>15</v>
      </c>
      <c r="H1125" s="1">
        <v>45304</v>
      </c>
      <c r="I1125" t="s">
        <v>1352</v>
      </c>
      <c r="J1125" t="s">
        <v>42</v>
      </c>
      <c r="K1125" t="s">
        <v>43</v>
      </c>
      <c r="L1125" s="2" t="s">
        <v>76</v>
      </c>
    </row>
    <row r="1126" spans="1:12" x14ac:dyDescent="0.3">
      <c r="A1126" t="s">
        <v>1351</v>
      </c>
      <c r="B1126">
        <v>4699</v>
      </c>
      <c r="C1126">
        <v>625</v>
      </c>
      <c r="D1126">
        <v>18</v>
      </c>
      <c r="E1126" t="s">
        <v>30</v>
      </c>
      <c r="F1126" t="s">
        <v>57</v>
      </c>
      <c r="G1126" t="s">
        <v>40</v>
      </c>
      <c r="H1126" s="1">
        <v>45304</v>
      </c>
      <c r="I1126" t="s">
        <v>1352</v>
      </c>
      <c r="J1126" t="s">
        <v>42</v>
      </c>
      <c r="K1126" t="s">
        <v>43</v>
      </c>
      <c r="L1126" s="2" t="s">
        <v>76</v>
      </c>
    </row>
    <row r="1127" spans="1:12" x14ac:dyDescent="0.3">
      <c r="A1127" t="s">
        <v>1353</v>
      </c>
      <c r="B1127">
        <v>5557</v>
      </c>
      <c r="C1127">
        <v>2114</v>
      </c>
      <c r="D1127">
        <v>17</v>
      </c>
      <c r="E1127" t="s">
        <v>13</v>
      </c>
      <c r="F1127" t="s">
        <v>39</v>
      </c>
      <c r="G1127" t="s">
        <v>40</v>
      </c>
      <c r="H1127" s="1">
        <v>44344</v>
      </c>
      <c r="I1127" t="s">
        <v>1354</v>
      </c>
      <c r="J1127" t="s">
        <v>98</v>
      </c>
      <c r="K1127" t="s">
        <v>117</v>
      </c>
      <c r="L1127" s="2" t="s">
        <v>108</v>
      </c>
    </row>
    <row r="1128" spans="1:12" x14ac:dyDescent="0.3">
      <c r="A1128" t="s">
        <v>1355</v>
      </c>
      <c r="B1128">
        <v>3436</v>
      </c>
      <c r="C1128">
        <v>933</v>
      </c>
      <c r="D1128">
        <v>3</v>
      </c>
      <c r="E1128" t="s">
        <v>13</v>
      </c>
      <c r="F1128" t="s">
        <v>14</v>
      </c>
      <c r="G1128" t="s">
        <v>47</v>
      </c>
      <c r="H1128" s="1">
        <v>44360</v>
      </c>
      <c r="I1128" t="s">
        <v>1356</v>
      </c>
      <c r="J1128" t="s">
        <v>71</v>
      </c>
      <c r="K1128" t="s">
        <v>72</v>
      </c>
      <c r="L1128" s="2" t="s">
        <v>125</v>
      </c>
    </row>
    <row r="1129" spans="1:12" x14ac:dyDescent="0.3">
      <c r="A1129" t="s">
        <v>1357</v>
      </c>
      <c r="B1129">
        <v>9840</v>
      </c>
      <c r="C1129">
        <v>3870</v>
      </c>
      <c r="D1129">
        <v>11</v>
      </c>
      <c r="E1129" t="s">
        <v>13</v>
      </c>
      <c r="F1129" t="s">
        <v>28</v>
      </c>
      <c r="G1129" t="s">
        <v>32</v>
      </c>
      <c r="H1129" s="1">
        <v>45041</v>
      </c>
      <c r="I1129" t="s">
        <v>1358</v>
      </c>
      <c r="J1129" t="s">
        <v>71</v>
      </c>
      <c r="K1129" t="s">
        <v>86</v>
      </c>
      <c r="L1129" s="2" t="s">
        <v>145</v>
      </c>
    </row>
    <row r="1130" spans="1:12" x14ac:dyDescent="0.3">
      <c r="A1130" t="s">
        <v>1359</v>
      </c>
      <c r="B1130">
        <v>7620</v>
      </c>
      <c r="C1130">
        <v>125</v>
      </c>
      <c r="D1130">
        <v>4</v>
      </c>
      <c r="E1130" t="s">
        <v>30</v>
      </c>
      <c r="F1130" t="s">
        <v>64</v>
      </c>
      <c r="G1130" t="s">
        <v>40</v>
      </c>
      <c r="H1130" s="1">
        <v>44382</v>
      </c>
      <c r="I1130" t="s">
        <v>1360</v>
      </c>
      <c r="J1130" t="s">
        <v>42</v>
      </c>
      <c r="K1130" t="s">
        <v>92</v>
      </c>
      <c r="L1130" s="2" t="s">
        <v>27</v>
      </c>
    </row>
    <row r="1131" spans="1:12" x14ac:dyDescent="0.3">
      <c r="A1131" t="s">
        <v>1359</v>
      </c>
      <c r="B1131">
        <v>7620</v>
      </c>
      <c r="C1131">
        <v>125</v>
      </c>
      <c r="D1131">
        <v>4</v>
      </c>
      <c r="E1131" t="s">
        <v>30</v>
      </c>
      <c r="F1131" t="s">
        <v>64</v>
      </c>
      <c r="G1131" t="s">
        <v>40</v>
      </c>
      <c r="H1131" s="1">
        <v>45577</v>
      </c>
      <c r="I1131" t="s">
        <v>1361</v>
      </c>
      <c r="J1131" t="s">
        <v>42</v>
      </c>
      <c r="K1131" t="s">
        <v>92</v>
      </c>
      <c r="L1131" s="2" t="s">
        <v>360</v>
      </c>
    </row>
    <row r="1132" spans="1:12" x14ac:dyDescent="0.3">
      <c r="A1132" t="s">
        <v>1362</v>
      </c>
      <c r="B1132">
        <v>4314</v>
      </c>
      <c r="C1132">
        <v>1591</v>
      </c>
      <c r="D1132">
        <v>5</v>
      </c>
      <c r="E1132" t="s">
        <v>45</v>
      </c>
      <c r="F1132" t="s">
        <v>46</v>
      </c>
      <c r="G1132" t="s">
        <v>32</v>
      </c>
      <c r="H1132" s="1">
        <v>44473</v>
      </c>
      <c r="I1132" t="s">
        <v>1363</v>
      </c>
      <c r="J1132" t="s">
        <v>25</v>
      </c>
      <c r="K1132" t="s">
        <v>26</v>
      </c>
      <c r="L1132" s="2" t="s">
        <v>37</v>
      </c>
    </row>
    <row r="1133" spans="1:12" x14ac:dyDescent="0.3">
      <c r="A1133" t="s">
        <v>1364</v>
      </c>
      <c r="B1133">
        <v>8851</v>
      </c>
      <c r="C1133">
        <v>999</v>
      </c>
      <c r="D1133">
        <v>12</v>
      </c>
      <c r="E1133" t="s">
        <v>13</v>
      </c>
      <c r="F1133" t="s">
        <v>39</v>
      </c>
      <c r="G1133" t="s">
        <v>15</v>
      </c>
      <c r="H1133" s="1">
        <v>45329</v>
      </c>
      <c r="I1133" t="s">
        <v>1365</v>
      </c>
      <c r="J1133" t="s">
        <v>98</v>
      </c>
      <c r="K1133" t="s">
        <v>107</v>
      </c>
      <c r="L1133" s="2" t="s">
        <v>218</v>
      </c>
    </row>
    <row r="1134" spans="1:12" x14ac:dyDescent="0.3">
      <c r="A1134" t="s">
        <v>1366</v>
      </c>
      <c r="B1134">
        <v>544</v>
      </c>
      <c r="C1134">
        <v>272</v>
      </c>
      <c r="D1134">
        <v>2</v>
      </c>
      <c r="E1134" t="s">
        <v>13</v>
      </c>
      <c r="F1134" t="s">
        <v>39</v>
      </c>
      <c r="G1134" t="s">
        <v>32</v>
      </c>
      <c r="H1134" s="1">
        <v>44260</v>
      </c>
      <c r="I1134" t="s">
        <v>1367</v>
      </c>
      <c r="J1134" t="s">
        <v>71</v>
      </c>
      <c r="K1134" t="s">
        <v>138</v>
      </c>
      <c r="L1134" s="2" t="s">
        <v>167</v>
      </c>
    </row>
    <row r="1135" spans="1:12" x14ac:dyDescent="0.3">
      <c r="A1135" t="s">
        <v>1366</v>
      </c>
      <c r="B1135">
        <v>544</v>
      </c>
      <c r="C1135">
        <v>272</v>
      </c>
      <c r="D1135">
        <v>2</v>
      </c>
      <c r="E1135" t="s">
        <v>13</v>
      </c>
      <c r="F1135" t="s">
        <v>39</v>
      </c>
      <c r="G1135" t="s">
        <v>32</v>
      </c>
      <c r="H1135" s="1">
        <v>45102</v>
      </c>
      <c r="I1135" t="s">
        <v>1368</v>
      </c>
      <c r="J1135" t="s">
        <v>25</v>
      </c>
      <c r="K1135" t="s">
        <v>26</v>
      </c>
      <c r="L1135" s="2" t="s">
        <v>19</v>
      </c>
    </row>
    <row r="1136" spans="1:12" x14ac:dyDescent="0.3">
      <c r="A1136" t="s">
        <v>1369</v>
      </c>
      <c r="B1136">
        <v>537</v>
      </c>
      <c r="C1136">
        <v>142</v>
      </c>
      <c r="D1136">
        <v>20</v>
      </c>
      <c r="E1136" t="s">
        <v>30</v>
      </c>
      <c r="F1136" t="s">
        <v>57</v>
      </c>
      <c r="G1136" t="s">
        <v>40</v>
      </c>
      <c r="H1136" s="1">
        <v>44410</v>
      </c>
      <c r="I1136" t="s">
        <v>1370</v>
      </c>
      <c r="J1136" t="s">
        <v>21</v>
      </c>
      <c r="K1136" t="s">
        <v>172</v>
      </c>
      <c r="L1136" s="2" t="s">
        <v>178</v>
      </c>
    </row>
    <row r="1137" spans="1:12" x14ac:dyDescent="0.3">
      <c r="A1137" t="s">
        <v>1371</v>
      </c>
      <c r="B1137">
        <v>5944</v>
      </c>
      <c r="C1137">
        <v>2661</v>
      </c>
      <c r="D1137">
        <v>7</v>
      </c>
      <c r="E1137" t="s">
        <v>13</v>
      </c>
      <c r="F1137" t="s">
        <v>39</v>
      </c>
      <c r="G1137" t="s">
        <v>40</v>
      </c>
      <c r="H1137" s="1">
        <v>44637</v>
      </c>
      <c r="I1137" t="s">
        <v>1372</v>
      </c>
      <c r="J1137" t="s">
        <v>71</v>
      </c>
      <c r="K1137" t="s">
        <v>86</v>
      </c>
      <c r="L1137" s="2" t="s">
        <v>134</v>
      </c>
    </row>
    <row r="1138" spans="1:12" x14ac:dyDescent="0.3">
      <c r="A1138" t="s">
        <v>1373</v>
      </c>
      <c r="B1138">
        <v>2258</v>
      </c>
      <c r="C1138">
        <v>135</v>
      </c>
      <c r="D1138">
        <v>18</v>
      </c>
      <c r="E1138" t="s">
        <v>13</v>
      </c>
      <c r="F1138" t="s">
        <v>28</v>
      </c>
      <c r="G1138" t="s">
        <v>47</v>
      </c>
      <c r="H1138" s="1">
        <v>45329</v>
      </c>
      <c r="I1138" t="s">
        <v>1374</v>
      </c>
      <c r="J1138" t="s">
        <v>17</v>
      </c>
      <c r="K1138" t="s">
        <v>18</v>
      </c>
      <c r="L1138" s="2" t="s">
        <v>218</v>
      </c>
    </row>
    <row r="1139" spans="1:12" x14ac:dyDescent="0.3">
      <c r="A1139" t="s">
        <v>1373</v>
      </c>
      <c r="B1139">
        <v>2258</v>
      </c>
      <c r="C1139">
        <v>135</v>
      </c>
      <c r="D1139">
        <v>18</v>
      </c>
      <c r="E1139" t="s">
        <v>13</v>
      </c>
      <c r="F1139" t="s">
        <v>28</v>
      </c>
      <c r="G1139" t="s">
        <v>47</v>
      </c>
      <c r="H1139" s="1">
        <v>44792</v>
      </c>
      <c r="I1139" t="s">
        <v>1375</v>
      </c>
      <c r="J1139" t="s">
        <v>42</v>
      </c>
      <c r="K1139" t="s">
        <v>75</v>
      </c>
      <c r="L1139" s="2" t="s">
        <v>209</v>
      </c>
    </row>
    <row r="1140" spans="1:12" x14ac:dyDescent="0.3">
      <c r="A1140" t="s">
        <v>1376</v>
      </c>
      <c r="B1140">
        <v>9609</v>
      </c>
      <c r="C1140">
        <v>4339</v>
      </c>
      <c r="D1140">
        <v>3</v>
      </c>
      <c r="E1140" t="s">
        <v>45</v>
      </c>
      <c r="F1140" t="s">
        <v>60</v>
      </c>
      <c r="G1140" t="s">
        <v>32</v>
      </c>
      <c r="H1140" s="1">
        <v>45554</v>
      </c>
      <c r="I1140" t="s">
        <v>1377</v>
      </c>
      <c r="J1140" t="s">
        <v>71</v>
      </c>
      <c r="K1140" t="s">
        <v>138</v>
      </c>
      <c r="L1140" s="2" t="s">
        <v>159</v>
      </c>
    </row>
    <row r="1141" spans="1:12" x14ac:dyDescent="0.3">
      <c r="A1141" t="s">
        <v>1376</v>
      </c>
      <c r="B1141">
        <v>9609</v>
      </c>
      <c r="C1141">
        <v>4339</v>
      </c>
      <c r="D1141">
        <v>3</v>
      </c>
      <c r="E1141" t="s">
        <v>45</v>
      </c>
      <c r="F1141" t="s">
        <v>60</v>
      </c>
      <c r="G1141" t="s">
        <v>32</v>
      </c>
      <c r="H1141" s="1">
        <v>43926</v>
      </c>
      <c r="I1141" t="s">
        <v>1378</v>
      </c>
      <c r="J1141" t="s">
        <v>98</v>
      </c>
      <c r="K1141" t="s">
        <v>107</v>
      </c>
      <c r="L1141" s="2" t="s">
        <v>162</v>
      </c>
    </row>
    <row r="1142" spans="1:12" x14ac:dyDescent="0.3">
      <c r="A1142" t="s">
        <v>1379</v>
      </c>
      <c r="B1142">
        <v>9952</v>
      </c>
      <c r="C1142">
        <v>3301</v>
      </c>
      <c r="D1142">
        <v>15</v>
      </c>
      <c r="E1142" t="s">
        <v>13</v>
      </c>
      <c r="F1142" t="s">
        <v>14</v>
      </c>
      <c r="G1142" t="s">
        <v>32</v>
      </c>
      <c r="H1142" s="1">
        <v>44995</v>
      </c>
      <c r="I1142" t="s">
        <v>1380</v>
      </c>
      <c r="J1142" t="s">
        <v>71</v>
      </c>
      <c r="K1142" t="s">
        <v>72</v>
      </c>
      <c r="L1142" s="2" t="s">
        <v>245</v>
      </c>
    </row>
    <row r="1143" spans="1:12" x14ac:dyDescent="0.3">
      <c r="A1143" t="s">
        <v>1381</v>
      </c>
      <c r="B1143">
        <v>9873</v>
      </c>
      <c r="C1143">
        <v>4585</v>
      </c>
      <c r="D1143">
        <v>7</v>
      </c>
      <c r="E1143" t="s">
        <v>30</v>
      </c>
      <c r="F1143" t="s">
        <v>64</v>
      </c>
      <c r="G1143" t="s">
        <v>47</v>
      </c>
      <c r="H1143" s="1">
        <v>44053</v>
      </c>
      <c r="I1143" t="s">
        <v>1382</v>
      </c>
      <c r="J1143" t="s">
        <v>98</v>
      </c>
      <c r="K1143" t="s">
        <v>99</v>
      </c>
      <c r="L1143" s="2" t="s">
        <v>185</v>
      </c>
    </row>
    <row r="1144" spans="1:12" x14ac:dyDescent="0.3">
      <c r="A1144" t="s">
        <v>1383</v>
      </c>
      <c r="B1144">
        <v>3560</v>
      </c>
      <c r="C1144">
        <v>1335</v>
      </c>
      <c r="D1144">
        <v>15</v>
      </c>
      <c r="E1144" t="s">
        <v>13</v>
      </c>
      <c r="F1144" t="s">
        <v>14</v>
      </c>
      <c r="G1144" t="s">
        <v>65</v>
      </c>
      <c r="H1144" s="1">
        <v>43950</v>
      </c>
      <c r="I1144" t="s">
        <v>1384</v>
      </c>
      <c r="J1144" t="s">
        <v>25</v>
      </c>
      <c r="K1144" t="s">
        <v>51</v>
      </c>
      <c r="L1144" s="2" t="s">
        <v>162</v>
      </c>
    </row>
    <row r="1145" spans="1:12" x14ac:dyDescent="0.3">
      <c r="A1145" t="s">
        <v>1383</v>
      </c>
      <c r="B1145">
        <v>3560</v>
      </c>
      <c r="C1145">
        <v>1335</v>
      </c>
      <c r="D1145">
        <v>15</v>
      </c>
      <c r="E1145" t="s">
        <v>13</v>
      </c>
      <c r="F1145" t="s">
        <v>14</v>
      </c>
      <c r="G1145" t="s">
        <v>65</v>
      </c>
      <c r="H1145" s="1">
        <v>45001</v>
      </c>
      <c r="I1145" t="s">
        <v>1385</v>
      </c>
      <c r="J1145" t="s">
        <v>21</v>
      </c>
      <c r="K1145" t="s">
        <v>63</v>
      </c>
      <c r="L1145" s="2" t="s">
        <v>245</v>
      </c>
    </row>
    <row r="1146" spans="1:12" x14ac:dyDescent="0.3">
      <c r="A1146" t="s">
        <v>1386</v>
      </c>
      <c r="B1146">
        <v>6528</v>
      </c>
      <c r="C1146">
        <v>76</v>
      </c>
      <c r="D1146">
        <v>9</v>
      </c>
      <c r="E1146" t="s">
        <v>13</v>
      </c>
      <c r="F1146" t="s">
        <v>82</v>
      </c>
      <c r="G1146" t="s">
        <v>32</v>
      </c>
      <c r="H1146" s="1">
        <v>43955</v>
      </c>
      <c r="I1146" t="s">
        <v>1387</v>
      </c>
      <c r="J1146" t="s">
        <v>25</v>
      </c>
      <c r="K1146" t="s">
        <v>26</v>
      </c>
      <c r="L1146" s="2" t="s">
        <v>59</v>
      </c>
    </row>
    <row r="1147" spans="1:12" x14ac:dyDescent="0.3">
      <c r="A1147" t="s">
        <v>1386</v>
      </c>
      <c r="B1147">
        <v>8930</v>
      </c>
      <c r="C1147">
        <v>3374</v>
      </c>
      <c r="D1147">
        <v>12</v>
      </c>
      <c r="E1147" t="s">
        <v>45</v>
      </c>
      <c r="F1147" t="s">
        <v>60</v>
      </c>
      <c r="G1147" t="s">
        <v>32</v>
      </c>
      <c r="H1147" s="1">
        <v>43955</v>
      </c>
      <c r="I1147" t="s">
        <v>1387</v>
      </c>
      <c r="J1147" t="s">
        <v>25</v>
      </c>
      <c r="K1147" t="s">
        <v>26</v>
      </c>
      <c r="L1147" s="2" t="s">
        <v>59</v>
      </c>
    </row>
    <row r="1148" spans="1:12" x14ac:dyDescent="0.3">
      <c r="A1148" t="s">
        <v>1388</v>
      </c>
      <c r="B1148">
        <v>4521</v>
      </c>
      <c r="C1148">
        <v>1778</v>
      </c>
      <c r="D1148">
        <v>9</v>
      </c>
      <c r="E1148" t="s">
        <v>30</v>
      </c>
      <c r="F1148" t="s">
        <v>64</v>
      </c>
      <c r="G1148" t="s">
        <v>32</v>
      </c>
      <c r="H1148" s="1">
        <v>45580</v>
      </c>
      <c r="I1148" t="s">
        <v>1389</v>
      </c>
      <c r="J1148" t="s">
        <v>17</v>
      </c>
      <c r="K1148" t="s">
        <v>150</v>
      </c>
      <c r="L1148" s="2" t="s">
        <v>360</v>
      </c>
    </row>
    <row r="1149" spans="1:12" x14ac:dyDescent="0.3">
      <c r="A1149" t="s">
        <v>1390</v>
      </c>
      <c r="B1149">
        <v>7091</v>
      </c>
      <c r="C1149">
        <v>2317</v>
      </c>
      <c r="D1149">
        <v>10</v>
      </c>
      <c r="E1149" t="s">
        <v>45</v>
      </c>
      <c r="F1149" t="s">
        <v>60</v>
      </c>
      <c r="G1149" t="s">
        <v>47</v>
      </c>
      <c r="H1149" s="1">
        <v>44721</v>
      </c>
      <c r="I1149" t="s">
        <v>1391</v>
      </c>
      <c r="J1149" t="s">
        <v>42</v>
      </c>
      <c r="K1149" t="s">
        <v>75</v>
      </c>
      <c r="L1149" s="2" t="s">
        <v>165</v>
      </c>
    </row>
    <row r="1150" spans="1:12" x14ac:dyDescent="0.3">
      <c r="A1150" t="s">
        <v>1392</v>
      </c>
      <c r="B1150">
        <v>2101</v>
      </c>
      <c r="C1150">
        <v>287</v>
      </c>
      <c r="D1150">
        <v>8</v>
      </c>
      <c r="E1150" t="s">
        <v>30</v>
      </c>
      <c r="F1150" t="s">
        <v>31</v>
      </c>
      <c r="G1150" t="s">
        <v>65</v>
      </c>
      <c r="H1150" s="1">
        <v>44016</v>
      </c>
      <c r="I1150" t="s">
        <v>703</v>
      </c>
      <c r="J1150" t="s">
        <v>98</v>
      </c>
      <c r="K1150" t="s">
        <v>117</v>
      </c>
      <c r="L1150" s="2" t="s">
        <v>462</v>
      </c>
    </row>
    <row r="1151" spans="1:12" x14ac:dyDescent="0.3">
      <c r="A1151" t="s">
        <v>1392</v>
      </c>
      <c r="B1151">
        <v>2101</v>
      </c>
      <c r="C1151">
        <v>287</v>
      </c>
      <c r="D1151">
        <v>8</v>
      </c>
      <c r="E1151" t="s">
        <v>30</v>
      </c>
      <c r="F1151" t="s">
        <v>31</v>
      </c>
      <c r="G1151" t="s">
        <v>65</v>
      </c>
      <c r="H1151" s="1">
        <v>45025</v>
      </c>
      <c r="I1151" t="s">
        <v>1393</v>
      </c>
      <c r="J1151" t="s">
        <v>21</v>
      </c>
      <c r="K1151" t="s">
        <v>22</v>
      </c>
      <c r="L1151" s="2" t="s">
        <v>145</v>
      </c>
    </row>
    <row r="1152" spans="1:12" x14ac:dyDescent="0.3">
      <c r="A1152" t="s">
        <v>1394</v>
      </c>
      <c r="B1152">
        <v>8644</v>
      </c>
      <c r="C1152">
        <v>1968</v>
      </c>
      <c r="D1152">
        <v>9</v>
      </c>
      <c r="E1152" t="s">
        <v>30</v>
      </c>
      <c r="F1152" t="s">
        <v>64</v>
      </c>
      <c r="G1152" t="s">
        <v>32</v>
      </c>
      <c r="H1152" s="1">
        <v>45254</v>
      </c>
      <c r="I1152" t="s">
        <v>1395</v>
      </c>
      <c r="J1152" t="s">
        <v>21</v>
      </c>
      <c r="K1152" t="s">
        <v>22</v>
      </c>
      <c r="L1152" s="2" t="s">
        <v>52</v>
      </c>
    </row>
    <row r="1153" spans="1:12" x14ac:dyDescent="0.3">
      <c r="A1153" t="s">
        <v>1396</v>
      </c>
      <c r="B1153">
        <v>6672</v>
      </c>
      <c r="C1153">
        <v>3319</v>
      </c>
      <c r="D1153">
        <v>4</v>
      </c>
      <c r="E1153" t="s">
        <v>45</v>
      </c>
      <c r="F1153" t="s">
        <v>46</v>
      </c>
      <c r="G1153" t="s">
        <v>15</v>
      </c>
      <c r="H1153" s="1">
        <v>45259</v>
      </c>
      <c r="I1153" t="s">
        <v>1397</v>
      </c>
      <c r="J1153" t="s">
        <v>71</v>
      </c>
      <c r="K1153" t="s">
        <v>72</v>
      </c>
      <c r="L1153" s="2" t="s">
        <v>52</v>
      </c>
    </row>
    <row r="1154" spans="1:12" x14ac:dyDescent="0.3">
      <c r="A1154" t="s">
        <v>1396</v>
      </c>
      <c r="B1154">
        <v>6672</v>
      </c>
      <c r="C1154">
        <v>3319</v>
      </c>
      <c r="D1154">
        <v>4</v>
      </c>
      <c r="E1154" t="s">
        <v>45</v>
      </c>
      <c r="F1154" t="s">
        <v>46</v>
      </c>
      <c r="G1154" t="s">
        <v>15</v>
      </c>
      <c r="H1154" s="1">
        <v>45432</v>
      </c>
      <c r="I1154" t="s">
        <v>1398</v>
      </c>
      <c r="J1154" t="s">
        <v>42</v>
      </c>
      <c r="K1154" t="s">
        <v>75</v>
      </c>
      <c r="L1154" s="2" t="s">
        <v>35</v>
      </c>
    </row>
    <row r="1155" spans="1:12" x14ac:dyDescent="0.3">
      <c r="A1155" t="s">
        <v>1399</v>
      </c>
      <c r="B1155">
        <v>4699</v>
      </c>
      <c r="C1155">
        <v>103</v>
      </c>
      <c r="D1155">
        <v>12</v>
      </c>
      <c r="E1155" t="s">
        <v>30</v>
      </c>
      <c r="F1155" t="s">
        <v>78</v>
      </c>
      <c r="G1155" t="s">
        <v>15</v>
      </c>
      <c r="H1155" s="1">
        <v>45433</v>
      </c>
      <c r="I1155" t="s">
        <v>1400</v>
      </c>
      <c r="J1155" t="s">
        <v>98</v>
      </c>
      <c r="K1155" t="s">
        <v>107</v>
      </c>
      <c r="L1155" s="2" t="s">
        <v>35</v>
      </c>
    </row>
    <row r="1156" spans="1:12" x14ac:dyDescent="0.3">
      <c r="A1156" t="s">
        <v>1401</v>
      </c>
      <c r="B1156">
        <v>4897</v>
      </c>
      <c r="C1156">
        <v>1001</v>
      </c>
      <c r="D1156">
        <v>14</v>
      </c>
      <c r="E1156" t="s">
        <v>45</v>
      </c>
      <c r="F1156" t="s">
        <v>60</v>
      </c>
      <c r="G1156" t="s">
        <v>32</v>
      </c>
      <c r="H1156" s="1">
        <v>44537</v>
      </c>
      <c r="I1156" t="s">
        <v>1402</v>
      </c>
      <c r="J1156" t="s">
        <v>71</v>
      </c>
      <c r="K1156" t="s">
        <v>138</v>
      </c>
      <c r="L1156" s="2" t="s">
        <v>90</v>
      </c>
    </row>
    <row r="1157" spans="1:12" x14ac:dyDescent="0.3">
      <c r="A1157" t="s">
        <v>1401</v>
      </c>
      <c r="B1157">
        <v>4897</v>
      </c>
      <c r="C1157">
        <v>1001</v>
      </c>
      <c r="D1157">
        <v>14</v>
      </c>
      <c r="E1157" t="s">
        <v>45</v>
      </c>
      <c r="F1157" t="s">
        <v>60</v>
      </c>
      <c r="G1157" t="s">
        <v>32</v>
      </c>
      <c r="H1157" s="1">
        <v>45663</v>
      </c>
      <c r="I1157" t="s">
        <v>1403</v>
      </c>
      <c r="J1157" t="s">
        <v>98</v>
      </c>
      <c r="K1157" t="s">
        <v>107</v>
      </c>
      <c r="L1157" s="2" t="s">
        <v>308</v>
      </c>
    </row>
    <row r="1158" spans="1:12" x14ac:dyDescent="0.3">
      <c r="A1158" t="s">
        <v>1404</v>
      </c>
      <c r="B1158">
        <v>5460</v>
      </c>
      <c r="C1158">
        <v>2088</v>
      </c>
      <c r="D1158">
        <v>14</v>
      </c>
      <c r="E1158" t="s">
        <v>45</v>
      </c>
      <c r="F1158" t="s">
        <v>46</v>
      </c>
      <c r="G1158" t="s">
        <v>32</v>
      </c>
      <c r="H1158" s="1">
        <v>44755</v>
      </c>
      <c r="I1158" t="s">
        <v>1405</v>
      </c>
      <c r="J1158" t="s">
        <v>25</v>
      </c>
      <c r="K1158" t="s">
        <v>26</v>
      </c>
      <c r="L1158" s="2" t="s">
        <v>418</v>
      </c>
    </row>
    <row r="1159" spans="1:12" x14ac:dyDescent="0.3">
      <c r="A1159" t="s">
        <v>1404</v>
      </c>
      <c r="B1159">
        <v>5460</v>
      </c>
      <c r="C1159">
        <v>2088</v>
      </c>
      <c r="D1159">
        <v>14</v>
      </c>
      <c r="E1159" t="s">
        <v>45</v>
      </c>
      <c r="F1159" t="s">
        <v>46</v>
      </c>
      <c r="G1159" t="s">
        <v>32</v>
      </c>
      <c r="H1159" s="1">
        <v>43940</v>
      </c>
      <c r="I1159" t="s">
        <v>1406</v>
      </c>
      <c r="J1159" t="s">
        <v>98</v>
      </c>
      <c r="K1159" t="s">
        <v>107</v>
      </c>
      <c r="L1159" s="2" t="s">
        <v>162</v>
      </c>
    </row>
    <row r="1160" spans="1:12" x14ac:dyDescent="0.3">
      <c r="A1160" t="s">
        <v>1407</v>
      </c>
      <c r="B1160">
        <v>9272</v>
      </c>
      <c r="C1160">
        <v>1771</v>
      </c>
      <c r="D1160">
        <v>19</v>
      </c>
      <c r="E1160" t="s">
        <v>30</v>
      </c>
      <c r="F1160" t="s">
        <v>57</v>
      </c>
      <c r="G1160" t="s">
        <v>15</v>
      </c>
      <c r="H1160" s="1">
        <v>45610</v>
      </c>
      <c r="I1160" t="s">
        <v>1408</v>
      </c>
      <c r="J1160" t="s">
        <v>21</v>
      </c>
      <c r="K1160" t="s">
        <v>63</v>
      </c>
      <c r="L1160" s="2" t="s">
        <v>255</v>
      </c>
    </row>
    <row r="1161" spans="1:12" x14ac:dyDescent="0.3">
      <c r="A1161" t="s">
        <v>1407</v>
      </c>
      <c r="B1161">
        <v>9272</v>
      </c>
      <c r="C1161">
        <v>1771</v>
      </c>
      <c r="D1161">
        <v>19</v>
      </c>
      <c r="E1161" t="s">
        <v>30</v>
      </c>
      <c r="F1161" t="s">
        <v>57</v>
      </c>
      <c r="G1161" t="s">
        <v>15</v>
      </c>
      <c r="H1161" s="1">
        <v>43939</v>
      </c>
      <c r="I1161" t="s">
        <v>1409</v>
      </c>
      <c r="J1161" t="s">
        <v>71</v>
      </c>
      <c r="K1161" t="s">
        <v>72</v>
      </c>
      <c r="L1161" s="2" t="s">
        <v>162</v>
      </c>
    </row>
    <row r="1162" spans="1:12" x14ac:dyDescent="0.3">
      <c r="A1162" t="s">
        <v>1410</v>
      </c>
      <c r="B1162">
        <v>7870</v>
      </c>
      <c r="C1162">
        <v>1057</v>
      </c>
      <c r="D1162">
        <v>15</v>
      </c>
      <c r="E1162" t="s">
        <v>30</v>
      </c>
      <c r="F1162" t="s">
        <v>31</v>
      </c>
      <c r="G1162" t="s">
        <v>47</v>
      </c>
      <c r="H1162" s="1">
        <v>45217</v>
      </c>
      <c r="I1162" t="s">
        <v>1411</v>
      </c>
      <c r="J1162" t="s">
        <v>71</v>
      </c>
      <c r="K1162" t="s">
        <v>138</v>
      </c>
      <c r="L1162" s="2" t="s">
        <v>442</v>
      </c>
    </row>
    <row r="1163" spans="1:12" x14ac:dyDescent="0.3">
      <c r="A1163" t="s">
        <v>1410</v>
      </c>
      <c r="B1163">
        <v>7870</v>
      </c>
      <c r="C1163">
        <v>1057</v>
      </c>
      <c r="D1163">
        <v>15</v>
      </c>
      <c r="E1163" t="s">
        <v>30</v>
      </c>
      <c r="F1163" t="s">
        <v>31</v>
      </c>
      <c r="G1163" t="s">
        <v>47</v>
      </c>
      <c r="H1163" s="1">
        <v>44276</v>
      </c>
      <c r="I1163" t="s">
        <v>1412</v>
      </c>
      <c r="J1163" t="s">
        <v>98</v>
      </c>
      <c r="K1163" t="s">
        <v>117</v>
      </c>
      <c r="L1163" s="2" t="s">
        <v>167</v>
      </c>
    </row>
    <row r="1164" spans="1:12" x14ac:dyDescent="0.3">
      <c r="A1164" t="s">
        <v>1413</v>
      </c>
      <c r="B1164">
        <v>7992</v>
      </c>
      <c r="C1164">
        <v>893</v>
      </c>
      <c r="D1164">
        <v>12</v>
      </c>
      <c r="E1164" t="s">
        <v>13</v>
      </c>
      <c r="F1164" t="s">
        <v>39</v>
      </c>
      <c r="G1164" t="s">
        <v>47</v>
      </c>
      <c r="H1164" s="1">
        <v>45548</v>
      </c>
      <c r="I1164" t="s">
        <v>1414</v>
      </c>
      <c r="J1164" t="s">
        <v>98</v>
      </c>
      <c r="K1164" t="s">
        <v>117</v>
      </c>
      <c r="L1164" s="2" t="s">
        <v>159</v>
      </c>
    </row>
    <row r="1165" spans="1:12" x14ac:dyDescent="0.3">
      <c r="A1165" t="s">
        <v>1413</v>
      </c>
      <c r="B1165">
        <v>7992</v>
      </c>
      <c r="C1165">
        <v>893</v>
      </c>
      <c r="D1165">
        <v>12</v>
      </c>
      <c r="E1165" t="s">
        <v>13</v>
      </c>
      <c r="F1165" t="s">
        <v>39</v>
      </c>
      <c r="G1165" t="s">
        <v>47</v>
      </c>
      <c r="H1165" s="1">
        <v>45050</v>
      </c>
      <c r="I1165" t="s">
        <v>1415</v>
      </c>
      <c r="J1165" t="s">
        <v>25</v>
      </c>
      <c r="K1165" t="s">
        <v>51</v>
      </c>
      <c r="L1165" s="2" t="s">
        <v>127</v>
      </c>
    </row>
    <row r="1166" spans="1:12" x14ac:dyDescent="0.3">
      <c r="A1166" t="s">
        <v>1413</v>
      </c>
      <c r="B1166">
        <v>7992</v>
      </c>
      <c r="C1166">
        <v>893</v>
      </c>
      <c r="D1166">
        <v>12</v>
      </c>
      <c r="E1166" t="s">
        <v>13</v>
      </c>
      <c r="F1166" t="s">
        <v>39</v>
      </c>
      <c r="G1166" t="s">
        <v>47</v>
      </c>
      <c r="H1166" s="1">
        <v>45077</v>
      </c>
      <c r="I1166" t="s">
        <v>1416</v>
      </c>
      <c r="J1166" t="s">
        <v>21</v>
      </c>
      <c r="K1166" t="s">
        <v>22</v>
      </c>
      <c r="L1166" s="2" t="s">
        <v>127</v>
      </c>
    </row>
    <row r="1167" spans="1:12" x14ac:dyDescent="0.3">
      <c r="A1167" t="s">
        <v>1417</v>
      </c>
      <c r="B1167">
        <v>6499</v>
      </c>
      <c r="C1167">
        <v>2189</v>
      </c>
      <c r="D1167">
        <v>18</v>
      </c>
      <c r="E1167" t="s">
        <v>13</v>
      </c>
      <c r="F1167" t="s">
        <v>14</v>
      </c>
      <c r="G1167" t="s">
        <v>40</v>
      </c>
      <c r="H1167" s="1">
        <v>45458</v>
      </c>
      <c r="I1167" t="s">
        <v>1418</v>
      </c>
      <c r="J1167" t="s">
        <v>25</v>
      </c>
      <c r="K1167" t="s">
        <v>51</v>
      </c>
      <c r="L1167" s="2" t="s">
        <v>262</v>
      </c>
    </row>
    <row r="1168" spans="1:12" x14ac:dyDescent="0.3">
      <c r="A1168" t="s">
        <v>1417</v>
      </c>
      <c r="B1168">
        <v>6499</v>
      </c>
      <c r="C1168">
        <v>2189</v>
      </c>
      <c r="D1168">
        <v>18</v>
      </c>
      <c r="E1168" t="s">
        <v>13</v>
      </c>
      <c r="F1168" t="s">
        <v>14</v>
      </c>
      <c r="G1168" t="s">
        <v>40</v>
      </c>
      <c r="H1168" s="1">
        <v>44289</v>
      </c>
      <c r="I1168" t="s">
        <v>1419</v>
      </c>
      <c r="J1168" t="s">
        <v>17</v>
      </c>
      <c r="K1168" t="s">
        <v>34</v>
      </c>
      <c r="L1168" s="2" t="s">
        <v>139</v>
      </c>
    </row>
    <row r="1169" spans="1:12" x14ac:dyDescent="0.3">
      <c r="A1169" t="s">
        <v>1420</v>
      </c>
      <c r="B1169">
        <v>8848</v>
      </c>
      <c r="C1169">
        <v>2090</v>
      </c>
      <c r="D1169">
        <v>9</v>
      </c>
      <c r="E1169" t="s">
        <v>30</v>
      </c>
      <c r="F1169" t="s">
        <v>31</v>
      </c>
      <c r="G1169" t="s">
        <v>32</v>
      </c>
      <c r="H1169" s="1">
        <v>45671</v>
      </c>
      <c r="I1169" t="s">
        <v>1421</v>
      </c>
      <c r="J1169" t="s">
        <v>42</v>
      </c>
      <c r="K1169" t="s">
        <v>75</v>
      </c>
      <c r="L1169" s="2" t="s">
        <v>308</v>
      </c>
    </row>
    <row r="1170" spans="1:12" x14ac:dyDescent="0.3">
      <c r="A1170" t="s">
        <v>1422</v>
      </c>
      <c r="B1170">
        <v>8044</v>
      </c>
      <c r="C1170">
        <v>3634</v>
      </c>
      <c r="D1170">
        <v>3</v>
      </c>
      <c r="E1170" t="s">
        <v>30</v>
      </c>
      <c r="F1170" t="s">
        <v>57</v>
      </c>
      <c r="G1170" t="s">
        <v>65</v>
      </c>
      <c r="H1170" s="1">
        <v>44189</v>
      </c>
      <c r="I1170" t="s">
        <v>1423</v>
      </c>
      <c r="J1170" t="s">
        <v>17</v>
      </c>
      <c r="K1170" t="s">
        <v>34</v>
      </c>
      <c r="L1170" s="2" t="s">
        <v>287</v>
      </c>
    </row>
    <row r="1171" spans="1:12" x14ac:dyDescent="0.3">
      <c r="A1171" t="s">
        <v>1422</v>
      </c>
      <c r="B1171">
        <v>8044</v>
      </c>
      <c r="C1171">
        <v>3634</v>
      </c>
      <c r="D1171">
        <v>3</v>
      </c>
      <c r="E1171" t="s">
        <v>30</v>
      </c>
      <c r="F1171" t="s">
        <v>57</v>
      </c>
      <c r="G1171" t="s">
        <v>65</v>
      </c>
      <c r="H1171" s="1">
        <v>44841</v>
      </c>
      <c r="I1171" t="s">
        <v>1424</v>
      </c>
      <c r="J1171" t="s">
        <v>42</v>
      </c>
      <c r="K1171" t="s">
        <v>75</v>
      </c>
      <c r="L1171" s="2" t="s">
        <v>96</v>
      </c>
    </row>
    <row r="1172" spans="1:12" x14ac:dyDescent="0.3">
      <c r="A1172" t="s">
        <v>1425</v>
      </c>
      <c r="B1172">
        <v>7417</v>
      </c>
      <c r="C1172">
        <v>1334</v>
      </c>
      <c r="D1172">
        <v>16</v>
      </c>
      <c r="E1172" t="s">
        <v>45</v>
      </c>
      <c r="F1172" t="s">
        <v>109</v>
      </c>
      <c r="G1172" t="s">
        <v>65</v>
      </c>
      <c r="H1172" s="1">
        <v>44474</v>
      </c>
      <c r="I1172" t="s">
        <v>1426</v>
      </c>
      <c r="J1172" t="s">
        <v>17</v>
      </c>
      <c r="K1172" t="s">
        <v>150</v>
      </c>
      <c r="L1172" s="2" t="s">
        <v>37</v>
      </c>
    </row>
    <row r="1173" spans="1:12" x14ac:dyDescent="0.3">
      <c r="A1173" t="s">
        <v>1427</v>
      </c>
      <c r="B1173">
        <v>3451</v>
      </c>
      <c r="C1173">
        <v>658</v>
      </c>
      <c r="D1173">
        <v>3</v>
      </c>
      <c r="E1173" t="s">
        <v>30</v>
      </c>
      <c r="F1173" t="s">
        <v>57</v>
      </c>
      <c r="G1173" t="s">
        <v>15</v>
      </c>
      <c r="H1173" s="1">
        <v>45654</v>
      </c>
      <c r="I1173" t="s">
        <v>1428</v>
      </c>
      <c r="J1173" t="s">
        <v>21</v>
      </c>
      <c r="K1173" t="s">
        <v>22</v>
      </c>
      <c r="L1173" s="2" t="s">
        <v>23</v>
      </c>
    </row>
    <row r="1174" spans="1:12" x14ac:dyDescent="0.3">
      <c r="A1174" t="s">
        <v>1429</v>
      </c>
      <c r="B1174">
        <v>8531</v>
      </c>
      <c r="C1174">
        <v>2555</v>
      </c>
      <c r="D1174">
        <v>4</v>
      </c>
      <c r="E1174" t="s">
        <v>13</v>
      </c>
      <c r="F1174" t="s">
        <v>39</v>
      </c>
      <c r="G1174" t="s">
        <v>40</v>
      </c>
      <c r="H1174" s="1">
        <v>44695</v>
      </c>
      <c r="I1174" t="s">
        <v>1430</v>
      </c>
      <c r="J1174" t="s">
        <v>71</v>
      </c>
      <c r="K1174" t="s">
        <v>86</v>
      </c>
      <c r="L1174" s="2" t="s">
        <v>180</v>
      </c>
    </row>
    <row r="1175" spans="1:12" x14ac:dyDescent="0.3">
      <c r="A1175" t="s">
        <v>1431</v>
      </c>
      <c r="B1175">
        <v>6646</v>
      </c>
      <c r="C1175">
        <v>848</v>
      </c>
      <c r="D1175">
        <v>15</v>
      </c>
      <c r="E1175" t="s">
        <v>45</v>
      </c>
      <c r="F1175" t="s">
        <v>60</v>
      </c>
      <c r="G1175" t="s">
        <v>32</v>
      </c>
      <c r="H1175" s="1">
        <v>45157</v>
      </c>
      <c r="I1175" t="s">
        <v>1432</v>
      </c>
      <c r="J1175" t="s">
        <v>25</v>
      </c>
      <c r="K1175" t="s">
        <v>51</v>
      </c>
      <c r="L1175" s="2" t="s">
        <v>121</v>
      </c>
    </row>
    <row r="1176" spans="1:12" x14ac:dyDescent="0.3">
      <c r="A1176" t="s">
        <v>1431</v>
      </c>
      <c r="B1176">
        <v>6646</v>
      </c>
      <c r="C1176">
        <v>848</v>
      </c>
      <c r="D1176">
        <v>15</v>
      </c>
      <c r="E1176" t="s">
        <v>45</v>
      </c>
      <c r="F1176" t="s">
        <v>60</v>
      </c>
      <c r="G1176" t="s">
        <v>32</v>
      </c>
      <c r="H1176" s="1">
        <v>45121</v>
      </c>
      <c r="I1176" t="s">
        <v>1433</v>
      </c>
      <c r="J1176" t="s">
        <v>25</v>
      </c>
      <c r="K1176" t="s">
        <v>26</v>
      </c>
      <c r="L1176" s="2" t="s">
        <v>105</v>
      </c>
    </row>
    <row r="1177" spans="1:12" x14ac:dyDescent="0.3">
      <c r="A1177" t="s">
        <v>1434</v>
      </c>
      <c r="B1177">
        <v>2553</v>
      </c>
      <c r="C1177">
        <v>907</v>
      </c>
      <c r="D1177">
        <v>6</v>
      </c>
      <c r="E1177" t="s">
        <v>13</v>
      </c>
      <c r="F1177" t="s">
        <v>39</v>
      </c>
      <c r="G1177" t="s">
        <v>47</v>
      </c>
      <c r="H1177" s="1">
        <v>45099</v>
      </c>
      <c r="I1177" t="s">
        <v>1435</v>
      </c>
      <c r="J1177" t="s">
        <v>71</v>
      </c>
      <c r="K1177" t="s">
        <v>72</v>
      </c>
      <c r="L1177" s="2" t="s">
        <v>19</v>
      </c>
    </row>
    <row r="1178" spans="1:12" x14ac:dyDescent="0.3">
      <c r="A1178" t="s">
        <v>1436</v>
      </c>
      <c r="B1178">
        <v>8490</v>
      </c>
      <c r="C1178">
        <v>3485</v>
      </c>
      <c r="D1178">
        <v>3</v>
      </c>
      <c r="E1178" t="s">
        <v>13</v>
      </c>
      <c r="F1178" t="s">
        <v>82</v>
      </c>
      <c r="G1178" t="s">
        <v>47</v>
      </c>
      <c r="H1178" s="1">
        <v>45006</v>
      </c>
      <c r="I1178" t="s">
        <v>1437</v>
      </c>
      <c r="J1178" t="s">
        <v>25</v>
      </c>
      <c r="K1178" t="s">
        <v>51</v>
      </c>
      <c r="L1178" s="2" t="s">
        <v>245</v>
      </c>
    </row>
    <row r="1179" spans="1:12" x14ac:dyDescent="0.3">
      <c r="A1179" t="s">
        <v>1438</v>
      </c>
      <c r="B1179">
        <v>2689</v>
      </c>
      <c r="C1179">
        <v>1330</v>
      </c>
      <c r="D1179">
        <v>3</v>
      </c>
      <c r="E1179" t="s">
        <v>45</v>
      </c>
      <c r="F1179" t="s">
        <v>46</v>
      </c>
      <c r="G1179" t="s">
        <v>15</v>
      </c>
      <c r="H1179" s="1">
        <v>44178</v>
      </c>
      <c r="I1179" t="s">
        <v>1439</v>
      </c>
      <c r="J1179" t="s">
        <v>42</v>
      </c>
      <c r="K1179" t="s">
        <v>43</v>
      </c>
      <c r="L1179" s="2" t="s">
        <v>287</v>
      </c>
    </row>
    <row r="1180" spans="1:12" x14ac:dyDescent="0.3">
      <c r="A1180" t="s">
        <v>1438</v>
      </c>
      <c r="B1180">
        <v>2689</v>
      </c>
      <c r="C1180">
        <v>1330</v>
      </c>
      <c r="D1180">
        <v>3</v>
      </c>
      <c r="E1180" t="s">
        <v>45</v>
      </c>
      <c r="F1180" t="s">
        <v>46</v>
      </c>
      <c r="G1180" t="s">
        <v>15</v>
      </c>
      <c r="H1180" s="1">
        <v>45441</v>
      </c>
      <c r="I1180" t="s">
        <v>1440</v>
      </c>
      <c r="J1180" t="s">
        <v>17</v>
      </c>
      <c r="K1180" t="s">
        <v>18</v>
      </c>
      <c r="L1180" s="2" t="s">
        <v>35</v>
      </c>
    </row>
    <row r="1181" spans="1:12" x14ac:dyDescent="0.3">
      <c r="A1181" t="s">
        <v>1441</v>
      </c>
      <c r="B1181">
        <v>815</v>
      </c>
      <c r="C1181">
        <v>54</v>
      </c>
      <c r="D1181">
        <v>14</v>
      </c>
      <c r="E1181" t="s">
        <v>45</v>
      </c>
      <c r="F1181" t="s">
        <v>46</v>
      </c>
      <c r="G1181" t="s">
        <v>32</v>
      </c>
      <c r="H1181" s="1">
        <v>44341</v>
      </c>
      <c r="I1181" t="s">
        <v>1442</v>
      </c>
      <c r="J1181" t="s">
        <v>42</v>
      </c>
      <c r="K1181" t="s">
        <v>92</v>
      </c>
      <c r="L1181" s="2" t="s">
        <v>108</v>
      </c>
    </row>
    <row r="1182" spans="1:12" x14ac:dyDescent="0.3">
      <c r="A1182" t="s">
        <v>1443</v>
      </c>
      <c r="B1182">
        <v>5024</v>
      </c>
      <c r="C1182">
        <v>379</v>
      </c>
      <c r="D1182">
        <v>2</v>
      </c>
      <c r="E1182" t="s">
        <v>30</v>
      </c>
      <c r="F1182" t="s">
        <v>64</v>
      </c>
      <c r="G1182" t="s">
        <v>15</v>
      </c>
      <c r="H1182" s="1">
        <v>45384</v>
      </c>
      <c r="I1182" t="s">
        <v>1444</v>
      </c>
      <c r="J1182" t="s">
        <v>71</v>
      </c>
      <c r="K1182" t="s">
        <v>72</v>
      </c>
      <c r="L1182" s="2" t="s">
        <v>235</v>
      </c>
    </row>
    <row r="1183" spans="1:12" x14ac:dyDescent="0.3">
      <c r="A1183" t="s">
        <v>1443</v>
      </c>
      <c r="B1183">
        <v>5024</v>
      </c>
      <c r="C1183">
        <v>379</v>
      </c>
      <c r="D1183">
        <v>2</v>
      </c>
      <c r="E1183" t="s">
        <v>30</v>
      </c>
      <c r="F1183" t="s">
        <v>64</v>
      </c>
      <c r="G1183" t="s">
        <v>15</v>
      </c>
      <c r="H1183" s="1">
        <v>44898</v>
      </c>
      <c r="I1183" t="s">
        <v>1445</v>
      </c>
      <c r="J1183" t="s">
        <v>21</v>
      </c>
      <c r="K1183" t="s">
        <v>172</v>
      </c>
      <c r="L1183" s="2" t="s">
        <v>152</v>
      </c>
    </row>
    <row r="1184" spans="1:12" x14ac:dyDescent="0.3">
      <c r="A1184" t="s">
        <v>1446</v>
      </c>
      <c r="B1184">
        <v>8962</v>
      </c>
      <c r="C1184">
        <v>2444</v>
      </c>
      <c r="D1184">
        <v>18</v>
      </c>
      <c r="E1184" t="s">
        <v>13</v>
      </c>
      <c r="F1184" t="s">
        <v>14</v>
      </c>
      <c r="G1184" t="s">
        <v>32</v>
      </c>
      <c r="H1184" s="1">
        <v>44389</v>
      </c>
      <c r="I1184" t="s">
        <v>1447</v>
      </c>
      <c r="J1184" t="s">
        <v>98</v>
      </c>
      <c r="K1184" t="s">
        <v>117</v>
      </c>
      <c r="L1184" s="2" t="s">
        <v>27</v>
      </c>
    </row>
    <row r="1185" spans="1:12" x14ac:dyDescent="0.3">
      <c r="A1185" t="s">
        <v>1446</v>
      </c>
      <c r="B1185">
        <v>8962</v>
      </c>
      <c r="C1185">
        <v>2444</v>
      </c>
      <c r="D1185">
        <v>18</v>
      </c>
      <c r="E1185" t="s">
        <v>13</v>
      </c>
      <c r="F1185" t="s">
        <v>14</v>
      </c>
      <c r="G1185" t="s">
        <v>32</v>
      </c>
      <c r="H1185" s="1">
        <v>43912</v>
      </c>
      <c r="I1185" t="s">
        <v>1448</v>
      </c>
      <c r="J1185" t="s">
        <v>21</v>
      </c>
      <c r="K1185" t="s">
        <v>172</v>
      </c>
      <c r="L1185" s="2" t="s">
        <v>55</v>
      </c>
    </row>
    <row r="1186" spans="1:12" x14ac:dyDescent="0.3">
      <c r="A1186" t="s">
        <v>1449</v>
      </c>
      <c r="B1186">
        <v>1961</v>
      </c>
      <c r="C1186">
        <v>59</v>
      </c>
      <c r="D1186">
        <v>12</v>
      </c>
      <c r="E1186" t="s">
        <v>30</v>
      </c>
      <c r="F1186" t="s">
        <v>78</v>
      </c>
      <c r="G1186" t="s">
        <v>15</v>
      </c>
      <c r="H1186" s="1">
        <v>44052</v>
      </c>
      <c r="I1186" t="s">
        <v>1450</v>
      </c>
      <c r="J1186" t="s">
        <v>17</v>
      </c>
      <c r="K1186" t="s">
        <v>34</v>
      </c>
      <c r="L1186" s="2" t="s">
        <v>185</v>
      </c>
    </row>
    <row r="1187" spans="1:12" x14ac:dyDescent="0.3">
      <c r="A1187" t="s">
        <v>1451</v>
      </c>
      <c r="B1187">
        <v>526</v>
      </c>
      <c r="C1187">
        <v>83</v>
      </c>
      <c r="D1187">
        <v>4</v>
      </c>
      <c r="E1187" t="s">
        <v>45</v>
      </c>
      <c r="F1187" t="s">
        <v>60</v>
      </c>
      <c r="G1187" t="s">
        <v>47</v>
      </c>
      <c r="H1187" s="1">
        <v>44610</v>
      </c>
      <c r="I1187" t="s">
        <v>1452</v>
      </c>
      <c r="J1187" t="s">
        <v>21</v>
      </c>
      <c r="K1187" t="s">
        <v>22</v>
      </c>
      <c r="L1187" s="2" t="s">
        <v>137</v>
      </c>
    </row>
    <row r="1188" spans="1:12" x14ac:dyDescent="0.3">
      <c r="A1188" t="s">
        <v>1453</v>
      </c>
      <c r="B1188">
        <v>6093</v>
      </c>
      <c r="C1188">
        <v>3042</v>
      </c>
      <c r="D1188">
        <v>9</v>
      </c>
      <c r="E1188" t="s">
        <v>45</v>
      </c>
      <c r="F1188" t="s">
        <v>109</v>
      </c>
      <c r="G1188" t="s">
        <v>32</v>
      </c>
      <c r="H1188" s="1">
        <v>44361</v>
      </c>
      <c r="I1188" t="s">
        <v>1454</v>
      </c>
      <c r="J1188" t="s">
        <v>42</v>
      </c>
      <c r="K1188" t="s">
        <v>92</v>
      </c>
      <c r="L1188" s="2" t="s">
        <v>125</v>
      </c>
    </row>
    <row r="1189" spans="1:12" x14ac:dyDescent="0.3">
      <c r="A1189" t="s">
        <v>1453</v>
      </c>
      <c r="B1189">
        <v>6093</v>
      </c>
      <c r="C1189">
        <v>3042</v>
      </c>
      <c r="D1189">
        <v>9</v>
      </c>
      <c r="E1189" t="s">
        <v>45</v>
      </c>
      <c r="F1189" t="s">
        <v>109</v>
      </c>
      <c r="G1189" t="s">
        <v>32</v>
      </c>
      <c r="H1189" s="1">
        <v>44256</v>
      </c>
      <c r="I1189" t="s">
        <v>1455</v>
      </c>
      <c r="J1189" t="s">
        <v>42</v>
      </c>
      <c r="K1189" t="s">
        <v>75</v>
      </c>
      <c r="L1189" s="2" t="s">
        <v>167</v>
      </c>
    </row>
    <row r="1190" spans="1:12" x14ac:dyDescent="0.3">
      <c r="A1190" t="s">
        <v>1456</v>
      </c>
      <c r="B1190">
        <v>7699</v>
      </c>
      <c r="C1190">
        <v>246</v>
      </c>
      <c r="D1190">
        <v>5</v>
      </c>
      <c r="E1190" t="s">
        <v>13</v>
      </c>
      <c r="F1190" t="s">
        <v>14</v>
      </c>
      <c r="G1190" t="s">
        <v>32</v>
      </c>
      <c r="H1190" s="1">
        <v>45192</v>
      </c>
      <c r="I1190" t="s">
        <v>1457</v>
      </c>
      <c r="J1190" t="s">
        <v>71</v>
      </c>
      <c r="K1190" t="s">
        <v>86</v>
      </c>
      <c r="L1190" s="2" t="s">
        <v>273</v>
      </c>
    </row>
    <row r="1191" spans="1:12" x14ac:dyDescent="0.3">
      <c r="A1191" t="s">
        <v>1458</v>
      </c>
      <c r="B1191">
        <v>8825</v>
      </c>
      <c r="C1191">
        <v>3594</v>
      </c>
      <c r="D1191">
        <v>15</v>
      </c>
      <c r="E1191" t="s">
        <v>45</v>
      </c>
      <c r="F1191" t="s">
        <v>46</v>
      </c>
      <c r="G1191" t="s">
        <v>32</v>
      </c>
      <c r="H1191" s="1">
        <v>45504</v>
      </c>
      <c r="I1191" t="s">
        <v>1459</v>
      </c>
      <c r="J1191" t="s">
        <v>25</v>
      </c>
      <c r="K1191" t="s">
        <v>51</v>
      </c>
      <c r="L1191" s="2" t="s">
        <v>215</v>
      </c>
    </row>
    <row r="1192" spans="1:12" x14ac:dyDescent="0.3">
      <c r="A1192" t="s">
        <v>1460</v>
      </c>
      <c r="B1192">
        <v>2082</v>
      </c>
      <c r="C1192">
        <v>642</v>
      </c>
      <c r="D1192">
        <v>8</v>
      </c>
      <c r="E1192" t="s">
        <v>13</v>
      </c>
      <c r="F1192" t="s">
        <v>82</v>
      </c>
      <c r="G1192" t="s">
        <v>40</v>
      </c>
      <c r="H1192" s="1">
        <v>43984</v>
      </c>
      <c r="I1192" t="s">
        <v>1461</v>
      </c>
      <c r="J1192" t="s">
        <v>25</v>
      </c>
      <c r="K1192" t="s">
        <v>68</v>
      </c>
      <c r="L1192" s="2" t="s">
        <v>313</v>
      </c>
    </row>
    <row r="1193" spans="1:12" x14ac:dyDescent="0.3">
      <c r="A1193" t="s">
        <v>1460</v>
      </c>
      <c r="B1193">
        <v>2082</v>
      </c>
      <c r="C1193">
        <v>642</v>
      </c>
      <c r="D1193">
        <v>8</v>
      </c>
      <c r="E1193" t="s">
        <v>13</v>
      </c>
      <c r="F1193" t="s">
        <v>82</v>
      </c>
      <c r="G1193" t="s">
        <v>40</v>
      </c>
      <c r="H1193" s="1">
        <v>44910</v>
      </c>
      <c r="I1193" t="s">
        <v>1462</v>
      </c>
      <c r="J1193" t="s">
        <v>71</v>
      </c>
      <c r="K1193" t="s">
        <v>86</v>
      </c>
      <c r="L1193" s="2" t="s">
        <v>152</v>
      </c>
    </row>
    <row r="1194" spans="1:12" x14ac:dyDescent="0.3">
      <c r="A1194" t="s">
        <v>1460</v>
      </c>
      <c r="B1194">
        <v>2082</v>
      </c>
      <c r="C1194">
        <v>642</v>
      </c>
      <c r="D1194">
        <v>8</v>
      </c>
      <c r="E1194" t="s">
        <v>13</v>
      </c>
      <c r="F1194" t="s">
        <v>82</v>
      </c>
      <c r="G1194" t="s">
        <v>40</v>
      </c>
      <c r="H1194" s="1">
        <v>44050</v>
      </c>
      <c r="I1194" t="s">
        <v>1463</v>
      </c>
      <c r="J1194" t="s">
        <v>25</v>
      </c>
      <c r="K1194" t="s">
        <v>26</v>
      </c>
      <c r="L1194" s="2" t="s">
        <v>185</v>
      </c>
    </row>
    <row r="1195" spans="1:12" x14ac:dyDescent="0.3">
      <c r="A1195" t="s">
        <v>1464</v>
      </c>
      <c r="B1195">
        <v>914</v>
      </c>
      <c r="C1195">
        <v>163</v>
      </c>
      <c r="D1195">
        <v>13</v>
      </c>
      <c r="E1195" t="s">
        <v>30</v>
      </c>
      <c r="F1195" t="s">
        <v>57</v>
      </c>
      <c r="G1195" t="s">
        <v>15</v>
      </c>
      <c r="H1195" s="1">
        <v>45591</v>
      </c>
      <c r="I1195" t="s">
        <v>1465</v>
      </c>
      <c r="J1195" t="s">
        <v>21</v>
      </c>
      <c r="K1195" t="s">
        <v>22</v>
      </c>
      <c r="L1195" s="2" t="s">
        <v>360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3B437-7CE5-49FD-9D1D-F8395624C315}">
  <dimension ref="A1:Q1197"/>
  <sheetViews>
    <sheetView workbookViewId="0">
      <selection activeCell="C1197" sqref="C1197"/>
    </sheetView>
  </sheetViews>
  <sheetFormatPr defaultRowHeight="14.4" x14ac:dyDescent="0.3"/>
  <cols>
    <col min="1" max="1" width="9.88671875" customWidth="1"/>
    <col min="2" max="2" width="9.77734375" customWidth="1"/>
    <col min="3" max="3" width="7.5546875" customWidth="1"/>
    <col min="4" max="4" width="10.21875" customWidth="1"/>
    <col min="5" max="5" width="13.109375" bestFit="1" customWidth="1"/>
    <col min="6" max="6" width="15.21875" bestFit="1" customWidth="1"/>
    <col min="7" max="7" width="15.44140625" customWidth="1"/>
    <col min="8" max="8" width="13.6640625" style="1" customWidth="1"/>
    <col min="9" max="9" width="21.44140625" bestFit="1" customWidth="1"/>
    <col min="11" max="11" width="12.44140625" bestFit="1" customWidth="1"/>
    <col min="12" max="12" width="13" customWidth="1"/>
    <col min="13" max="13" width="11.5546875" bestFit="1" customWidth="1"/>
    <col min="16" max="16" width="17.21875" bestFit="1" customWidth="1"/>
    <col min="17" max="17" width="20.77734375" bestFit="1" customWidth="1"/>
  </cols>
  <sheetData>
    <row r="1" spans="1:17" x14ac:dyDescent="0.3">
      <c r="A1" t="s">
        <v>0</v>
      </c>
      <c r="B1" t="s">
        <v>1</v>
      </c>
      <c r="C1" t="s">
        <v>2</v>
      </c>
      <c r="D1" t="s">
        <v>3</v>
      </c>
      <c r="E1" t="s">
        <v>4</v>
      </c>
      <c r="F1" t="s">
        <v>5</v>
      </c>
      <c r="G1" t="s">
        <v>6</v>
      </c>
      <c r="H1" s="1" t="s">
        <v>7</v>
      </c>
      <c r="I1" t="s">
        <v>8</v>
      </c>
      <c r="J1" t="s">
        <v>9</v>
      </c>
      <c r="K1" t="s">
        <v>10</v>
      </c>
      <c r="L1" t="s">
        <v>11</v>
      </c>
      <c r="M1" t="s">
        <v>1469</v>
      </c>
      <c r="N1" t="s">
        <v>1468</v>
      </c>
      <c r="O1" t="s">
        <v>1470</v>
      </c>
      <c r="P1" t="s">
        <v>1471</v>
      </c>
      <c r="Q1" t="s">
        <v>1472</v>
      </c>
    </row>
    <row r="2" spans="1:17" x14ac:dyDescent="0.3">
      <c r="A2" t="s">
        <v>12</v>
      </c>
      <c r="B2">
        <v>9726</v>
      </c>
      <c r="C2">
        <v>1275</v>
      </c>
      <c r="D2">
        <v>5</v>
      </c>
      <c r="E2" t="s">
        <v>13</v>
      </c>
      <c r="F2" t="s">
        <v>14</v>
      </c>
      <c r="G2" t="s">
        <v>15</v>
      </c>
      <c r="H2" s="1">
        <v>45104</v>
      </c>
      <c r="I2" t="s">
        <v>16</v>
      </c>
      <c r="J2" t="s">
        <v>17</v>
      </c>
      <c r="K2" t="s">
        <v>18</v>
      </c>
      <c r="L2" s="2" t="s">
        <v>19</v>
      </c>
      <c r="M2" t="str">
        <f>TEXT(Table13[[#This Row],[Order Date]],"MMM")</f>
        <v>Jun</v>
      </c>
      <c r="N2">
        <f>YEAR(Table13[[#This Row],[Order Date]])</f>
        <v>2023</v>
      </c>
      <c r="O2" t="str">
        <f>"Q"&amp;ROUNDUP(MONTH(Table13[[#This Row],[Order Date]])/3,0)</f>
        <v>Q2</v>
      </c>
      <c r="P2" s="5">
        <f>Table13[[#This Row],[Profit]]/Table13[[#This Row],[Amount]]</f>
        <v>0.13109191856878469</v>
      </c>
      <c r="Q2" s="6">
        <f>Table13[[#This Row],[Amount]]/Table13[[#This Row],[Quantity]]</f>
        <v>1945.2</v>
      </c>
    </row>
    <row r="3" spans="1:17" x14ac:dyDescent="0.3">
      <c r="A3" t="s">
        <v>12</v>
      </c>
      <c r="B3">
        <v>9726</v>
      </c>
      <c r="C3">
        <v>1275</v>
      </c>
      <c r="D3">
        <v>5</v>
      </c>
      <c r="E3" t="s">
        <v>13</v>
      </c>
      <c r="F3" t="s">
        <v>14</v>
      </c>
      <c r="G3" t="s">
        <v>15</v>
      </c>
      <c r="H3" s="1">
        <v>45653</v>
      </c>
      <c r="I3" t="s">
        <v>20</v>
      </c>
      <c r="J3" t="s">
        <v>21</v>
      </c>
      <c r="K3" t="s">
        <v>22</v>
      </c>
      <c r="L3" s="2" t="s">
        <v>23</v>
      </c>
      <c r="M3" s="2" t="str">
        <f>TEXT(Table13[[#This Row],[Order Date]],"MMM")</f>
        <v>Dec</v>
      </c>
      <c r="N3">
        <f>YEAR(Table13[[#This Row],[Order Date]])</f>
        <v>2024</v>
      </c>
      <c r="O3" t="str">
        <f>"Q"&amp;ROUNDUP(MONTH(Table13[[#This Row],[Order Date]])/3,0)</f>
        <v>Q4</v>
      </c>
      <c r="P3" s="5">
        <f>Table13[[#This Row],[Profit]]/Table13[[#This Row],[Amount]]</f>
        <v>0.13109191856878469</v>
      </c>
      <c r="Q3" s="6">
        <f>Table13[[#This Row],[Amount]]/Table13[[#This Row],[Quantity]]</f>
        <v>1945.2</v>
      </c>
    </row>
    <row r="4" spans="1:17" x14ac:dyDescent="0.3">
      <c r="A4" t="s">
        <v>12</v>
      </c>
      <c r="B4">
        <v>9726</v>
      </c>
      <c r="C4">
        <v>1275</v>
      </c>
      <c r="D4">
        <v>5</v>
      </c>
      <c r="E4" t="s">
        <v>13</v>
      </c>
      <c r="F4" t="s">
        <v>14</v>
      </c>
      <c r="G4" t="s">
        <v>15</v>
      </c>
      <c r="H4" s="1">
        <v>44402</v>
      </c>
      <c r="I4" t="s">
        <v>24</v>
      </c>
      <c r="J4" t="s">
        <v>25</v>
      </c>
      <c r="K4" t="s">
        <v>26</v>
      </c>
      <c r="L4" s="2" t="s">
        <v>27</v>
      </c>
      <c r="M4" t="str">
        <f>TEXT(Table13[[#This Row],[Order Date]],"MMM")</f>
        <v>Jul</v>
      </c>
      <c r="N4">
        <f>YEAR(Table13[[#This Row],[Order Date]])</f>
        <v>2021</v>
      </c>
      <c r="O4" t="str">
        <f>"Q"&amp;ROUNDUP(MONTH(Table13[[#This Row],[Order Date]])/3,0)</f>
        <v>Q3</v>
      </c>
      <c r="P4" s="5">
        <f>Table13[[#This Row],[Profit]]/Table13[[#This Row],[Amount]]</f>
        <v>0.13109191856878469</v>
      </c>
      <c r="Q4" s="6">
        <f>Table13[[#This Row],[Amount]]/Table13[[#This Row],[Quantity]]</f>
        <v>1945.2</v>
      </c>
    </row>
    <row r="5" spans="1:17" x14ac:dyDescent="0.3">
      <c r="A5" t="s">
        <v>12</v>
      </c>
      <c r="B5">
        <v>4975</v>
      </c>
      <c r="C5">
        <v>1330</v>
      </c>
      <c r="D5">
        <v>14</v>
      </c>
      <c r="E5" t="s">
        <v>13</v>
      </c>
      <c r="F5" t="s">
        <v>28</v>
      </c>
      <c r="G5" t="s">
        <v>15</v>
      </c>
      <c r="H5" s="1">
        <v>45104</v>
      </c>
      <c r="I5" t="s">
        <v>16</v>
      </c>
      <c r="J5" t="s">
        <v>17</v>
      </c>
      <c r="K5" t="s">
        <v>18</v>
      </c>
      <c r="L5" s="2" t="s">
        <v>19</v>
      </c>
      <c r="M5" t="str">
        <f>TEXT(Table13[[#This Row],[Order Date]],"MMM")</f>
        <v>Jun</v>
      </c>
      <c r="N5">
        <f>YEAR(Table13[[#This Row],[Order Date]])</f>
        <v>2023</v>
      </c>
      <c r="O5" t="str">
        <f>"Q"&amp;ROUNDUP(MONTH(Table13[[#This Row],[Order Date]])/3,0)</f>
        <v>Q2</v>
      </c>
      <c r="P5" s="5">
        <f>Table13[[#This Row],[Profit]]/Table13[[#This Row],[Amount]]</f>
        <v>0.26733668341708544</v>
      </c>
      <c r="Q5" s="6">
        <f>Table13[[#This Row],[Amount]]/Table13[[#This Row],[Quantity]]</f>
        <v>355.35714285714283</v>
      </c>
    </row>
    <row r="6" spans="1:17" x14ac:dyDescent="0.3">
      <c r="A6" t="s">
        <v>12</v>
      </c>
      <c r="B6">
        <v>4975</v>
      </c>
      <c r="C6">
        <v>1330</v>
      </c>
      <c r="D6">
        <v>14</v>
      </c>
      <c r="E6" t="s">
        <v>13</v>
      </c>
      <c r="F6" t="s">
        <v>28</v>
      </c>
      <c r="G6" t="s">
        <v>15</v>
      </c>
      <c r="H6" s="1">
        <v>45653</v>
      </c>
      <c r="I6" t="s">
        <v>20</v>
      </c>
      <c r="J6" t="s">
        <v>21</v>
      </c>
      <c r="K6" t="s">
        <v>22</v>
      </c>
      <c r="L6" s="2" t="s">
        <v>23</v>
      </c>
      <c r="M6" t="str">
        <f>TEXT(Table13[[#This Row],[Order Date]],"MMM")</f>
        <v>Dec</v>
      </c>
      <c r="N6">
        <f>YEAR(Table13[[#This Row],[Order Date]])</f>
        <v>2024</v>
      </c>
      <c r="O6" t="str">
        <f>"Q"&amp;ROUNDUP(MONTH(Table13[[#This Row],[Order Date]])/3,0)</f>
        <v>Q4</v>
      </c>
      <c r="P6" s="5">
        <f>Table13[[#This Row],[Profit]]/Table13[[#This Row],[Amount]]</f>
        <v>0.26733668341708544</v>
      </c>
      <c r="Q6" s="6">
        <f>Table13[[#This Row],[Amount]]/Table13[[#This Row],[Quantity]]</f>
        <v>355.35714285714283</v>
      </c>
    </row>
    <row r="7" spans="1:17" x14ac:dyDescent="0.3">
      <c r="A7" t="s">
        <v>12</v>
      </c>
      <c r="B7">
        <v>4975</v>
      </c>
      <c r="C7">
        <v>1330</v>
      </c>
      <c r="D7">
        <v>14</v>
      </c>
      <c r="E7" t="s">
        <v>13</v>
      </c>
      <c r="F7" t="s">
        <v>28</v>
      </c>
      <c r="G7" t="s">
        <v>15</v>
      </c>
      <c r="H7" s="1">
        <v>44402</v>
      </c>
      <c r="I7" t="s">
        <v>24</v>
      </c>
      <c r="J7" t="s">
        <v>25</v>
      </c>
      <c r="K7" t="s">
        <v>26</v>
      </c>
      <c r="L7" s="2" t="s">
        <v>27</v>
      </c>
      <c r="M7" t="str">
        <f>TEXT(Table13[[#This Row],[Order Date]],"MMM")</f>
        <v>Jul</v>
      </c>
      <c r="N7">
        <f>YEAR(Table13[[#This Row],[Order Date]])</f>
        <v>2021</v>
      </c>
      <c r="O7" t="str">
        <f>"Q"&amp;ROUNDUP(MONTH(Table13[[#This Row],[Order Date]])/3,0)</f>
        <v>Q3</v>
      </c>
      <c r="P7" s="5">
        <f>Table13[[#This Row],[Profit]]/Table13[[#This Row],[Amount]]</f>
        <v>0.26733668341708544</v>
      </c>
      <c r="Q7" s="6">
        <f>Table13[[#This Row],[Amount]]/Table13[[#This Row],[Quantity]]</f>
        <v>355.35714285714283</v>
      </c>
    </row>
    <row r="8" spans="1:17" x14ac:dyDescent="0.3">
      <c r="A8" t="s">
        <v>29</v>
      </c>
      <c r="B8">
        <v>1525</v>
      </c>
      <c r="C8">
        <v>185</v>
      </c>
      <c r="D8">
        <v>12</v>
      </c>
      <c r="E8" t="s">
        <v>30</v>
      </c>
      <c r="F8" t="s">
        <v>31</v>
      </c>
      <c r="G8" t="s">
        <v>32</v>
      </c>
      <c r="H8" s="1">
        <v>45423</v>
      </c>
      <c r="I8" t="s">
        <v>33</v>
      </c>
      <c r="J8" t="s">
        <v>17</v>
      </c>
      <c r="K8" t="s">
        <v>34</v>
      </c>
      <c r="L8" s="2" t="s">
        <v>35</v>
      </c>
      <c r="M8" t="str">
        <f>TEXT(Table13[[#This Row],[Order Date]],"MMM")</f>
        <v>May</v>
      </c>
      <c r="N8">
        <f>YEAR(Table13[[#This Row],[Order Date]])</f>
        <v>2024</v>
      </c>
      <c r="O8" t="str">
        <f>"Q"&amp;ROUNDUP(MONTH(Table13[[#This Row],[Order Date]])/3,0)</f>
        <v>Q2</v>
      </c>
      <c r="P8" s="5">
        <f>Table13[[#This Row],[Profit]]/Table13[[#This Row],[Amount]]</f>
        <v>0.12131147540983607</v>
      </c>
      <c r="Q8" s="6">
        <f>Table13[[#This Row],[Amount]]/Table13[[#This Row],[Quantity]]</f>
        <v>127.08333333333333</v>
      </c>
    </row>
    <row r="9" spans="1:17" x14ac:dyDescent="0.3">
      <c r="A9" t="s">
        <v>29</v>
      </c>
      <c r="B9">
        <v>1525</v>
      </c>
      <c r="C9">
        <v>185</v>
      </c>
      <c r="D9">
        <v>12</v>
      </c>
      <c r="E9" t="s">
        <v>30</v>
      </c>
      <c r="F9" t="s">
        <v>31</v>
      </c>
      <c r="G9" t="s">
        <v>32</v>
      </c>
      <c r="H9" s="1">
        <v>44478</v>
      </c>
      <c r="I9" t="s">
        <v>36</v>
      </c>
      <c r="J9" t="s">
        <v>17</v>
      </c>
      <c r="K9" t="s">
        <v>18</v>
      </c>
      <c r="L9" s="2" t="s">
        <v>37</v>
      </c>
      <c r="M9" t="str">
        <f>TEXT(Table13[[#This Row],[Order Date]],"MMM")</f>
        <v>Oct</v>
      </c>
      <c r="N9">
        <f>YEAR(Table13[[#This Row],[Order Date]])</f>
        <v>2021</v>
      </c>
      <c r="O9" t="str">
        <f>"Q"&amp;ROUNDUP(MONTH(Table13[[#This Row],[Order Date]])/3,0)</f>
        <v>Q4</v>
      </c>
      <c r="P9" s="5">
        <f>Table13[[#This Row],[Profit]]/Table13[[#This Row],[Amount]]</f>
        <v>0.12131147540983607</v>
      </c>
      <c r="Q9" s="6">
        <f>Table13[[#This Row],[Amount]]/Table13[[#This Row],[Quantity]]</f>
        <v>127.08333333333333</v>
      </c>
    </row>
    <row r="10" spans="1:17" x14ac:dyDescent="0.3">
      <c r="A10" t="s">
        <v>38</v>
      </c>
      <c r="B10">
        <v>883</v>
      </c>
      <c r="C10">
        <v>117</v>
      </c>
      <c r="D10">
        <v>10</v>
      </c>
      <c r="E10" t="s">
        <v>13</v>
      </c>
      <c r="F10" t="s">
        <v>39</v>
      </c>
      <c r="G10" t="s">
        <v>40</v>
      </c>
      <c r="H10" s="1">
        <v>44883</v>
      </c>
      <c r="I10" t="s">
        <v>41</v>
      </c>
      <c r="J10" t="s">
        <v>42</v>
      </c>
      <c r="K10" t="s">
        <v>43</v>
      </c>
      <c r="L10" s="2" t="s">
        <v>44</v>
      </c>
      <c r="M10" t="str">
        <f>TEXT(Table13[[#This Row],[Order Date]],"MMM")</f>
        <v>Nov</v>
      </c>
      <c r="N10">
        <f>YEAR(Table13[[#This Row],[Order Date]])</f>
        <v>2022</v>
      </c>
      <c r="O10" t="str">
        <f>"Q"&amp;ROUNDUP(MONTH(Table13[[#This Row],[Order Date]])/3,0)</f>
        <v>Q4</v>
      </c>
      <c r="P10" s="5">
        <f>Table13[[#This Row],[Profit]]/Table13[[#This Row],[Amount]]</f>
        <v>0.13250283125707815</v>
      </c>
      <c r="Q10" s="6">
        <f>Table13[[#This Row],[Amount]]/Table13[[#This Row],[Quantity]]</f>
        <v>88.3</v>
      </c>
    </row>
    <row r="11" spans="1:17" x14ac:dyDescent="0.3">
      <c r="A11" t="s">
        <v>38</v>
      </c>
      <c r="B11">
        <v>8127</v>
      </c>
      <c r="C11">
        <v>3551</v>
      </c>
      <c r="D11">
        <v>16</v>
      </c>
      <c r="E11" t="s">
        <v>45</v>
      </c>
      <c r="F11" t="s">
        <v>46</v>
      </c>
      <c r="G11" t="s">
        <v>47</v>
      </c>
      <c r="H11" s="1">
        <v>44883</v>
      </c>
      <c r="I11" t="s">
        <v>41</v>
      </c>
      <c r="J11" t="s">
        <v>42</v>
      </c>
      <c r="K11" t="s">
        <v>43</v>
      </c>
      <c r="L11" s="2" t="s">
        <v>44</v>
      </c>
      <c r="M11" t="str">
        <f>TEXT(Table13[[#This Row],[Order Date]],"MMM")</f>
        <v>Nov</v>
      </c>
      <c r="N11">
        <f>YEAR(Table13[[#This Row],[Order Date]])</f>
        <v>2022</v>
      </c>
      <c r="O11" t="str">
        <f>"Q"&amp;ROUNDUP(MONTH(Table13[[#This Row],[Order Date]])/3,0)</f>
        <v>Q4</v>
      </c>
      <c r="P11" s="5">
        <f>Table13[[#This Row],[Profit]]/Table13[[#This Row],[Amount]]</f>
        <v>0.43693859972929738</v>
      </c>
      <c r="Q11" s="6">
        <f>Table13[[#This Row],[Amount]]/Table13[[#This Row],[Quantity]]</f>
        <v>507.9375</v>
      </c>
    </row>
    <row r="12" spans="1:17" x14ac:dyDescent="0.3">
      <c r="A12" t="s">
        <v>48</v>
      </c>
      <c r="B12">
        <v>2516</v>
      </c>
      <c r="C12">
        <v>734</v>
      </c>
      <c r="D12">
        <v>19</v>
      </c>
      <c r="E12" t="s">
        <v>45</v>
      </c>
      <c r="F12" t="s">
        <v>49</v>
      </c>
      <c r="G12" t="s">
        <v>15</v>
      </c>
      <c r="H12" s="1">
        <v>45242</v>
      </c>
      <c r="I12" t="s">
        <v>50</v>
      </c>
      <c r="J12" t="s">
        <v>25</v>
      </c>
      <c r="K12" t="s">
        <v>51</v>
      </c>
      <c r="L12" s="2" t="s">
        <v>52</v>
      </c>
      <c r="M12" t="str">
        <f>TEXT(Table13[[#This Row],[Order Date]],"MMM")</f>
        <v>Nov</v>
      </c>
      <c r="N12">
        <f>YEAR(Table13[[#This Row],[Order Date]])</f>
        <v>2023</v>
      </c>
      <c r="O12" t="str">
        <f>"Q"&amp;ROUNDUP(MONTH(Table13[[#This Row],[Order Date]])/3,0)</f>
        <v>Q4</v>
      </c>
      <c r="P12" s="5">
        <f>Table13[[#This Row],[Profit]]/Table13[[#This Row],[Amount]]</f>
        <v>0.29173290937996821</v>
      </c>
      <c r="Q12" s="6">
        <f>Table13[[#This Row],[Amount]]/Table13[[#This Row],[Quantity]]</f>
        <v>132.42105263157896</v>
      </c>
    </row>
    <row r="13" spans="1:17" x14ac:dyDescent="0.3">
      <c r="A13" t="s">
        <v>53</v>
      </c>
      <c r="B13">
        <v>2975</v>
      </c>
      <c r="C13">
        <v>462</v>
      </c>
      <c r="D13">
        <v>14</v>
      </c>
      <c r="E13" t="s">
        <v>30</v>
      </c>
      <c r="F13" t="s">
        <v>31</v>
      </c>
      <c r="G13" t="s">
        <v>47</v>
      </c>
      <c r="H13" s="1">
        <v>43913</v>
      </c>
      <c r="I13" t="s">
        <v>54</v>
      </c>
      <c r="J13" t="s">
        <v>25</v>
      </c>
      <c r="K13" t="s">
        <v>51</v>
      </c>
      <c r="L13" s="2" t="s">
        <v>55</v>
      </c>
      <c r="M13" t="str">
        <f>TEXT(Table13[[#This Row],[Order Date]],"MMM")</f>
        <v>Mar</v>
      </c>
      <c r="N13">
        <f>YEAR(Table13[[#This Row],[Order Date]])</f>
        <v>2020</v>
      </c>
      <c r="O13" t="str">
        <f>"Q"&amp;ROUNDUP(MONTH(Table13[[#This Row],[Order Date]])/3,0)</f>
        <v>Q1</v>
      </c>
      <c r="P13" s="5">
        <f>Table13[[#This Row],[Profit]]/Table13[[#This Row],[Amount]]</f>
        <v>0.15529411764705883</v>
      </c>
      <c r="Q13" s="6">
        <f>Table13[[#This Row],[Amount]]/Table13[[#This Row],[Quantity]]</f>
        <v>212.5</v>
      </c>
    </row>
    <row r="14" spans="1:17" x14ac:dyDescent="0.3">
      <c r="A14" t="s">
        <v>56</v>
      </c>
      <c r="B14">
        <v>6851</v>
      </c>
      <c r="C14">
        <v>2812</v>
      </c>
      <c r="D14">
        <v>1</v>
      </c>
      <c r="E14" t="s">
        <v>30</v>
      </c>
      <c r="F14" t="s">
        <v>57</v>
      </c>
      <c r="G14" t="s">
        <v>32</v>
      </c>
      <c r="H14" s="1">
        <v>43955</v>
      </c>
      <c r="I14" t="s">
        <v>58</v>
      </c>
      <c r="J14" t="s">
        <v>17</v>
      </c>
      <c r="K14" t="s">
        <v>34</v>
      </c>
      <c r="L14" s="2" t="s">
        <v>59</v>
      </c>
      <c r="M14" t="str">
        <f>TEXT(Table13[[#This Row],[Order Date]],"MMM")</f>
        <v>May</v>
      </c>
      <c r="N14">
        <f>YEAR(Table13[[#This Row],[Order Date]])</f>
        <v>2020</v>
      </c>
      <c r="O14" t="str">
        <f>"Q"&amp;ROUNDUP(MONTH(Table13[[#This Row],[Order Date]])/3,0)</f>
        <v>Q2</v>
      </c>
      <c r="P14" s="5">
        <f>Table13[[#This Row],[Profit]]/Table13[[#This Row],[Amount]]</f>
        <v>0.41045102904685449</v>
      </c>
      <c r="Q14" s="6">
        <f>Table13[[#This Row],[Amount]]/Table13[[#This Row],[Quantity]]</f>
        <v>6851</v>
      </c>
    </row>
    <row r="15" spans="1:17" x14ac:dyDescent="0.3">
      <c r="A15" t="s">
        <v>56</v>
      </c>
      <c r="B15">
        <v>7626</v>
      </c>
      <c r="C15">
        <v>1046</v>
      </c>
      <c r="D15">
        <v>15</v>
      </c>
      <c r="E15" t="s">
        <v>45</v>
      </c>
      <c r="F15" t="s">
        <v>60</v>
      </c>
      <c r="G15" t="s">
        <v>47</v>
      </c>
      <c r="H15" s="1">
        <v>43955</v>
      </c>
      <c r="I15" t="s">
        <v>58</v>
      </c>
      <c r="J15" t="s">
        <v>17</v>
      </c>
      <c r="K15" t="s">
        <v>34</v>
      </c>
      <c r="L15" s="2" t="s">
        <v>59</v>
      </c>
      <c r="M15" t="str">
        <f>TEXT(Table13[[#This Row],[Order Date]],"MMM")</f>
        <v>May</v>
      </c>
      <c r="N15">
        <f>YEAR(Table13[[#This Row],[Order Date]])</f>
        <v>2020</v>
      </c>
      <c r="O15" t="str">
        <f>"Q"&amp;ROUNDUP(MONTH(Table13[[#This Row],[Order Date]])/3,0)</f>
        <v>Q2</v>
      </c>
      <c r="P15" s="5">
        <f>Table13[[#This Row],[Profit]]/Table13[[#This Row],[Amount]]</f>
        <v>0.13716233936532915</v>
      </c>
      <c r="Q15" s="6">
        <f>Table13[[#This Row],[Amount]]/Table13[[#This Row],[Quantity]]</f>
        <v>508.4</v>
      </c>
    </row>
    <row r="16" spans="1:17" x14ac:dyDescent="0.3">
      <c r="A16" t="s">
        <v>56</v>
      </c>
      <c r="B16">
        <v>1023</v>
      </c>
      <c r="C16">
        <v>78</v>
      </c>
      <c r="D16">
        <v>9</v>
      </c>
      <c r="E16" t="s">
        <v>45</v>
      </c>
      <c r="F16" t="s">
        <v>46</v>
      </c>
      <c r="G16" t="s">
        <v>15</v>
      </c>
      <c r="H16" s="1">
        <v>43955</v>
      </c>
      <c r="I16" t="s">
        <v>58</v>
      </c>
      <c r="J16" t="s">
        <v>17</v>
      </c>
      <c r="K16" t="s">
        <v>34</v>
      </c>
      <c r="L16" s="2" t="s">
        <v>59</v>
      </c>
      <c r="M16" t="str">
        <f>TEXT(Table13[[#This Row],[Order Date]],"MMM")</f>
        <v>May</v>
      </c>
      <c r="N16">
        <f>YEAR(Table13[[#This Row],[Order Date]])</f>
        <v>2020</v>
      </c>
      <c r="O16" t="str">
        <f>"Q"&amp;ROUNDUP(MONTH(Table13[[#This Row],[Order Date]])/3,0)</f>
        <v>Q2</v>
      </c>
      <c r="P16" s="5">
        <f>Table13[[#This Row],[Profit]]/Table13[[#This Row],[Amount]]</f>
        <v>7.6246334310850442E-2</v>
      </c>
      <c r="Q16" s="6">
        <f>Table13[[#This Row],[Amount]]/Table13[[#This Row],[Quantity]]</f>
        <v>113.66666666666667</v>
      </c>
    </row>
    <row r="17" spans="1:17" x14ac:dyDescent="0.3">
      <c r="A17" t="s">
        <v>61</v>
      </c>
      <c r="B17">
        <v>7600</v>
      </c>
      <c r="C17">
        <v>1098</v>
      </c>
      <c r="D17">
        <v>10</v>
      </c>
      <c r="E17" t="s">
        <v>30</v>
      </c>
      <c r="F17" t="s">
        <v>31</v>
      </c>
      <c r="G17" t="s">
        <v>15</v>
      </c>
      <c r="H17" s="1">
        <v>45239</v>
      </c>
      <c r="I17" t="s">
        <v>62</v>
      </c>
      <c r="J17" t="s">
        <v>21</v>
      </c>
      <c r="K17" t="s">
        <v>63</v>
      </c>
      <c r="L17" s="2" t="s">
        <v>52</v>
      </c>
      <c r="M17" t="str">
        <f>TEXT(Table13[[#This Row],[Order Date]],"MMM")</f>
        <v>Nov</v>
      </c>
      <c r="N17">
        <f>YEAR(Table13[[#This Row],[Order Date]])</f>
        <v>2023</v>
      </c>
      <c r="O17" t="str">
        <f>"Q"&amp;ROUNDUP(MONTH(Table13[[#This Row],[Order Date]])/3,0)</f>
        <v>Q4</v>
      </c>
      <c r="P17" s="5">
        <f>Table13[[#This Row],[Profit]]/Table13[[#This Row],[Amount]]</f>
        <v>0.14447368421052631</v>
      </c>
      <c r="Q17" s="6">
        <f>Table13[[#This Row],[Amount]]/Table13[[#This Row],[Quantity]]</f>
        <v>760</v>
      </c>
    </row>
    <row r="18" spans="1:17" x14ac:dyDescent="0.3">
      <c r="A18" t="s">
        <v>61</v>
      </c>
      <c r="B18">
        <v>7501</v>
      </c>
      <c r="C18">
        <v>262</v>
      </c>
      <c r="D18">
        <v>18</v>
      </c>
      <c r="E18" t="s">
        <v>30</v>
      </c>
      <c r="F18" t="s">
        <v>64</v>
      </c>
      <c r="G18" t="s">
        <v>65</v>
      </c>
      <c r="H18" s="1">
        <v>45239</v>
      </c>
      <c r="I18" t="s">
        <v>62</v>
      </c>
      <c r="J18" t="s">
        <v>21</v>
      </c>
      <c r="K18" t="s">
        <v>63</v>
      </c>
      <c r="L18" s="2" t="s">
        <v>52</v>
      </c>
      <c r="M18" t="str">
        <f>TEXT(Table13[[#This Row],[Order Date]],"MMM")</f>
        <v>Nov</v>
      </c>
      <c r="N18">
        <f>YEAR(Table13[[#This Row],[Order Date]])</f>
        <v>2023</v>
      </c>
      <c r="O18" t="str">
        <f>"Q"&amp;ROUNDUP(MONTH(Table13[[#This Row],[Order Date]])/3,0)</f>
        <v>Q4</v>
      </c>
      <c r="P18" s="5">
        <f>Table13[[#This Row],[Profit]]/Table13[[#This Row],[Amount]]</f>
        <v>3.4928676176509799E-2</v>
      </c>
      <c r="Q18" s="6">
        <f>Table13[[#This Row],[Amount]]/Table13[[#This Row],[Quantity]]</f>
        <v>416.72222222222223</v>
      </c>
    </row>
    <row r="19" spans="1:17" x14ac:dyDescent="0.3">
      <c r="A19" t="s">
        <v>66</v>
      </c>
      <c r="B19">
        <v>725</v>
      </c>
      <c r="C19">
        <v>133</v>
      </c>
      <c r="D19">
        <v>6</v>
      </c>
      <c r="E19" t="s">
        <v>30</v>
      </c>
      <c r="F19" t="s">
        <v>64</v>
      </c>
      <c r="G19" t="s">
        <v>47</v>
      </c>
      <c r="H19" s="1">
        <v>45656</v>
      </c>
      <c r="I19" t="s">
        <v>67</v>
      </c>
      <c r="J19" t="s">
        <v>1473</v>
      </c>
      <c r="K19" t="s">
        <v>68</v>
      </c>
      <c r="L19" s="2" t="s">
        <v>23</v>
      </c>
      <c r="M19" t="str">
        <f>TEXT(Table13[[#This Row],[Order Date]],"MMM")</f>
        <v>Dec</v>
      </c>
      <c r="N19">
        <f>YEAR(Table13[[#This Row],[Order Date]])</f>
        <v>2024</v>
      </c>
      <c r="O19" t="str">
        <f>"Q"&amp;ROUNDUP(MONTH(Table13[[#This Row],[Order Date]])/3,0)</f>
        <v>Q4</v>
      </c>
      <c r="P19" s="5">
        <f>Table13[[#This Row],[Profit]]/Table13[[#This Row],[Amount]]</f>
        <v>0.18344827586206897</v>
      </c>
      <c r="Q19" s="6">
        <f>Table13[[#This Row],[Amount]]/Table13[[#This Row],[Quantity]]</f>
        <v>120.83333333333333</v>
      </c>
    </row>
    <row r="20" spans="1:17" x14ac:dyDescent="0.3">
      <c r="A20" t="s">
        <v>66</v>
      </c>
      <c r="B20">
        <v>7201</v>
      </c>
      <c r="C20">
        <v>2685</v>
      </c>
      <c r="D20">
        <v>2</v>
      </c>
      <c r="E20" t="s">
        <v>45</v>
      </c>
      <c r="F20" t="s">
        <v>46</v>
      </c>
      <c r="G20" t="s">
        <v>47</v>
      </c>
      <c r="H20" s="1">
        <v>45656</v>
      </c>
      <c r="I20" t="s">
        <v>67</v>
      </c>
      <c r="J20" t="s">
        <v>25</v>
      </c>
      <c r="K20" t="s">
        <v>68</v>
      </c>
      <c r="L20" s="2" t="s">
        <v>23</v>
      </c>
      <c r="M20" t="str">
        <f>TEXT(Table13[[#This Row],[Order Date]],"MMM")</f>
        <v>Dec</v>
      </c>
      <c r="N20">
        <f>YEAR(Table13[[#This Row],[Order Date]])</f>
        <v>2024</v>
      </c>
      <c r="O20" t="str">
        <f>"Q"&amp;ROUNDUP(MONTH(Table13[[#This Row],[Order Date]])/3,0)</f>
        <v>Q4</v>
      </c>
      <c r="P20" s="5">
        <f>Table13[[#This Row],[Profit]]/Table13[[#This Row],[Amount]]</f>
        <v>0.37286487987779476</v>
      </c>
      <c r="Q20" s="6">
        <f>Table13[[#This Row],[Amount]]/Table13[[#This Row],[Quantity]]</f>
        <v>3600.5</v>
      </c>
    </row>
    <row r="21" spans="1:17" x14ac:dyDescent="0.3">
      <c r="A21" t="s">
        <v>69</v>
      </c>
      <c r="B21">
        <v>1629</v>
      </c>
      <c r="C21">
        <v>265</v>
      </c>
      <c r="D21">
        <v>1</v>
      </c>
      <c r="E21" t="s">
        <v>30</v>
      </c>
      <c r="F21" t="s">
        <v>64</v>
      </c>
      <c r="G21" t="s">
        <v>15</v>
      </c>
      <c r="H21" s="1">
        <v>45699</v>
      </c>
      <c r="I21" t="s">
        <v>70</v>
      </c>
      <c r="J21" t="s">
        <v>71</v>
      </c>
      <c r="K21" t="s">
        <v>72</v>
      </c>
      <c r="L21" s="2" t="s">
        <v>73</v>
      </c>
      <c r="M21" t="str">
        <f>TEXT(Table13[[#This Row],[Order Date]],"MMM")</f>
        <v>Feb</v>
      </c>
      <c r="N21">
        <f>YEAR(Table13[[#This Row],[Order Date]])</f>
        <v>2025</v>
      </c>
      <c r="O21" t="str">
        <f>"Q"&amp;ROUNDUP(MONTH(Table13[[#This Row],[Order Date]])/3,0)</f>
        <v>Q1</v>
      </c>
      <c r="P21" s="5">
        <f>Table13[[#This Row],[Profit]]/Table13[[#This Row],[Amount]]</f>
        <v>0.16267648864333947</v>
      </c>
      <c r="Q21" s="6">
        <f>Table13[[#This Row],[Amount]]/Table13[[#This Row],[Quantity]]</f>
        <v>1629</v>
      </c>
    </row>
    <row r="22" spans="1:17" x14ac:dyDescent="0.3">
      <c r="A22" t="s">
        <v>69</v>
      </c>
      <c r="B22">
        <v>1629</v>
      </c>
      <c r="C22">
        <v>265</v>
      </c>
      <c r="D22">
        <v>1</v>
      </c>
      <c r="E22" t="s">
        <v>30</v>
      </c>
      <c r="F22" t="s">
        <v>64</v>
      </c>
      <c r="G22" t="s">
        <v>15</v>
      </c>
      <c r="H22" s="1">
        <v>45314</v>
      </c>
      <c r="I22" t="s">
        <v>74</v>
      </c>
      <c r="J22" t="s">
        <v>42</v>
      </c>
      <c r="K22" t="s">
        <v>75</v>
      </c>
      <c r="L22" s="2" t="s">
        <v>76</v>
      </c>
      <c r="M22" t="str">
        <f>TEXT(Table13[[#This Row],[Order Date]],"MMM")</f>
        <v>Jan</v>
      </c>
      <c r="N22">
        <f>YEAR(Table13[[#This Row],[Order Date]])</f>
        <v>2024</v>
      </c>
      <c r="O22" t="str">
        <f>"Q"&amp;ROUNDUP(MONTH(Table13[[#This Row],[Order Date]])/3,0)</f>
        <v>Q1</v>
      </c>
      <c r="P22" s="5">
        <f>Table13[[#This Row],[Profit]]/Table13[[#This Row],[Amount]]</f>
        <v>0.16267648864333947</v>
      </c>
      <c r="Q22" s="6">
        <f>Table13[[#This Row],[Amount]]/Table13[[#This Row],[Quantity]]</f>
        <v>1629</v>
      </c>
    </row>
    <row r="23" spans="1:17" x14ac:dyDescent="0.3">
      <c r="A23" t="s">
        <v>77</v>
      </c>
      <c r="B23">
        <v>8971</v>
      </c>
      <c r="C23">
        <v>2971</v>
      </c>
      <c r="D23">
        <v>19</v>
      </c>
      <c r="E23" t="s">
        <v>30</v>
      </c>
      <c r="F23" t="s">
        <v>78</v>
      </c>
      <c r="G23" t="s">
        <v>32</v>
      </c>
      <c r="H23" s="1">
        <v>44163</v>
      </c>
      <c r="I23" t="s">
        <v>79</v>
      </c>
      <c r="J23" t="s">
        <v>42</v>
      </c>
      <c r="K23" t="s">
        <v>75</v>
      </c>
      <c r="L23" s="2" t="s">
        <v>80</v>
      </c>
      <c r="M23" t="str">
        <f>TEXT(Table13[[#This Row],[Order Date]],"MMM")</f>
        <v>Nov</v>
      </c>
      <c r="N23">
        <f>YEAR(Table13[[#This Row],[Order Date]])</f>
        <v>2020</v>
      </c>
      <c r="O23" t="str">
        <f>"Q"&amp;ROUNDUP(MONTH(Table13[[#This Row],[Order Date]])/3,0)</f>
        <v>Q4</v>
      </c>
      <c r="P23" s="5">
        <f>Table13[[#This Row],[Profit]]/Table13[[#This Row],[Amount]]</f>
        <v>0.33117824099877385</v>
      </c>
      <c r="Q23" s="6">
        <f>Table13[[#This Row],[Amount]]/Table13[[#This Row],[Quantity]]</f>
        <v>472.15789473684208</v>
      </c>
    </row>
    <row r="24" spans="1:17" x14ac:dyDescent="0.3">
      <c r="A24" t="s">
        <v>77</v>
      </c>
      <c r="B24">
        <v>2939</v>
      </c>
      <c r="C24">
        <v>894</v>
      </c>
      <c r="D24">
        <v>20</v>
      </c>
      <c r="E24" t="s">
        <v>30</v>
      </c>
      <c r="F24" t="s">
        <v>78</v>
      </c>
      <c r="G24" t="s">
        <v>65</v>
      </c>
      <c r="H24" s="1">
        <v>44163</v>
      </c>
      <c r="I24" t="s">
        <v>79</v>
      </c>
      <c r="J24" t="s">
        <v>42</v>
      </c>
      <c r="K24" t="s">
        <v>75</v>
      </c>
      <c r="L24" s="2" t="s">
        <v>80</v>
      </c>
      <c r="M24" t="str">
        <f>TEXT(Table13[[#This Row],[Order Date]],"MMM")</f>
        <v>Nov</v>
      </c>
      <c r="N24">
        <f>YEAR(Table13[[#This Row],[Order Date]])</f>
        <v>2020</v>
      </c>
      <c r="O24" t="str">
        <f>"Q"&amp;ROUNDUP(MONTH(Table13[[#This Row],[Order Date]])/3,0)</f>
        <v>Q4</v>
      </c>
      <c r="P24" s="5">
        <f>Table13[[#This Row],[Profit]]/Table13[[#This Row],[Amount]]</f>
        <v>0.30418509697175911</v>
      </c>
      <c r="Q24" s="6">
        <f>Table13[[#This Row],[Amount]]/Table13[[#This Row],[Quantity]]</f>
        <v>146.94999999999999</v>
      </c>
    </row>
    <row r="25" spans="1:17" x14ac:dyDescent="0.3">
      <c r="A25" t="s">
        <v>81</v>
      </c>
      <c r="B25">
        <v>9380</v>
      </c>
      <c r="C25">
        <v>414</v>
      </c>
      <c r="D25">
        <v>11</v>
      </c>
      <c r="E25" t="s">
        <v>13</v>
      </c>
      <c r="F25" t="s">
        <v>82</v>
      </c>
      <c r="G25" t="s">
        <v>15</v>
      </c>
      <c r="H25" s="1">
        <v>45442</v>
      </c>
      <c r="I25" t="s">
        <v>83</v>
      </c>
      <c r="J25" t="s">
        <v>25</v>
      </c>
      <c r="K25" t="s">
        <v>68</v>
      </c>
      <c r="L25" s="2" t="s">
        <v>35</v>
      </c>
      <c r="M25" t="str">
        <f>TEXT(Table13[[#This Row],[Order Date]],"MMM")</f>
        <v>May</v>
      </c>
      <c r="N25">
        <f>YEAR(Table13[[#This Row],[Order Date]])</f>
        <v>2024</v>
      </c>
      <c r="O25" t="str">
        <f>"Q"&amp;ROUNDUP(MONTH(Table13[[#This Row],[Order Date]])/3,0)</f>
        <v>Q2</v>
      </c>
      <c r="P25" s="5">
        <f>Table13[[#This Row],[Profit]]/Table13[[#This Row],[Amount]]</f>
        <v>4.4136460554371003E-2</v>
      </c>
      <c r="Q25" s="6">
        <f>Table13[[#This Row],[Amount]]/Table13[[#This Row],[Quantity]]</f>
        <v>852.72727272727275</v>
      </c>
    </row>
    <row r="26" spans="1:17" x14ac:dyDescent="0.3">
      <c r="A26" t="s">
        <v>81</v>
      </c>
      <c r="B26">
        <v>8558</v>
      </c>
      <c r="C26">
        <v>1644</v>
      </c>
      <c r="D26">
        <v>18</v>
      </c>
      <c r="E26" t="s">
        <v>30</v>
      </c>
      <c r="F26" t="s">
        <v>78</v>
      </c>
      <c r="G26" t="s">
        <v>47</v>
      </c>
      <c r="H26" s="1">
        <v>45442</v>
      </c>
      <c r="I26" t="s">
        <v>83</v>
      </c>
      <c r="J26" t="s">
        <v>25</v>
      </c>
      <c r="K26" t="s">
        <v>68</v>
      </c>
      <c r="L26" s="2" t="s">
        <v>35</v>
      </c>
      <c r="M26" t="str">
        <f>TEXT(Table13[[#This Row],[Order Date]],"MMM")</f>
        <v>May</v>
      </c>
      <c r="N26">
        <f>YEAR(Table13[[#This Row],[Order Date]])</f>
        <v>2024</v>
      </c>
      <c r="O26" t="str">
        <f>"Q"&amp;ROUNDUP(MONTH(Table13[[#This Row],[Order Date]])/3,0)</f>
        <v>Q2</v>
      </c>
      <c r="P26" s="5">
        <f>Table13[[#This Row],[Profit]]/Table13[[#This Row],[Amount]]</f>
        <v>0.19210095816779621</v>
      </c>
      <c r="Q26" s="6">
        <f>Table13[[#This Row],[Amount]]/Table13[[#This Row],[Quantity]]</f>
        <v>475.44444444444446</v>
      </c>
    </row>
    <row r="27" spans="1:17" x14ac:dyDescent="0.3">
      <c r="A27" t="s">
        <v>81</v>
      </c>
      <c r="B27">
        <v>4080</v>
      </c>
      <c r="C27">
        <v>72</v>
      </c>
      <c r="D27">
        <v>17</v>
      </c>
      <c r="E27" t="s">
        <v>30</v>
      </c>
      <c r="F27" t="s">
        <v>64</v>
      </c>
      <c r="G27" t="s">
        <v>65</v>
      </c>
      <c r="H27" s="1">
        <v>45442</v>
      </c>
      <c r="I27" t="s">
        <v>83</v>
      </c>
      <c r="J27" t="s">
        <v>25</v>
      </c>
      <c r="K27" t="s">
        <v>68</v>
      </c>
      <c r="L27" s="2" t="s">
        <v>35</v>
      </c>
      <c r="M27" t="str">
        <f>TEXT(Table13[[#This Row],[Order Date]],"MMM")</f>
        <v>May</v>
      </c>
      <c r="N27">
        <f>YEAR(Table13[[#This Row],[Order Date]])</f>
        <v>2024</v>
      </c>
      <c r="O27" t="str">
        <f>"Q"&amp;ROUNDUP(MONTH(Table13[[#This Row],[Order Date]])/3,0)</f>
        <v>Q2</v>
      </c>
      <c r="P27" s="5">
        <f>Table13[[#This Row],[Profit]]/Table13[[#This Row],[Amount]]</f>
        <v>1.7647058823529412E-2</v>
      </c>
      <c r="Q27" s="6">
        <f>Table13[[#This Row],[Amount]]/Table13[[#This Row],[Quantity]]</f>
        <v>240</v>
      </c>
    </row>
    <row r="28" spans="1:17" x14ac:dyDescent="0.3">
      <c r="A28" t="s">
        <v>84</v>
      </c>
      <c r="B28">
        <v>4206</v>
      </c>
      <c r="C28">
        <v>1821</v>
      </c>
      <c r="D28">
        <v>17</v>
      </c>
      <c r="E28" t="s">
        <v>13</v>
      </c>
      <c r="F28" t="s">
        <v>14</v>
      </c>
      <c r="G28" t="s">
        <v>40</v>
      </c>
      <c r="H28" s="1">
        <v>44584</v>
      </c>
      <c r="I28" t="s">
        <v>85</v>
      </c>
      <c r="J28" t="s">
        <v>71</v>
      </c>
      <c r="K28" t="s">
        <v>86</v>
      </c>
      <c r="L28" s="2" t="s">
        <v>87</v>
      </c>
      <c r="M28" t="str">
        <f>TEXT(Table13[[#This Row],[Order Date]],"MMM")</f>
        <v>Jan</v>
      </c>
      <c r="N28">
        <f>YEAR(Table13[[#This Row],[Order Date]])</f>
        <v>2022</v>
      </c>
      <c r="O28" t="str">
        <f>"Q"&amp;ROUNDUP(MONTH(Table13[[#This Row],[Order Date]])/3,0)</f>
        <v>Q1</v>
      </c>
      <c r="P28" s="5">
        <f>Table13[[#This Row],[Profit]]/Table13[[#This Row],[Amount]]</f>
        <v>0.43295292439372324</v>
      </c>
      <c r="Q28" s="6">
        <f>Table13[[#This Row],[Amount]]/Table13[[#This Row],[Quantity]]</f>
        <v>247.41176470588235</v>
      </c>
    </row>
    <row r="29" spans="1:17" x14ac:dyDescent="0.3">
      <c r="A29" t="s">
        <v>88</v>
      </c>
      <c r="B29">
        <v>5219</v>
      </c>
      <c r="C29">
        <v>1180</v>
      </c>
      <c r="D29">
        <v>20</v>
      </c>
      <c r="E29" t="s">
        <v>30</v>
      </c>
      <c r="F29" t="s">
        <v>78</v>
      </c>
      <c r="G29" t="s">
        <v>65</v>
      </c>
      <c r="H29" s="1">
        <v>44547</v>
      </c>
      <c r="I29" t="s">
        <v>89</v>
      </c>
      <c r="J29" t="s">
        <v>25</v>
      </c>
      <c r="K29" t="s">
        <v>51</v>
      </c>
      <c r="L29" s="2" t="s">
        <v>90</v>
      </c>
      <c r="M29" t="str">
        <f>TEXT(Table13[[#This Row],[Order Date]],"MMM")</f>
        <v>Dec</v>
      </c>
      <c r="N29">
        <f>YEAR(Table13[[#This Row],[Order Date]])</f>
        <v>2021</v>
      </c>
      <c r="O29" t="str">
        <f>"Q"&amp;ROUNDUP(MONTH(Table13[[#This Row],[Order Date]])/3,0)</f>
        <v>Q4</v>
      </c>
      <c r="P29" s="5">
        <f>Table13[[#This Row],[Profit]]/Table13[[#This Row],[Amount]]</f>
        <v>0.22609695343935621</v>
      </c>
      <c r="Q29" s="6">
        <f>Table13[[#This Row],[Amount]]/Table13[[#This Row],[Quantity]]</f>
        <v>260.95</v>
      </c>
    </row>
    <row r="30" spans="1:17" x14ac:dyDescent="0.3">
      <c r="A30" t="s">
        <v>88</v>
      </c>
      <c r="B30">
        <v>5219</v>
      </c>
      <c r="C30">
        <v>1180</v>
      </c>
      <c r="D30">
        <v>20</v>
      </c>
      <c r="E30" t="s">
        <v>30</v>
      </c>
      <c r="F30" t="s">
        <v>78</v>
      </c>
      <c r="G30" t="s">
        <v>65</v>
      </c>
      <c r="H30" s="1">
        <v>44960</v>
      </c>
      <c r="I30" t="s">
        <v>91</v>
      </c>
      <c r="J30" t="s">
        <v>42</v>
      </c>
      <c r="K30" t="s">
        <v>92</v>
      </c>
      <c r="L30" s="2" t="s">
        <v>93</v>
      </c>
      <c r="M30" t="str">
        <f>TEXT(Table13[[#This Row],[Order Date]],"MMM")</f>
        <v>Feb</v>
      </c>
      <c r="N30">
        <f>YEAR(Table13[[#This Row],[Order Date]])</f>
        <v>2023</v>
      </c>
      <c r="O30" t="str">
        <f>"Q"&amp;ROUNDUP(MONTH(Table13[[#This Row],[Order Date]])/3,0)</f>
        <v>Q1</v>
      </c>
      <c r="P30" s="5">
        <f>Table13[[#This Row],[Profit]]/Table13[[#This Row],[Amount]]</f>
        <v>0.22609695343935621</v>
      </c>
      <c r="Q30" s="6">
        <f>Table13[[#This Row],[Amount]]/Table13[[#This Row],[Quantity]]</f>
        <v>260.95</v>
      </c>
    </row>
    <row r="31" spans="1:17" x14ac:dyDescent="0.3">
      <c r="A31" t="s">
        <v>94</v>
      </c>
      <c r="B31">
        <v>3686</v>
      </c>
      <c r="C31">
        <v>760</v>
      </c>
      <c r="D31">
        <v>20</v>
      </c>
      <c r="E31" t="s">
        <v>30</v>
      </c>
      <c r="F31" t="s">
        <v>31</v>
      </c>
      <c r="G31" t="s">
        <v>32</v>
      </c>
      <c r="H31" s="1">
        <v>44864</v>
      </c>
      <c r="I31" t="s">
        <v>95</v>
      </c>
      <c r="J31" t="s">
        <v>42</v>
      </c>
      <c r="K31" t="s">
        <v>92</v>
      </c>
      <c r="L31" s="2" t="s">
        <v>96</v>
      </c>
      <c r="M31" t="str">
        <f>TEXT(Table13[[#This Row],[Order Date]],"MMM")</f>
        <v>Oct</v>
      </c>
      <c r="N31">
        <f>YEAR(Table13[[#This Row],[Order Date]])</f>
        <v>2022</v>
      </c>
      <c r="O31" t="str">
        <f>"Q"&amp;ROUNDUP(MONTH(Table13[[#This Row],[Order Date]])/3,0)</f>
        <v>Q4</v>
      </c>
      <c r="P31" s="5">
        <f>Table13[[#This Row],[Profit]]/Table13[[#This Row],[Amount]]</f>
        <v>0.20618556701030927</v>
      </c>
      <c r="Q31" s="6">
        <f>Table13[[#This Row],[Amount]]/Table13[[#This Row],[Quantity]]</f>
        <v>184.3</v>
      </c>
    </row>
    <row r="32" spans="1:17" x14ac:dyDescent="0.3">
      <c r="A32" t="s">
        <v>94</v>
      </c>
      <c r="B32">
        <v>3686</v>
      </c>
      <c r="C32">
        <v>760</v>
      </c>
      <c r="D32">
        <v>20</v>
      </c>
      <c r="E32" t="s">
        <v>30</v>
      </c>
      <c r="F32" t="s">
        <v>31</v>
      </c>
      <c r="G32" t="s">
        <v>32</v>
      </c>
      <c r="H32" s="1">
        <v>44576</v>
      </c>
      <c r="I32" t="s">
        <v>97</v>
      </c>
      <c r="J32" t="s">
        <v>98</v>
      </c>
      <c r="K32" t="s">
        <v>99</v>
      </c>
      <c r="L32" s="2" t="s">
        <v>87</v>
      </c>
      <c r="M32" t="str">
        <f>TEXT(Table13[[#This Row],[Order Date]],"MMM")</f>
        <v>Jan</v>
      </c>
      <c r="N32">
        <f>YEAR(Table13[[#This Row],[Order Date]])</f>
        <v>2022</v>
      </c>
      <c r="O32" t="str">
        <f>"Q"&amp;ROUNDUP(MONTH(Table13[[#This Row],[Order Date]])/3,0)</f>
        <v>Q1</v>
      </c>
      <c r="P32" s="5">
        <f>Table13[[#This Row],[Profit]]/Table13[[#This Row],[Amount]]</f>
        <v>0.20618556701030927</v>
      </c>
      <c r="Q32" s="6">
        <f>Table13[[#This Row],[Amount]]/Table13[[#This Row],[Quantity]]</f>
        <v>184.3</v>
      </c>
    </row>
    <row r="33" spans="1:17" x14ac:dyDescent="0.3">
      <c r="A33" t="s">
        <v>100</v>
      </c>
      <c r="B33">
        <v>6045</v>
      </c>
      <c r="C33">
        <v>1606</v>
      </c>
      <c r="D33">
        <v>4</v>
      </c>
      <c r="E33" t="s">
        <v>30</v>
      </c>
      <c r="F33" t="s">
        <v>64</v>
      </c>
      <c r="G33" t="s">
        <v>65</v>
      </c>
      <c r="H33" s="1">
        <v>45274</v>
      </c>
      <c r="I33" t="s">
        <v>101</v>
      </c>
      <c r="J33" t="s">
        <v>17</v>
      </c>
      <c r="K33" t="s">
        <v>34</v>
      </c>
      <c r="L33" s="2" t="s">
        <v>102</v>
      </c>
      <c r="M33" t="str">
        <f>TEXT(Table13[[#This Row],[Order Date]],"MMM")</f>
        <v>Dec</v>
      </c>
      <c r="N33">
        <f>YEAR(Table13[[#This Row],[Order Date]])</f>
        <v>2023</v>
      </c>
      <c r="O33" t="str">
        <f>"Q"&amp;ROUNDUP(MONTH(Table13[[#This Row],[Order Date]])/3,0)</f>
        <v>Q4</v>
      </c>
      <c r="P33" s="5">
        <f>Table13[[#This Row],[Profit]]/Table13[[#This Row],[Amount]]</f>
        <v>0.26567411083540116</v>
      </c>
      <c r="Q33" s="6">
        <f>Table13[[#This Row],[Amount]]/Table13[[#This Row],[Quantity]]</f>
        <v>1511.25</v>
      </c>
    </row>
    <row r="34" spans="1:17" x14ac:dyDescent="0.3">
      <c r="A34" t="s">
        <v>100</v>
      </c>
      <c r="B34">
        <v>9337</v>
      </c>
      <c r="C34">
        <v>554</v>
      </c>
      <c r="D34">
        <v>11</v>
      </c>
      <c r="E34" t="s">
        <v>30</v>
      </c>
      <c r="F34" t="s">
        <v>31</v>
      </c>
      <c r="G34" t="s">
        <v>65</v>
      </c>
      <c r="H34" s="1">
        <v>45274</v>
      </c>
      <c r="I34" t="s">
        <v>101</v>
      </c>
      <c r="J34" t="s">
        <v>17</v>
      </c>
      <c r="K34" t="s">
        <v>34</v>
      </c>
      <c r="L34" s="2" t="s">
        <v>102</v>
      </c>
      <c r="M34" t="str">
        <f>TEXT(Table13[[#This Row],[Order Date]],"MMM")</f>
        <v>Dec</v>
      </c>
      <c r="N34">
        <f>YEAR(Table13[[#This Row],[Order Date]])</f>
        <v>2023</v>
      </c>
      <c r="O34" t="str">
        <f>"Q"&amp;ROUNDUP(MONTH(Table13[[#This Row],[Order Date]])/3,0)</f>
        <v>Q4</v>
      </c>
      <c r="P34" s="5">
        <f>Table13[[#This Row],[Profit]]/Table13[[#This Row],[Amount]]</f>
        <v>5.9333833136981901E-2</v>
      </c>
      <c r="Q34" s="6">
        <f>Table13[[#This Row],[Amount]]/Table13[[#This Row],[Quantity]]</f>
        <v>848.81818181818187</v>
      </c>
    </row>
    <row r="35" spans="1:17" x14ac:dyDescent="0.3">
      <c r="A35" t="s">
        <v>103</v>
      </c>
      <c r="B35">
        <v>4051</v>
      </c>
      <c r="C35">
        <v>1848</v>
      </c>
      <c r="D35">
        <v>12</v>
      </c>
      <c r="E35" t="s">
        <v>13</v>
      </c>
      <c r="F35" t="s">
        <v>82</v>
      </c>
      <c r="G35" t="s">
        <v>47</v>
      </c>
      <c r="H35" s="1">
        <v>45110</v>
      </c>
      <c r="I35" t="s">
        <v>104</v>
      </c>
      <c r="J35" t="s">
        <v>42</v>
      </c>
      <c r="K35" t="s">
        <v>75</v>
      </c>
      <c r="L35" s="2" t="s">
        <v>105</v>
      </c>
      <c r="M35" t="str">
        <f>TEXT(Table13[[#This Row],[Order Date]],"MMM")</f>
        <v>Jul</v>
      </c>
      <c r="N35">
        <f>YEAR(Table13[[#This Row],[Order Date]])</f>
        <v>2023</v>
      </c>
      <c r="O35" t="str">
        <f>"Q"&amp;ROUNDUP(MONTH(Table13[[#This Row],[Order Date]])/3,0)</f>
        <v>Q3</v>
      </c>
      <c r="P35" s="5">
        <f>Table13[[#This Row],[Profit]]/Table13[[#This Row],[Amount]]</f>
        <v>0.45618365835596147</v>
      </c>
      <c r="Q35" s="6">
        <f>Table13[[#This Row],[Amount]]/Table13[[#This Row],[Quantity]]</f>
        <v>337.58333333333331</v>
      </c>
    </row>
    <row r="36" spans="1:17" x14ac:dyDescent="0.3">
      <c r="A36" t="s">
        <v>103</v>
      </c>
      <c r="B36">
        <v>4051</v>
      </c>
      <c r="C36">
        <v>1848</v>
      </c>
      <c r="D36">
        <v>12</v>
      </c>
      <c r="E36" t="s">
        <v>13</v>
      </c>
      <c r="F36" t="s">
        <v>82</v>
      </c>
      <c r="G36" t="s">
        <v>47</v>
      </c>
      <c r="H36" s="1">
        <v>44324</v>
      </c>
      <c r="I36" t="s">
        <v>106</v>
      </c>
      <c r="J36" t="s">
        <v>98</v>
      </c>
      <c r="K36" t="s">
        <v>107</v>
      </c>
      <c r="L36" s="2" t="s">
        <v>108</v>
      </c>
      <c r="M36" t="str">
        <f>TEXT(Table13[[#This Row],[Order Date]],"MMM")</f>
        <v>May</v>
      </c>
      <c r="N36">
        <f>YEAR(Table13[[#This Row],[Order Date]])</f>
        <v>2021</v>
      </c>
      <c r="O36" t="str">
        <f>"Q"&amp;ROUNDUP(MONTH(Table13[[#This Row],[Order Date]])/3,0)</f>
        <v>Q2</v>
      </c>
      <c r="P36" s="5">
        <f>Table13[[#This Row],[Profit]]/Table13[[#This Row],[Amount]]</f>
        <v>0.45618365835596147</v>
      </c>
      <c r="Q36" s="6">
        <f>Table13[[#This Row],[Amount]]/Table13[[#This Row],[Quantity]]</f>
        <v>337.58333333333331</v>
      </c>
    </row>
    <row r="37" spans="1:17" x14ac:dyDescent="0.3">
      <c r="A37" t="s">
        <v>103</v>
      </c>
      <c r="B37">
        <v>5011</v>
      </c>
      <c r="C37">
        <v>866</v>
      </c>
      <c r="D37">
        <v>11</v>
      </c>
      <c r="E37" t="s">
        <v>45</v>
      </c>
      <c r="F37" t="s">
        <v>109</v>
      </c>
      <c r="G37" t="s">
        <v>47</v>
      </c>
      <c r="H37" s="1">
        <v>45110</v>
      </c>
      <c r="I37" t="s">
        <v>104</v>
      </c>
      <c r="J37" t="s">
        <v>42</v>
      </c>
      <c r="K37" t="s">
        <v>75</v>
      </c>
      <c r="L37" s="2" t="s">
        <v>105</v>
      </c>
      <c r="M37" t="str">
        <f>TEXT(Table13[[#This Row],[Order Date]],"MMM")</f>
        <v>Jul</v>
      </c>
      <c r="N37">
        <f>YEAR(Table13[[#This Row],[Order Date]])</f>
        <v>2023</v>
      </c>
      <c r="O37" t="str">
        <f>"Q"&amp;ROUNDUP(MONTH(Table13[[#This Row],[Order Date]])/3,0)</f>
        <v>Q3</v>
      </c>
      <c r="P37" s="5">
        <f>Table13[[#This Row],[Profit]]/Table13[[#This Row],[Amount]]</f>
        <v>0.17281979644781481</v>
      </c>
      <c r="Q37" s="6">
        <f>Table13[[#This Row],[Amount]]/Table13[[#This Row],[Quantity]]</f>
        <v>455.54545454545456</v>
      </c>
    </row>
    <row r="38" spans="1:17" x14ac:dyDescent="0.3">
      <c r="A38" t="s">
        <v>103</v>
      </c>
      <c r="B38">
        <v>5011</v>
      </c>
      <c r="C38">
        <v>866</v>
      </c>
      <c r="D38">
        <v>11</v>
      </c>
      <c r="E38" t="s">
        <v>45</v>
      </c>
      <c r="F38" t="s">
        <v>109</v>
      </c>
      <c r="G38" t="s">
        <v>47</v>
      </c>
      <c r="H38" s="1">
        <v>44324</v>
      </c>
      <c r="I38" t="s">
        <v>106</v>
      </c>
      <c r="J38" t="s">
        <v>98</v>
      </c>
      <c r="K38" t="s">
        <v>107</v>
      </c>
      <c r="L38" s="2" t="s">
        <v>108</v>
      </c>
      <c r="M38" t="str">
        <f>TEXT(Table13[[#This Row],[Order Date]],"MMM")</f>
        <v>May</v>
      </c>
      <c r="N38">
        <f>YEAR(Table13[[#This Row],[Order Date]])</f>
        <v>2021</v>
      </c>
      <c r="O38" t="str">
        <f>"Q"&amp;ROUNDUP(MONTH(Table13[[#This Row],[Order Date]])/3,0)</f>
        <v>Q2</v>
      </c>
      <c r="P38" s="5">
        <f>Table13[[#This Row],[Profit]]/Table13[[#This Row],[Amount]]</f>
        <v>0.17281979644781481</v>
      </c>
      <c r="Q38" s="6">
        <f>Table13[[#This Row],[Amount]]/Table13[[#This Row],[Quantity]]</f>
        <v>455.54545454545456</v>
      </c>
    </row>
    <row r="39" spans="1:17" x14ac:dyDescent="0.3">
      <c r="A39" t="s">
        <v>110</v>
      </c>
      <c r="B39">
        <v>3958</v>
      </c>
      <c r="C39">
        <v>630</v>
      </c>
      <c r="D39">
        <v>15</v>
      </c>
      <c r="E39" t="s">
        <v>45</v>
      </c>
      <c r="F39" t="s">
        <v>60</v>
      </c>
      <c r="G39" t="s">
        <v>40</v>
      </c>
      <c r="H39" s="1">
        <v>44841</v>
      </c>
      <c r="I39" t="s">
        <v>111</v>
      </c>
      <c r="J39" t="s">
        <v>17</v>
      </c>
      <c r="K39" t="s">
        <v>34</v>
      </c>
      <c r="L39" s="2" t="s">
        <v>96</v>
      </c>
      <c r="M39" t="str">
        <f>TEXT(Table13[[#This Row],[Order Date]],"MMM")</f>
        <v>Oct</v>
      </c>
      <c r="N39">
        <f>YEAR(Table13[[#This Row],[Order Date]])</f>
        <v>2022</v>
      </c>
      <c r="O39" t="str">
        <f>"Q"&amp;ROUNDUP(MONTH(Table13[[#This Row],[Order Date]])/3,0)</f>
        <v>Q4</v>
      </c>
      <c r="P39" s="5">
        <f>Table13[[#This Row],[Profit]]/Table13[[#This Row],[Amount]]</f>
        <v>0.15917129863567459</v>
      </c>
      <c r="Q39" s="6">
        <f>Table13[[#This Row],[Amount]]/Table13[[#This Row],[Quantity]]</f>
        <v>263.86666666666667</v>
      </c>
    </row>
    <row r="40" spans="1:17" x14ac:dyDescent="0.3">
      <c r="A40" t="s">
        <v>110</v>
      </c>
      <c r="B40">
        <v>3132</v>
      </c>
      <c r="C40">
        <v>963</v>
      </c>
      <c r="D40">
        <v>1</v>
      </c>
      <c r="E40" t="s">
        <v>45</v>
      </c>
      <c r="F40" t="s">
        <v>46</v>
      </c>
      <c r="G40" t="s">
        <v>32</v>
      </c>
      <c r="H40" s="1">
        <v>44841</v>
      </c>
      <c r="I40" t="s">
        <v>111</v>
      </c>
      <c r="J40" t="s">
        <v>17</v>
      </c>
      <c r="K40" t="s">
        <v>34</v>
      </c>
      <c r="L40" s="2" t="s">
        <v>96</v>
      </c>
      <c r="M40" t="str">
        <f>TEXT(Table13[[#This Row],[Order Date]],"MMM")</f>
        <v>Oct</v>
      </c>
      <c r="N40">
        <f>YEAR(Table13[[#This Row],[Order Date]])</f>
        <v>2022</v>
      </c>
      <c r="O40" t="str">
        <f>"Q"&amp;ROUNDUP(MONTH(Table13[[#This Row],[Order Date]])/3,0)</f>
        <v>Q4</v>
      </c>
      <c r="P40" s="5">
        <f>Table13[[#This Row],[Profit]]/Table13[[#This Row],[Amount]]</f>
        <v>0.30747126436781608</v>
      </c>
      <c r="Q40" s="6">
        <f>Table13[[#This Row],[Amount]]/Table13[[#This Row],[Quantity]]</f>
        <v>3132</v>
      </c>
    </row>
    <row r="41" spans="1:17" x14ac:dyDescent="0.3">
      <c r="A41" t="s">
        <v>112</v>
      </c>
      <c r="B41">
        <v>7784</v>
      </c>
      <c r="C41">
        <v>2937</v>
      </c>
      <c r="D41">
        <v>12</v>
      </c>
      <c r="E41" t="s">
        <v>30</v>
      </c>
      <c r="F41" t="s">
        <v>57</v>
      </c>
      <c r="G41" t="s">
        <v>15</v>
      </c>
      <c r="H41" s="1">
        <v>45510</v>
      </c>
      <c r="I41" t="s">
        <v>113</v>
      </c>
      <c r="J41" t="s">
        <v>42</v>
      </c>
      <c r="K41" t="s">
        <v>92</v>
      </c>
      <c r="L41" s="2" t="s">
        <v>114</v>
      </c>
      <c r="M41" t="str">
        <f>TEXT(Table13[[#This Row],[Order Date]],"MMM")</f>
        <v>Aug</v>
      </c>
      <c r="N41">
        <f>YEAR(Table13[[#This Row],[Order Date]])</f>
        <v>2024</v>
      </c>
      <c r="O41" t="str">
        <f>"Q"&amp;ROUNDUP(MONTH(Table13[[#This Row],[Order Date]])/3,0)</f>
        <v>Q3</v>
      </c>
      <c r="P41" s="5">
        <f>Table13[[#This Row],[Profit]]/Table13[[#This Row],[Amount]]</f>
        <v>0.37731243576567319</v>
      </c>
      <c r="Q41" s="6">
        <f>Table13[[#This Row],[Amount]]/Table13[[#This Row],[Quantity]]</f>
        <v>648.66666666666663</v>
      </c>
    </row>
    <row r="42" spans="1:17" x14ac:dyDescent="0.3">
      <c r="A42" t="s">
        <v>112</v>
      </c>
      <c r="B42">
        <v>5591</v>
      </c>
      <c r="C42">
        <v>1696</v>
      </c>
      <c r="D42">
        <v>3</v>
      </c>
      <c r="E42" t="s">
        <v>30</v>
      </c>
      <c r="F42" t="s">
        <v>31</v>
      </c>
      <c r="G42" t="s">
        <v>65</v>
      </c>
      <c r="H42" s="1">
        <v>45510</v>
      </c>
      <c r="I42" t="s">
        <v>113</v>
      </c>
      <c r="J42" t="s">
        <v>42</v>
      </c>
      <c r="K42" t="s">
        <v>92</v>
      </c>
      <c r="L42" s="2" t="s">
        <v>114</v>
      </c>
      <c r="M42" t="str">
        <f>TEXT(Table13[[#This Row],[Order Date]],"MMM")</f>
        <v>Aug</v>
      </c>
      <c r="N42">
        <f>YEAR(Table13[[#This Row],[Order Date]])</f>
        <v>2024</v>
      </c>
      <c r="O42" t="str">
        <f>"Q"&amp;ROUNDUP(MONTH(Table13[[#This Row],[Order Date]])/3,0)</f>
        <v>Q3</v>
      </c>
      <c r="P42" s="5">
        <f>Table13[[#This Row],[Profit]]/Table13[[#This Row],[Amount]]</f>
        <v>0.30334466106242175</v>
      </c>
      <c r="Q42" s="6">
        <f>Table13[[#This Row],[Amount]]/Table13[[#This Row],[Quantity]]</f>
        <v>1863.6666666666667</v>
      </c>
    </row>
    <row r="43" spans="1:17" x14ac:dyDescent="0.3">
      <c r="A43" t="s">
        <v>112</v>
      </c>
      <c r="B43">
        <v>5122</v>
      </c>
      <c r="C43">
        <v>2413</v>
      </c>
      <c r="D43">
        <v>12</v>
      </c>
      <c r="E43" t="s">
        <v>13</v>
      </c>
      <c r="F43" t="s">
        <v>14</v>
      </c>
      <c r="G43" t="s">
        <v>65</v>
      </c>
      <c r="H43" s="1">
        <v>45510</v>
      </c>
      <c r="I43" t="s">
        <v>113</v>
      </c>
      <c r="J43" t="s">
        <v>42</v>
      </c>
      <c r="K43" t="s">
        <v>92</v>
      </c>
      <c r="L43" s="2" t="s">
        <v>114</v>
      </c>
      <c r="M43" t="str">
        <f>TEXT(Table13[[#This Row],[Order Date]],"MMM")</f>
        <v>Aug</v>
      </c>
      <c r="N43">
        <f>YEAR(Table13[[#This Row],[Order Date]])</f>
        <v>2024</v>
      </c>
      <c r="O43" t="str">
        <f>"Q"&amp;ROUNDUP(MONTH(Table13[[#This Row],[Order Date]])/3,0)</f>
        <v>Q3</v>
      </c>
      <c r="P43" s="5">
        <f>Table13[[#This Row],[Profit]]/Table13[[#This Row],[Amount]]</f>
        <v>0.47110503709488483</v>
      </c>
      <c r="Q43" s="6">
        <f>Table13[[#This Row],[Amount]]/Table13[[#This Row],[Quantity]]</f>
        <v>426.83333333333331</v>
      </c>
    </row>
    <row r="44" spans="1:17" x14ac:dyDescent="0.3">
      <c r="A44" t="s">
        <v>115</v>
      </c>
      <c r="B44">
        <v>8293</v>
      </c>
      <c r="C44">
        <v>2632</v>
      </c>
      <c r="D44">
        <v>8</v>
      </c>
      <c r="E44" t="s">
        <v>30</v>
      </c>
      <c r="F44" t="s">
        <v>78</v>
      </c>
      <c r="G44" t="s">
        <v>65</v>
      </c>
      <c r="H44" s="1">
        <v>44566</v>
      </c>
      <c r="I44" t="s">
        <v>116</v>
      </c>
      <c r="J44" t="s">
        <v>98</v>
      </c>
      <c r="K44" t="s">
        <v>117</v>
      </c>
      <c r="L44" s="2" t="s">
        <v>87</v>
      </c>
      <c r="M44" t="str">
        <f>TEXT(Table13[[#This Row],[Order Date]],"MMM")</f>
        <v>Jan</v>
      </c>
      <c r="N44">
        <f>YEAR(Table13[[#This Row],[Order Date]])</f>
        <v>2022</v>
      </c>
      <c r="O44" t="str">
        <f>"Q"&amp;ROUNDUP(MONTH(Table13[[#This Row],[Order Date]])/3,0)</f>
        <v>Q1</v>
      </c>
      <c r="P44" s="5">
        <f>Table13[[#This Row],[Profit]]/Table13[[#This Row],[Amount]]</f>
        <v>0.31737610032557578</v>
      </c>
      <c r="Q44" s="6">
        <f>Table13[[#This Row],[Amount]]/Table13[[#This Row],[Quantity]]</f>
        <v>1036.625</v>
      </c>
    </row>
    <row r="45" spans="1:17" x14ac:dyDescent="0.3">
      <c r="A45" t="s">
        <v>115</v>
      </c>
      <c r="B45">
        <v>8293</v>
      </c>
      <c r="C45">
        <v>2632</v>
      </c>
      <c r="D45">
        <v>8</v>
      </c>
      <c r="E45" t="s">
        <v>30</v>
      </c>
      <c r="F45" t="s">
        <v>78</v>
      </c>
      <c r="G45" t="s">
        <v>65</v>
      </c>
      <c r="H45" s="1">
        <v>44121</v>
      </c>
      <c r="I45" t="s">
        <v>118</v>
      </c>
      <c r="J45" t="s">
        <v>25</v>
      </c>
      <c r="K45" t="s">
        <v>68</v>
      </c>
      <c r="L45" s="2" t="s">
        <v>119</v>
      </c>
      <c r="M45" t="str">
        <f>TEXT(Table13[[#This Row],[Order Date]],"MMM")</f>
        <v>Oct</v>
      </c>
      <c r="N45">
        <f>YEAR(Table13[[#This Row],[Order Date]])</f>
        <v>2020</v>
      </c>
      <c r="O45" t="str">
        <f>"Q"&amp;ROUNDUP(MONTH(Table13[[#This Row],[Order Date]])/3,0)</f>
        <v>Q4</v>
      </c>
      <c r="P45" s="5">
        <f>Table13[[#This Row],[Profit]]/Table13[[#This Row],[Amount]]</f>
        <v>0.31737610032557578</v>
      </c>
      <c r="Q45" s="6">
        <f>Table13[[#This Row],[Amount]]/Table13[[#This Row],[Quantity]]</f>
        <v>1036.625</v>
      </c>
    </row>
    <row r="46" spans="1:17" x14ac:dyDescent="0.3">
      <c r="A46" t="s">
        <v>115</v>
      </c>
      <c r="B46">
        <v>8293</v>
      </c>
      <c r="C46">
        <v>2632</v>
      </c>
      <c r="D46">
        <v>8</v>
      </c>
      <c r="E46" t="s">
        <v>30</v>
      </c>
      <c r="F46" t="s">
        <v>78</v>
      </c>
      <c r="G46" t="s">
        <v>65</v>
      </c>
      <c r="H46" s="1">
        <v>45159</v>
      </c>
      <c r="I46" t="s">
        <v>120</v>
      </c>
      <c r="J46" t="s">
        <v>42</v>
      </c>
      <c r="K46" t="s">
        <v>43</v>
      </c>
      <c r="L46" s="2" t="s">
        <v>121</v>
      </c>
      <c r="M46" t="str">
        <f>TEXT(Table13[[#This Row],[Order Date]],"MMM")</f>
        <v>Aug</v>
      </c>
      <c r="N46">
        <f>YEAR(Table13[[#This Row],[Order Date]])</f>
        <v>2023</v>
      </c>
      <c r="O46" t="str">
        <f>"Q"&amp;ROUNDUP(MONTH(Table13[[#This Row],[Order Date]])/3,0)</f>
        <v>Q3</v>
      </c>
      <c r="P46" s="5">
        <f>Table13[[#This Row],[Profit]]/Table13[[#This Row],[Amount]]</f>
        <v>0.31737610032557578</v>
      </c>
      <c r="Q46" s="6">
        <f>Table13[[#This Row],[Amount]]/Table13[[#This Row],[Quantity]]</f>
        <v>1036.625</v>
      </c>
    </row>
    <row r="47" spans="1:17" x14ac:dyDescent="0.3">
      <c r="A47" t="s">
        <v>115</v>
      </c>
      <c r="B47">
        <v>2863</v>
      </c>
      <c r="C47">
        <v>205</v>
      </c>
      <c r="D47">
        <v>17</v>
      </c>
      <c r="E47" t="s">
        <v>13</v>
      </c>
      <c r="F47" t="s">
        <v>82</v>
      </c>
      <c r="G47" t="s">
        <v>15</v>
      </c>
      <c r="H47" s="1">
        <v>44566</v>
      </c>
      <c r="I47" t="s">
        <v>116</v>
      </c>
      <c r="J47" t="s">
        <v>98</v>
      </c>
      <c r="K47" t="s">
        <v>117</v>
      </c>
      <c r="L47" s="2" t="s">
        <v>87</v>
      </c>
      <c r="M47" t="str">
        <f>TEXT(Table13[[#This Row],[Order Date]],"MMM")</f>
        <v>Jan</v>
      </c>
      <c r="N47">
        <f>YEAR(Table13[[#This Row],[Order Date]])</f>
        <v>2022</v>
      </c>
      <c r="O47" t="str">
        <f>"Q"&amp;ROUNDUP(MONTH(Table13[[#This Row],[Order Date]])/3,0)</f>
        <v>Q1</v>
      </c>
      <c r="P47" s="5">
        <f>Table13[[#This Row],[Profit]]/Table13[[#This Row],[Amount]]</f>
        <v>7.1603213412504363E-2</v>
      </c>
      <c r="Q47" s="6">
        <f>Table13[[#This Row],[Amount]]/Table13[[#This Row],[Quantity]]</f>
        <v>168.41176470588235</v>
      </c>
    </row>
    <row r="48" spans="1:17" x14ac:dyDescent="0.3">
      <c r="A48" t="s">
        <v>115</v>
      </c>
      <c r="B48">
        <v>2863</v>
      </c>
      <c r="C48">
        <v>205</v>
      </c>
      <c r="D48">
        <v>17</v>
      </c>
      <c r="E48" t="s">
        <v>13</v>
      </c>
      <c r="F48" t="s">
        <v>82</v>
      </c>
      <c r="G48" t="s">
        <v>15</v>
      </c>
      <c r="H48" s="1">
        <v>44121</v>
      </c>
      <c r="I48" t="s">
        <v>118</v>
      </c>
      <c r="J48" t="s">
        <v>25</v>
      </c>
      <c r="K48" t="s">
        <v>68</v>
      </c>
      <c r="L48" s="2" t="s">
        <v>119</v>
      </c>
      <c r="M48" t="str">
        <f>TEXT(Table13[[#This Row],[Order Date]],"MMM")</f>
        <v>Oct</v>
      </c>
      <c r="N48">
        <f>YEAR(Table13[[#This Row],[Order Date]])</f>
        <v>2020</v>
      </c>
      <c r="O48" t="str">
        <f>"Q"&amp;ROUNDUP(MONTH(Table13[[#This Row],[Order Date]])/3,0)</f>
        <v>Q4</v>
      </c>
      <c r="P48" s="5">
        <f>Table13[[#This Row],[Profit]]/Table13[[#This Row],[Amount]]</f>
        <v>7.1603213412504363E-2</v>
      </c>
      <c r="Q48" s="6">
        <f>Table13[[#This Row],[Amount]]/Table13[[#This Row],[Quantity]]</f>
        <v>168.41176470588235</v>
      </c>
    </row>
    <row r="49" spans="1:17" x14ac:dyDescent="0.3">
      <c r="A49" t="s">
        <v>115</v>
      </c>
      <c r="B49">
        <v>2863</v>
      </c>
      <c r="C49">
        <v>205</v>
      </c>
      <c r="D49">
        <v>17</v>
      </c>
      <c r="E49" t="s">
        <v>13</v>
      </c>
      <c r="F49" t="s">
        <v>82</v>
      </c>
      <c r="G49" t="s">
        <v>15</v>
      </c>
      <c r="H49" s="1">
        <v>45159</v>
      </c>
      <c r="I49" t="s">
        <v>120</v>
      </c>
      <c r="J49" t="s">
        <v>42</v>
      </c>
      <c r="K49" t="s">
        <v>43</v>
      </c>
      <c r="L49" s="2" t="s">
        <v>121</v>
      </c>
      <c r="M49" t="str">
        <f>TEXT(Table13[[#This Row],[Order Date]],"MMM")</f>
        <v>Aug</v>
      </c>
      <c r="N49">
        <f>YEAR(Table13[[#This Row],[Order Date]])</f>
        <v>2023</v>
      </c>
      <c r="O49" t="str">
        <f>"Q"&amp;ROUNDUP(MONTH(Table13[[#This Row],[Order Date]])/3,0)</f>
        <v>Q3</v>
      </c>
      <c r="P49" s="5">
        <f>Table13[[#This Row],[Profit]]/Table13[[#This Row],[Amount]]</f>
        <v>7.1603213412504363E-2</v>
      </c>
      <c r="Q49" s="6">
        <f>Table13[[#This Row],[Amount]]/Table13[[#This Row],[Quantity]]</f>
        <v>168.41176470588235</v>
      </c>
    </row>
    <row r="50" spans="1:17" x14ac:dyDescent="0.3">
      <c r="A50" t="s">
        <v>122</v>
      </c>
      <c r="B50">
        <v>3090</v>
      </c>
      <c r="C50">
        <v>573</v>
      </c>
      <c r="D50">
        <v>6</v>
      </c>
      <c r="E50" t="s">
        <v>45</v>
      </c>
      <c r="F50" t="s">
        <v>46</v>
      </c>
      <c r="G50" t="s">
        <v>40</v>
      </c>
      <c r="H50" s="1">
        <v>45653</v>
      </c>
      <c r="I50" t="s">
        <v>123</v>
      </c>
      <c r="J50" t="s">
        <v>42</v>
      </c>
      <c r="K50" t="s">
        <v>75</v>
      </c>
      <c r="L50" s="2" t="s">
        <v>23</v>
      </c>
      <c r="M50" t="str">
        <f>TEXT(Table13[[#This Row],[Order Date]],"MMM")</f>
        <v>Dec</v>
      </c>
      <c r="N50">
        <f>YEAR(Table13[[#This Row],[Order Date]])</f>
        <v>2024</v>
      </c>
      <c r="O50" t="str">
        <f>"Q"&amp;ROUNDUP(MONTH(Table13[[#This Row],[Order Date]])/3,0)</f>
        <v>Q4</v>
      </c>
      <c r="P50" s="5">
        <f>Table13[[#This Row],[Profit]]/Table13[[#This Row],[Amount]]</f>
        <v>0.18543689320388348</v>
      </c>
      <c r="Q50" s="6">
        <f>Table13[[#This Row],[Amount]]/Table13[[#This Row],[Quantity]]</f>
        <v>515</v>
      </c>
    </row>
    <row r="51" spans="1:17" x14ac:dyDescent="0.3">
      <c r="A51" t="s">
        <v>122</v>
      </c>
      <c r="B51">
        <v>3090</v>
      </c>
      <c r="C51">
        <v>573</v>
      </c>
      <c r="D51">
        <v>6</v>
      </c>
      <c r="E51" t="s">
        <v>45</v>
      </c>
      <c r="F51" t="s">
        <v>46</v>
      </c>
      <c r="G51" t="s">
        <v>40</v>
      </c>
      <c r="H51" s="1">
        <v>44365</v>
      </c>
      <c r="I51" t="s">
        <v>124</v>
      </c>
      <c r="J51" t="s">
        <v>98</v>
      </c>
      <c r="K51" t="s">
        <v>107</v>
      </c>
      <c r="L51" s="2" t="s">
        <v>125</v>
      </c>
      <c r="M51" t="str">
        <f>TEXT(Table13[[#This Row],[Order Date]],"MMM")</f>
        <v>Jun</v>
      </c>
      <c r="N51">
        <f>YEAR(Table13[[#This Row],[Order Date]])</f>
        <v>2021</v>
      </c>
      <c r="O51" t="str">
        <f>"Q"&amp;ROUNDUP(MONTH(Table13[[#This Row],[Order Date]])/3,0)</f>
        <v>Q2</v>
      </c>
      <c r="P51" s="5">
        <f>Table13[[#This Row],[Profit]]/Table13[[#This Row],[Amount]]</f>
        <v>0.18543689320388348</v>
      </c>
      <c r="Q51" s="6">
        <f>Table13[[#This Row],[Amount]]/Table13[[#This Row],[Quantity]]</f>
        <v>515</v>
      </c>
    </row>
    <row r="52" spans="1:17" x14ac:dyDescent="0.3">
      <c r="A52" t="s">
        <v>122</v>
      </c>
      <c r="B52">
        <v>3090</v>
      </c>
      <c r="C52">
        <v>573</v>
      </c>
      <c r="D52">
        <v>6</v>
      </c>
      <c r="E52" t="s">
        <v>45</v>
      </c>
      <c r="F52" t="s">
        <v>46</v>
      </c>
      <c r="G52" t="s">
        <v>40</v>
      </c>
      <c r="H52" s="1">
        <v>45073</v>
      </c>
      <c r="I52" t="s">
        <v>126</v>
      </c>
      <c r="J52" t="s">
        <v>71</v>
      </c>
      <c r="K52" t="s">
        <v>86</v>
      </c>
      <c r="L52" s="2" t="s">
        <v>127</v>
      </c>
      <c r="M52" t="str">
        <f>TEXT(Table13[[#This Row],[Order Date]],"MMM")</f>
        <v>May</v>
      </c>
      <c r="N52">
        <f>YEAR(Table13[[#This Row],[Order Date]])</f>
        <v>2023</v>
      </c>
      <c r="O52" t="str">
        <f>"Q"&amp;ROUNDUP(MONTH(Table13[[#This Row],[Order Date]])/3,0)</f>
        <v>Q2</v>
      </c>
      <c r="P52" s="5">
        <f>Table13[[#This Row],[Profit]]/Table13[[#This Row],[Amount]]</f>
        <v>0.18543689320388348</v>
      </c>
      <c r="Q52" s="6">
        <f>Table13[[#This Row],[Amount]]/Table13[[#This Row],[Quantity]]</f>
        <v>515</v>
      </c>
    </row>
    <row r="53" spans="1:17" x14ac:dyDescent="0.3">
      <c r="A53" t="s">
        <v>122</v>
      </c>
      <c r="B53">
        <v>3090</v>
      </c>
      <c r="C53">
        <v>573</v>
      </c>
      <c r="D53">
        <v>6</v>
      </c>
      <c r="E53" t="s">
        <v>45</v>
      </c>
      <c r="F53" t="s">
        <v>46</v>
      </c>
      <c r="G53" t="s">
        <v>40</v>
      </c>
      <c r="H53" s="1">
        <v>44481</v>
      </c>
      <c r="I53" t="s">
        <v>128</v>
      </c>
      <c r="J53" t="s">
        <v>71</v>
      </c>
      <c r="K53" t="s">
        <v>72</v>
      </c>
      <c r="L53" s="2" t="s">
        <v>37</v>
      </c>
      <c r="M53" t="str">
        <f>TEXT(Table13[[#This Row],[Order Date]],"MMM")</f>
        <v>Oct</v>
      </c>
      <c r="N53">
        <f>YEAR(Table13[[#This Row],[Order Date]])</f>
        <v>2021</v>
      </c>
      <c r="O53" t="str">
        <f>"Q"&amp;ROUNDUP(MONTH(Table13[[#This Row],[Order Date]])/3,0)</f>
        <v>Q4</v>
      </c>
      <c r="P53" s="5">
        <f>Table13[[#This Row],[Profit]]/Table13[[#This Row],[Amount]]</f>
        <v>0.18543689320388348</v>
      </c>
      <c r="Q53" s="6">
        <f>Table13[[#This Row],[Amount]]/Table13[[#This Row],[Quantity]]</f>
        <v>515</v>
      </c>
    </row>
    <row r="54" spans="1:17" x14ac:dyDescent="0.3">
      <c r="A54" t="s">
        <v>122</v>
      </c>
      <c r="B54">
        <v>9683</v>
      </c>
      <c r="C54">
        <v>1014</v>
      </c>
      <c r="D54">
        <v>5</v>
      </c>
      <c r="E54" t="s">
        <v>13</v>
      </c>
      <c r="F54" t="s">
        <v>28</v>
      </c>
      <c r="G54" t="s">
        <v>15</v>
      </c>
      <c r="H54" s="1">
        <v>45653</v>
      </c>
      <c r="I54" t="s">
        <v>123</v>
      </c>
      <c r="J54" t="s">
        <v>42</v>
      </c>
      <c r="K54" t="s">
        <v>75</v>
      </c>
      <c r="L54" s="2" t="s">
        <v>23</v>
      </c>
      <c r="M54" t="str">
        <f>TEXT(Table13[[#This Row],[Order Date]],"MMM")</f>
        <v>Dec</v>
      </c>
      <c r="N54">
        <f>YEAR(Table13[[#This Row],[Order Date]])</f>
        <v>2024</v>
      </c>
      <c r="O54" t="str">
        <f>"Q"&amp;ROUNDUP(MONTH(Table13[[#This Row],[Order Date]])/3,0)</f>
        <v>Q4</v>
      </c>
      <c r="P54" s="5">
        <f>Table13[[#This Row],[Profit]]/Table13[[#This Row],[Amount]]</f>
        <v>0.10471961169059175</v>
      </c>
      <c r="Q54" s="6">
        <f>Table13[[#This Row],[Amount]]/Table13[[#This Row],[Quantity]]</f>
        <v>1936.6</v>
      </c>
    </row>
    <row r="55" spans="1:17" x14ac:dyDescent="0.3">
      <c r="A55" t="s">
        <v>122</v>
      </c>
      <c r="B55">
        <v>9683</v>
      </c>
      <c r="C55">
        <v>1014</v>
      </c>
      <c r="D55">
        <v>5</v>
      </c>
      <c r="E55" t="s">
        <v>13</v>
      </c>
      <c r="F55" t="s">
        <v>28</v>
      </c>
      <c r="G55" t="s">
        <v>15</v>
      </c>
      <c r="H55" s="1">
        <v>44365</v>
      </c>
      <c r="I55" t="s">
        <v>124</v>
      </c>
      <c r="J55" t="s">
        <v>98</v>
      </c>
      <c r="K55" t="s">
        <v>107</v>
      </c>
      <c r="L55" s="2" t="s">
        <v>125</v>
      </c>
      <c r="M55" t="str">
        <f>TEXT(Table13[[#This Row],[Order Date]],"MMM")</f>
        <v>Jun</v>
      </c>
      <c r="N55">
        <f>YEAR(Table13[[#This Row],[Order Date]])</f>
        <v>2021</v>
      </c>
      <c r="O55" t="str">
        <f>"Q"&amp;ROUNDUP(MONTH(Table13[[#This Row],[Order Date]])/3,0)</f>
        <v>Q2</v>
      </c>
      <c r="P55" s="5">
        <f>Table13[[#This Row],[Profit]]/Table13[[#This Row],[Amount]]</f>
        <v>0.10471961169059175</v>
      </c>
      <c r="Q55" s="6">
        <f>Table13[[#This Row],[Amount]]/Table13[[#This Row],[Quantity]]</f>
        <v>1936.6</v>
      </c>
    </row>
    <row r="56" spans="1:17" x14ac:dyDescent="0.3">
      <c r="A56" t="s">
        <v>122</v>
      </c>
      <c r="B56">
        <v>9683</v>
      </c>
      <c r="C56">
        <v>1014</v>
      </c>
      <c r="D56">
        <v>5</v>
      </c>
      <c r="E56" t="s">
        <v>13</v>
      </c>
      <c r="F56" t="s">
        <v>28</v>
      </c>
      <c r="G56" t="s">
        <v>15</v>
      </c>
      <c r="H56" s="1">
        <v>45073</v>
      </c>
      <c r="I56" t="s">
        <v>126</v>
      </c>
      <c r="J56" t="s">
        <v>71</v>
      </c>
      <c r="K56" t="s">
        <v>86</v>
      </c>
      <c r="L56" s="2" t="s">
        <v>127</v>
      </c>
      <c r="M56" t="str">
        <f>TEXT(Table13[[#This Row],[Order Date]],"MMM")</f>
        <v>May</v>
      </c>
      <c r="N56">
        <f>YEAR(Table13[[#This Row],[Order Date]])</f>
        <v>2023</v>
      </c>
      <c r="O56" t="str">
        <f>"Q"&amp;ROUNDUP(MONTH(Table13[[#This Row],[Order Date]])/3,0)</f>
        <v>Q2</v>
      </c>
      <c r="P56" s="5">
        <f>Table13[[#This Row],[Profit]]/Table13[[#This Row],[Amount]]</f>
        <v>0.10471961169059175</v>
      </c>
      <c r="Q56" s="6">
        <f>Table13[[#This Row],[Amount]]/Table13[[#This Row],[Quantity]]</f>
        <v>1936.6</v>
      </c>
    </row>
    <row r="57" spans="1:17" x14ac:dyDescent="0.3">
      <c r="A57" t="s">
        <v>122</v>
      </c>
      <c r="B57">
        <v>9683</v>
      </c>
      <c r="C57">
        <v>1014</v>
      </c>
      <c r="D57">
        <v>5</v>
      </c>
      <c r="E57" t="s">
        <v>13</v>
      </c>
      <c r="F57" t="s">
        <v>28</v>
      </c>
      <c r="G57" t="s">
        <v>15</v>
      </c>
      <c r="H57" s="1">
        <v>44481</v>
      </c>
      <c r="I57" t="s">
        <v>128</v>
      </c>
      <c r="J57" t="s">
        <v>71</v>
      </c>
      <c r="K57" t="s">
        <v>72</v>
      </c>
      <c r="L57" s="2" t="s">
        <v>37</v>
      </c>
      <c r="M57" t="str">
        <f>TEXT(Table13[[#This Row],[Order Date]],"MMM")</f>
        <v>Oct</v>
      </c>
      <c r="N57">
        <f>YEAR(Table13[[#This Row],[Order Date]])</f>
        <v>2021</v>
      </c>
      <c r="O57" t="str">
        <f>"Q"&amp;ROUNDUP(MONTH(Table13[[#This Row],[Order Date]])/3,0)</f>
        <v>Q4</v>
      </c>
      <c r="P57" s="5">
        <f>Table13[[#This Row],[Profit]]/Table13[[#This Row],[Amount]]</f>
        <v>0.10471961169059175</v>
      </c>
      <c r="Q57" s="6">
        <f>Table13[[#This Row],[Amount]]/Table13[[#This Row],[Quantity]]</f>
        <v>1936.6</v>
      </c>
    </row>
    <row r="58" spans="1:17" x14ac:dyDescent="0.3">
      <c r="A58" t="s">
        <v>129</v>
      </c>
      <c r="B58">
        <v>2463</v>
      </c>
      <c r="C58">
        <v>648</v>
      </c>
      <c r="D58">
        <v>18</v>
      </c>
      <c r="E58" t="s">
        <v>45</v>
      </c>
      <c r="F58" t="s">
        <v>46</v>
      </c>
      <c r="G58" t="s">
        <v>40</v>
      </c>
      <c r="H58" s="1">
        <v>44823</v>
      </c>
      <c r="I58" t="s">
        <v>130</v>
      </c>
      <c r="J58" t="s">
        <v>98</v>
      </c>
      <c r="K58" t="s">
        <v>107</v>
      </c>
      <c r="L58" s="2" t="s">
        <v>131</v>
      </c>
      <c r="M58" t="str">
        <f>TEXT(Table13[[#This Row],[Order Date]],"MMM")</f>
        <v>Sep</v>
      </c>
      <c r="N58">
        <f>YEAR(Table13[[#This Row],[Order Date]])</f>
        <v>2022</v>
      </c>
      <c r="O58" t="str">
        <f>"Q"&amp;ROUNDUP(MONTH(Table13[[#This Row],[Order Date]])/3,0)</f>
        <v>Q3</v>
      </c>
      <c r="P58" s="5">
        <f>Table13[[#This Row],[Profit]]/Table13[[#This Row],[Amount]]</f>
        <v>0.26309378806333739</v>
      </c>
      <c r="Q58" s="6">
        <f>Table13[[#This Row],[Amount]]/Table13[[#This Row],[Quantity]]</f>
        <v>136.83333333333334</v>
      </c>
    </row>
    <row r="59" spans="1:17" x14ac:dyDescent="0.3">
      <c r="A59" t="s">
        <v>132</v>
      </c>
      <c r="B59">
        <v>7811</v>
      </c>
      <c r="C59">
        <v>1538</v>
      </c>
      <c r="D59">
        <v>12</v>
      </c>
      <c r="E59" t="s">
        <v>45</v>
      </c>
      <c r="F59" t="s">
        <v>60</v>
      </c>
      <c r="G59" t="s">
        <v>65</v>
      </c>
      <c r="H59" s="1">
        <v>44645</v>
      </c>
      <c r="I59" t="s">
        <v>133</v>
      </c>
      <c r="J59" t="s">
        <v>17</v>
      </c>
      <c r="K59" t="s">
        <v>18</v>
      </c>
      <c r="L59" s="2" t="s">
        <v>134</v>
      </c>
      <c r="M59" t="str">
        <f>TEXT(Table13[[#This Row],[Order Date]],"MMM")</f>
        <v>Mar</v>
      </c>
      <c r="N59">
        <f>YEAR(Table13[[#This Row],[Order Date]])</f>
        <v>2022</v>
      </c>
      <c r="O59" t="str">
        <f>"Q"&amp;ROUNDUP(MONTH(Table13[[#This Row],[Order Date]])/3,0)</f>
        <v>Q1</v>
      </c>
      <c r="P59" s="5">
        <f>Table13[[#This Row],[Profit]]/Table13[[#This Row],[Amount]]</f>
        <v>0.19690180514658814</v>
      </c>
      <c r="Q59" s="6">
        <f>Table13[[#This Row],[Amount]]/Table13[[#This Row],[Quantity]]</f>
        <v>650.91666666666663</v>
      </c>
    </row>
    <row r="60" spans="1:17" x14ac:dyDescent="0.3">
      <c r="A60" t="s">
        <v>135</v>
      </c>
      <c r="B60">
        <v>6139</v>
      </c>
      <c r="C60">
        <v>451</v>
      </c>
      <c r="D60">
        <v>10</v>
      </c>
      <c r="E60" t="s">
        <v>45</v>
      </c>
      <c r="F60" t="s">
        <v>46</v>
      </c>
      <c r="G60" t="s">
        <v>32</v>
      </c>
      <c r="H60" s="1">
        <v>44618</v>
      </c>
      <c r="I60" t="s">
        <v>136</v>
      </c>
      <c r="J60" t="s">
        <v>17</v>
      </c>
      <c r="K60" t="s">
        <v>34</v>
      </c>
      <c r="L60" s="2" t="s">
        <v>137</v>
      </c>
      <c r="M60" t="str">
        <f>TEXT(Table13[[#This Row],[Order Date]],"MMM")</f>
        <v>Feb</v>
      </c>
      <c r="N60">
        <f>YEAR(Table13[[#This Row],[Order Date]])</f>
        <v>2022</v>
      </c>
      <c r="O60" t="str">
        <f>"Q"&amp;ROUNDUP(MONTH(Table13[[#This Row],[Order Date]])/3,0)</f>
        <v>Q1</v>
      </c>
      <c r="P60" s="5">
        <f>Table13[[#This Row],[Profit]]/Table13[[#This Row],[Amount]]</f>
        <v>7.3464733669978827E-2</v>
      </c>
      <c r="Q60" s="6">
        <f>Table13[[#This Row],[Amount]]/Table13[[#This Row],[Quantity]]</f>
        <v>613.9</v>
      </c>
    </row>
    <row r="61" spans="1:17" x14ac:dyDescent="0.3">
      <c r="A61" t="s">
        <v>135</v>
      </c>
      <c r="B61">
        <v>6139</v>
      </c>
      <c r="C61">
        <v>451</v>
      </c>
      <c r="D61">
        <v>10</v>
      </c>
      <c r="E61" t="s">
        <v>45</v>
      </c>
      <c r="F61" t="s">
        <v>46</v>
      </c>
      <c r="G61" t="s">
        <v>32</v>
      </c>
      <c r="H61" s="1">
        <v>44291</v>
      </c>
      <c r="I61" t="s">
        <v>91</v>
      </c>
      <c r="J61" t="s">
        <v>71</v>
      </c>
      <c r="K61" t="s">
        <v>138</v>
      </c>
      <c r="L61" s="2" t="s">
        <v>139</v>
      </c>
      <c r="M61" t="str">
        <f>TEXT(Table13[[#This Row],[Order Date]],"MMM")</f>
        <v>Apr</v>
      </c>
      <c r="N61">
        <f>YEAR(Table13[[#This Row],[Order Date]])</f>
        <v>2021</v>
      </c>
      <c r="O61" t="str">
        <f>"Q"&amp;ROUNDUP(MONTH(Table13[[#This Row],[Order Date]])/3,0)</f>
        <v>Q2</v>
      </c>
      <c r="P61" s="5">
        <f>Table13[[#This Row],[Profit]]/Table13[[#This Row],[Amount]]</f>
        <v>7.3464733669978827E-2</v>
      </c>
      <c r="Q61" s="6">
        <f>Table13[[#This Row],[Amount]]/Table13[[#This Row],[Quantity]]</f>
        <v>613.9</v>
      </c>
    </row>
    <row r="62" spans="1:17" x14ac:dyDescent="0.3">
      <c r="A62" t="s">
        <v>135</v>
      </c>
      <c r="B62">
        <v>8636</v>
      </c>
      <c r="C62">
        <v>3192</v>
      </c>
      <c r="D62">
        <v>3</v>
      </c>
      <c r="E62" t="s">
        <v>45</v>
      </c>
      <c r="F62" t="s">
        <v>49</v>
      </c>
      <c r="G62" t="s">
        <v>65</v>
      </c>
      <c r="H62" s="1">
        <v>44618</v>
      </c>
      <c r="I62" t="s">
        <v>136</v>
      </c>
      <c r="J62" t="s">
        <v>17</v>
      </c>
      <c r="K62" t="s">
        <v>34</v>
      </c>
      <c r="L62" s="2" t="s">
        <v>137</v>
      </c>
      <c r="M62" t="str">
        <f>TEXT(Table13[[#This Row],[Order Date]],"MMM")</f>
        <v>Feb</v>
      </c>
      <c r="N62">
        <f>YEAR(Table13[[#This Row],[Order Date]])</f>
        <v>2022</v>
      </c>
      <c r="O62" t="str">
        <f>"Q"&amp;ROUNDUP(MONTH(Table13[[#This Row],[Order Date]])/3,0)</f>
        <v>Q1</v>
      </c>
      <c r="P62" s="5">
        <f>Table13[[#This Row],[Profit]]/Table13[[#This Row],[Amount]]</f>
        <v>0.36961556276053731</v>
      </c>
      <c r="Q62" s="6">
        <f>Table13[[#This Row],[Amount]]/Table13[[#This Row],[Quantity]]</f>
        <v>2878.6666666666665</v>
      </c>
    </row>
    <row r="63" spans="1:17" x14ac:dyDescent="0.3">
      <c r="A63" t="s">
        <v>135</v>
      </c>
      <c r="B63">
        <v>8636</v>
      </c>
      <c r="C63">
        <v>3192</v>
      </c>
      <c r="D63">
        <v>3</v>
      </c>
      <c r="E63" t="s">
        <v>45</v>
      </c>
      <c r="F63" t="s">
        <v>49</v>
      </c>
      <c r="G63" t="s">
        <v>65</v>
      </c>
      <c r="H63" s="1">
        <v>44291</v>
      </c>
      <c r="I63" t="s">
        <v>91</v>
      </c>
      <c r="J63" t="s">
        <v>71</v>
      </c>
      <c r="K63" t="s">
        <v>138</v>
      </c>
      <c r="L63" s="2" t="s">
        <v>139</v>
      </c>
      <c r="M63" t="str">
        <f>TEXT(Table13[[#This Row],[Order Date]],"MMM")</f>
        <v>Apr</v>
      </c>
      <c r="N63">
        <f>YEAR(Table13[[#This Row],[Order Date]])</f>
        <v>2021</v>
      </c>
      <c r="O63" t="str">
        <f>"Q"&amp;ROUNDUP(MONTH(Table13[[#This Row],[Order Date]])/3,0)</f>
        <v>Q2</v>
      </c>
      <c r="P63" s="5">
        <f>Table13[[#This Row],[Profit]]/Table13[[#This Row],[Amount]]</f>
        <v>0.36961556276053731</v>
      </c>
      <c r="Q63" s="6">
        <f>Table13[[#This Row],[Amount]]/Table13[[#This Row],[Quantity]]</f>
        <v>2878.6666666666665</v>
      </c>
    </row>
    <row r="64" spans="1:17" x14ac:dyDescent="0.3">
      <c r="A64" t="s">
        <v>135</v>
      </c>
      <c r="B64">
        <v>4439</v>
      </c>
      <c r="C64">
        <v>1712</v>
      </c>
      <c r="D64">
        <v>19</v>
      </c>
      <c r="E64" t="s">
        <v>45</v>
      </c>
      <c r="F64" t="s">
        <v>60</v>
      </c>
      <c r="G64" t="s">
        <v>47</v>
      </c>
      <c r="H64" s="1">
        <v>44618</v>
      </c>
      <c r="I64" t="s">
        <v>136</v>
      </c>
      <c r="J64" t="s">
        <v>17</v>
      </c>
      <c r="K64" t="s">
        <v>34</v>
      </c>
      <c r="L64" s="2" t="s">
        <v>137</v>
      </c>
      <c r="M64" t="str">
        <f>TEXT(Table13[[#This Row],[Order Date]],"MMM")</f>
        <v>Feb</v>
      </c>
      <c r="N64">
        <f>YEAR(Table13[[#This Row],[Order Date]])</f>
        <v>2022</v>
      </c>
      <c r="O64" t="str">
        <f>"Q"&amp;ROUNDUP(MONTH(Table13[[#This Row],[Order Date]])/3,0)</f>
        <v>Q1</v>
      </c>
      <c r="P64" s="5">
        <f>Table13[[#This Row],[Profit]]/Table13[[#This Row],[Amount]]</f>
        <v>0.3856724487497184</v>
      </c>
      <c r="Q64" s="6">
        <f>Table13[[#This Row],[Amount]]/Table13[[#This Row],[Quantity]]</f>
        <v>233.63157894736841</v>
      </c>
    </row>
    <row r="65" spans="1:17" x14ac:dyDescent="0.3">
      <c r="A65" t="s">
        <v>135</v>
      </c>
      <c r="B65">
        <v>4439</v>
      </c>
      <c r="C65">
        <v>1712</v>
      </c>
      <c r="D65">
        <v>19</v>
      </c>
      <c r="E65" t="s">
        <v>45</v>
      </c>
      <c r="F65" t="s">
        <v>60</v>
      </c>
      <c r="G65" t="s">
        <v>47</v>
      </c>
      <c r="H65" s="1">
        <v>44291</v>
      </c>
      <c r="I65" t="s">
        <v>91</v>
      </c>
      <c r="J65" t="s">
        <v>71</v>
      </c>
      <c r="K65" t="s">
        <v>138</v>
      </c>
      <c r="L65" s="2" t="s">
        <v>139</v>
      </c>
      <c r="M65" t="str">
        <f>TEXT(Table13[[#This Row],[Order Date]],"MMM")</f>
        <v>Apr</v>
      </c>
      <c r="N65">
        <f>YEAR(Table13[[#This Row],[Order Date]])</f>
        <v>2021</v>
      </c>
      <c r="O65" t="str">
        <f>"Q"&amp;ROUNDUP(MONTH(Table13[[#This Row],[Order Date]])/3,0)</f>
        <v>Q2</v>
      </c>
      <c r="P65" s="5">
        <f>Table13[[#This Row],[Profit]]/Table13[[#This Row],[Amount]]</f>
        <v>0.3856724487497184</v>
      </c>
      <c r="Q65" s="6">
        <f>Table13[[#This Row],[Amount]]/Table13[[#This Row],[Quantity]]</f>
        <v>233.63157894736841</v>
      </c>
    </row>
    <row r="66" spans="1:17" x14ac:dyDescent="0.3">
      <c r="A66" t="s">
        <v>140</v>
      </c>
      <c r="B66">
        <v>1016</v>
      </c>
      <c r="C66">
        <v>172</v>
      </c>
      <c r="D66">
        <v>20</v>
      </c>
      <c r="E66" t="s">
        <v>45</v>
      </c>
      <c r="F66" t="s">
        <v>46</v>
      </c>
      <c r="G66" t="s">
        <v>32</v>
      </c>
      <c r="H66" s="1">
        <v>44151</v>
      </c>
      <c r="I66" t="s">
        <v>141</v>
      </c>
      <c r="J66" t="s">
        <v>25</v>
      </c>
      <c r="K66" t="s">
        <v>26</v>
      </c>
      <c r="L66" s="2" t="s">
        <v>80</v>
      </c>
      <c r="M66" t="str">
        <f>TEXT(Table13[[#This Row],[Order Date]],"MMM")</f>
        <v>Nov</v>
      </c>
      <c r="N66">
        <f>YEAR(Table13[[#This Row],[Order Date]])</f>
        <v>2020</v>
      </c>
      <c r="O66" t="str">
        <f>"Q"&amp;ROUNDUP(MONTH(Table13[[#This Row],[Order Date]])/3,0)</f>
        <v>Q4</v>
      </c>
      <c r="P66" s="5">
        <f>Table13[[#This Row],[Profit]]/Table13[[#This Row],[Amount]]</f>
        <v>0.16929133858267717</v>
      </c>
      <c r="Q66" s="6">
        <f>Table13[[#This Row],[Amount]]/Table13[[#This Row],[Quantity]]</f>
        <v>50.8</v>
      </c>
    </row>
    <row r="67" spans="1:17" x14ac:dyDescent="0.3">
      <c r="A67" t="s">
        <v>140</v>
      </c>
      <c r="B67">
        <v>5768</v>
      </c>
      <c r="C67">
        <v>2059</v>
      </c>
      <c r="D67">
        <v>14</v>
      </c>
      <c r="E67" t="s">
        <v>45</v>
      </c>
      <c r="F67" t="s">
        <v>46</v>
      </c>
      <c r="G67" t="s">
        <v>15</v>
      </c>
      <c r="H67" s="1">
        <v>44151</v>
      </c>
      <c r="I67" t="s">
        <v>141</v>
      </c>
      <c r="J67" t="s">
        <v>25</v>
      </c>
      <c r="K67" t="s">
        <v>26</v>
      </c>
      <c r="L67" s="2" t="s">
        <v>80</v>
      </c>
      <c r="M67" t="str">
        <f>TEXT(Table13[[#This Row],[Order Date]],"MMM")</f>
        <v>Nov</v>
      </c>
      <c r="N67">
        <f>YEAR(Table13[[#This Row],[Order Date]])</f>
        <v>2020</v>
      </c>
      <c r="O67" t="str">
        <f>"Q"&amp;ROUNDUP(MONTH(Table13[[#This Row],[Order Date]])/3,0)</f>
        <v>Q4</v>
      </c>
      <c r="P67" s="5">
        <f>Table13[[#This Row],[Profit]]/Table13[[#This Row],[Amount]]</f>
        <v>0.35696948682385576</v>
      </c>
      <c r="Q67" s="6">
        <f>Table13[[#This Row],[Amount]]/Table13[[#This Row],[Quantity]]</f>
        <v>412</v>
      </c>
    </row>
    <row r="68" spans="1:17" x14ac:dyDescent="0.3">
      <c r="A68" t="s">
        <v>140</v>
      </c>
      <c r="B68">
        <v>1217</v>
      </c>
      <c r="C68">
        <v>151</v>
      </c>
      <c r="D68">
        <v>3</v>
      </c>
      <c r="E68" t="s">
        <v>45</v>
      </c>
      <c r="F68" t="s">
        <v>46</v>
      </c>
      <c r="G68" t="s">
        <v>47</v>
      </c>
      <c r="H68" s="1">
        <v>44151</v>
      </c>
      <c r="I68" t="s">
        <v>141</v>
      </c>
      <c r="J68" t="s">
        <v>25</v>
      </c>
      <c r="K68" t="s">
        <v>26</v>
      </c>
      <c r="L68" s="2" t="s">
        <v>80</v>
      </c>
      <c r="M68" t="str">
        <f>TEXT(Table13[[#This Row],[Order Date]],"MMM")</f>
        <v>Nov</v>
      </c>
      <c r="N68">
        <f>YEAR(Table13[[#This Row],[Order Date]])</f>
        <v>2020</v>
      </c>
      <c r="O68" t="str">
        <f>"Q"&amp;ROUNDUP(MONTH(Table13[[#This Row],[Order Date]])/3,0)</f>
        <v>Q4</v>
      </c>
      <c r="P68" s="5">
        <f>Table13[[#This Row],[Profit]]/Table13[[#This Row],[Amount]]</f>
        <v>0.12407559572719803</v>
      </c>
      <c r="Q68" s="6">
        <f>Table13[[#This Row],[Amount]]/Table13[[#This Row],[Quantity]]</f>
        <v>405.66666666666669</v>
      </c>
    </row>
    <row r="69" spans="1:17" x14ac:dyDescent="0.3">
      <c r="A69" t="s">
        <v>142</v>
      </c>
      <c r="B69">
        <v>953</v>
      </c>
      <c r="C69">
        <v>93</v>
      </c>
      <c r="D69">
        <v>2</v>
      </c>
      <c r="E69" t="s">
        <v>30</v>
      </c>
      <c r="F69" t="s">
        <v>64</v>
      </c>
      <c r="G69" t="s">
        <v>32</v>
      </c>
      <c r="H69" s="1">
        <v>45638</v>
      </c>
      <c r="I69" t="s">
        <v>143</v>
      </c>
      <c r="J69" t="s">
        <v>98</v>
      </c>
      <c r="K69" t="s">
        <v>117</v>
      </c>
      <c r="L69" s="2" t="s">
        <v>23</v>
      </c>
      <c r="M69" t="str">
        <f>TEXT(Table13[[#This Row],[Order Date]],"MMM")</f>
        <v>Dec</v>
      </c>
      <c r="N69">
        <f>YEAR(Table13[[#This Row],[Order Date]])</f>
        <v>2024</v>
      </c>
      <c r="O69" t="str">
        <f>"Q"&amp;ROUNDUP(MONTH(Table13[[#This Row],[Order Date]])/3,0)</f>
        <v>Q4</v>
      </c>
      <c r="P69" s="5">
        <f>Table13[[#This Row],[Profit]]/Table13[[#This Row],[Amount]]</f>
        <v>9.7586568730325285E-2</v>
      </c>
      <c r="Q69" s="6">
        <f>Table13[[#This Row],[Amount]]/Table13[[#This Row],[Quantity]]</f>
        <v>476.5</v>
      </c>
    </row>
    <row r="70" spans="1:17" x14ac:dyDescent="0.3">
      <c r="A70" t="s">
        <v>142</v>
      </c>
      <c r="B70">
        <v>953</v>
      </c>
      <c r="C70">
        <v>93</v>
      </c>
      <c r="D70">
        <v>2</v>
      </c>
      <c r="E70" t="s">
        <v>30</v>
      </c>
      <c r="F70" t="s">
        <v>64</v>
      </c>
      <c r="G70" t="s">
        <v>32</v>
      </c>
      <c r="H70" s="1">
        <v>45022</v>
      </c>
      <c r="I70" t="s">
        <v>144</v>
      </c>
      <c r="J70" t="s">
        <v>42</v>
      </c>
      <c r="K70" t="s">
        <v>43</v>
      </c>
      <c r="L70" s="2" t="s">
        <v>145</v>
      </c>
      <c r="M70" t="str">
        <f>TEXT(Table13[[#This Row],[Order Date]],"MMM")</f>
        <v>Apr</v>
      </c>
      <c r="N70">
        <f>YEAR(Table13[[#This Row],[Order Date]])</f>
        <v>2023</v>
      </c>
      <c r="O70" t="str">
        <f>"Q"&amp;ROUNDUP(MONTH(Table13[[#This Row],[Order Date]])/3,0)</f>
        <v>Q2</v>
      </c>
      <c r="P70" s="5">
        <f>Table13[[#This Row],[Profit]]/Table13[[#This Row],[Amount]]</f>
        <v>9.7586568730325285E-2</v>
      </c>
      <c r="Q70" s="6">
        <f>Table13[[#This Row],[Amount]]/Table13[[#This Row],[Quantity]]</f>
        <v>476.5</v>
      </c>
    </row>
    <row r="71" spans="1:17" x14ac:dyDescent="0.3">
      <c r="A71" t="s">
        <v>142</v>
      </c>
      <c r="B71">
        <v>7355</v>
      </c>
      <c r="C71">
        <v>1034</v>
      </c>
      <c r="D71">
        <v>3</v>
      </c>
      <c r="E71" t="s">
        <v>45</v>
      </c>
      <c r="F71" t="s">
        <v>60</v>
      </c>
      <c r="G71" t="s">
        <v>65</v>
      </c>
      <c r="H71" s="1">
        <v>45638</v>
      </c>
      <c r="I71" t="s">
        <v>143</v>
      </c>
      <c r="J71" t="s">
        <v>98</v>
      </c>
      <c r="K71" t="s">
        <v>117</v>
      </c>
      <c r="L71" s="2" t="s">
        <v>23</v>
      </c>
      <c r="M71" t="str">
        <f>TEXT(Table13[[#This Row],[Order Date]],"MMM")</f>
        <v>Dec</v>
      </c>
      <c r="N71">
        <f>YEAR(Table13[[#This Row],[Order Date]])</f>
        <v>2024</v>
      </c>
      <c r="O71" t="str">
        <f>"Q"&amp;ROUNDUP(MONTH(Table13[[#This Row],[Order Date]])/3,0)</f>
        <v>Q4</v>
      </c>
      <c r="P71" s="5">
        <f>Table13[[#This Row],[Profit]]/Table13[[#This Row],[Amount]]</f>
        <v>0.14058463630183549</v>
      </c>
      <c r="Q71" s="6">
        <f>Table13[[#This Row],[Amount]]/Table13[[#This Row],[Quantity]]</f>
        <v>2451.6666666666665</v>
      </c>
    </row>
    <row r="72" spans="1:17" x14ac:dyDescent="0.3">
      <c r="A72" t="s">
        <v>142</v>
      </c>
      <c r="B72">
        <v>7355</v>
      </c>
      <c r="C72">
        <v>1034</v>
      </c>
      <c r="D72">
        <v>3</v>
      </c>
      <c r="E72" t="s">
        <v>45</v>
      </c>
      <c r="F72" t="s">
        <v>60</v>
      </c>
      <c r="G72" t="s">
        <v>65</v>
      </c>
      <c r="H72" s="1">
        <v>45022</v>
      </c>
      <c r="I72" t="s">
        <v>144</v>
      </c>
      <c r="J72" t="s">
        <v>42</v>
      </c>
      <c r="K72" t="s">
        <v>43</v>
      </c>
      <c r="L72" s="2" t="s">
        <v>145</v>
      </c>
      <c r="M72" t="str">
        <f>TEXT(Table13[[#This Row],[Order Date]],"MMM")</f>
        <v>Apr</v>
      </c>
      <c r="N72">
        <f>YEAR(Table13[[#This Row],[Order Date]])</f>
        <v>2023</v>
      </c>
      <c r="O72" t="str">
        <f>"Q"&amp;ROUNDUP(MONTH(Table13[[#This Row],[Order Date]])/3,0)</f>
        <v>Q2</v>
      </c>
      <c r="P72" s="5">
        <f>Table13[[#This Row],[Profit]]/Table13[[#This Row],[Amount]]</f>
        <v>0.14058463630183549</v>
      </c>
      <c r="Q72" s="6">
        <f>Table13[[#This Row],[Amount]]/Table13[[#This Row],[Quantity]]</f>
        <v>2451.6666666666665</v>
      </c>
    </row>
    <row r="73" spans="1:17" x14ac:dyDescent="0.3">
      <c r="A73" t="s">
        <v>142</v>
      </c>
      <c r="B73">
        <v>1843</v>
      </c>
      <c r="C73">
        <v>248</v>
      </c>
      <c r="D73">
        <v>3</v>
      </c>
      <c r="E73" t="s">
        <v>13</v>
      </c>
      <c r="F73" t="s">
        <v>82</v>
      </c>
      <c r="G73" t="s">
        <v>47</v>
      </c>
      <c r="H73" s="1">
        <v>45638</v>
      </c>
      <c r="I73" t="s">
        <v>143</v>
      </c>
      <c r="J73" t="s">
        <v>98</v>
      </c>
      <c r="K73" t="s">
        <v>117</v>
      </c>
      <c r="L73" s="2" t="s">
        <v>23</v>
      </c>
      <c r="M73" t="str">
        <f>TEXT(Table13[[#This Row],[Order Date]],"MMM")</f>
        <v>Dec</v>
      </c>
      <c r="N73">
        <f>YEAR(Table13[[#This Row],[Order Date]])</f>
        <v>2024</v>
      </c>
      <c r="O73" t="str">
        <f>"Q"&amp;ROUNDUP(MONTH(Table13[[#This Row],[Order Date]])/3,0)</f>
        <v>Q4</v>
      </c>
      <c r="P73" s="5">
        <f>Table13[[#This Row],[Profit]]/Table13[[#This Row],[Amount]]</f>
        <v>0.13456321215409658</v>
      </c>
      <c r="Q73" s="6">
        <f>Table13[[#This Row],[Amount]]/Table13[[#This Row],[Quantity]]</f>
        <v>614.33333333333337</v>
      </c>
    </row>
    <row r="74" spans="1:17" x14ac:dyDescent="0.3">
      <c r="A74" t="s">
        <v>142</v>
      </c>
      <c r="B74">
        <v>1843</v>
      </c>
      <c r="C74">
        <v>248</v>
      </c>
      <c r="D74">
        <v>3</v>
      </c>
      <c r="E74" t="s">
        <v>13</v>
      </c>
      <c r="F74" t="s">
        <v>82</v>
      </c>
      <c r="G74" t="s">
        <v>47</v>
      </c>
      <c r="H74" s="1">
        <v>45022</v>
      </c>
      <c r="I74" t="s">
        <v>144</v>
      </c>
      <c r="J74" t="s">
        <v>42</v>
      </c>
      <c r="K74" t="s">
        <v>43</v>
      </c>
      <c r="L74" s="2" t="s">
        <v>145</v>
      </c>
      <c r="M74" t="str">
        <f>TEXT(Table13[[#This Row],[Order Date]],"MMM")</f>
        <v>Apr</v>
      </c>
      <c r="N74">
        <f>YEAR(Table13[[#This Row],[Order Date]])</f>
        <v>2023</v>
      </c>
      <c r="O74" t="str">
        <f>"Q"&amp;ROUNDUP(MONTH(Table13[[#This Row],[Order Date]])/3,0)</f>
        <v>Q2</v>
      </c>
      <c r="P74" s="5">
        <f>Table13[[#This Row],[Profit]]/Table13[[#This Row],[Amount]]</f>
        <v>0.13456321215409658</v>
      </c>
      <c r="Q74" s="6">
        <f>Table13[[#This Row],[Amount]]/Table13[[#This Row],[Quantity]]</f>
        <v>614.33333333333337</v>
      </c>
    </row>
    <row r="75" spans="1:17" x14ac:dyDescent="0.3">
      <c r="A75" t="s">
        <v>142</v>
      </c>
      <c r="B75">
        <v>1603</v>
      </c>
      <c r="C75">
        <v>361</v>
      </c>
      <c r="D75">
        <v>10</v>
      </c>
      <c r="E75" t="s">
        <v>30</v>
      </c>
      <c r="F75" t="s">
        <v>31</v>
      </c>
      <c r="G75" t="s">
        <v>32</v>
      </c>
      <c r="H75" s="1">
        <v>45638</v>
      </c>
      <c r="I75" t="s">
        <v>143</v>
      </c>
      <c r="J75" t="s">
        <v>98</v>
      </c>
      <c r="K75" t="s">
        <v>117</v>
      </c>
      <c r="L75" s="2" t="s">
        <v>23</v>
      </c>
      <c r="M75" t="str">
        <f>TEXT(Table13[[#This Row],[Order Date]],"MMM")</f>
        <v>Dec</v>
      </c>
      <c r="N75">
        <f>YEAR(Table13[[#This Row],[Order Date]])</f>
        <v>2024</v>
      </c>
      <c r="O75" t="str">
        <f>"Q"&amp;ROUNDUP(MONTH(Table13[[#This Row],[Order Date]])/3,0)</f>
        <v>Q4</v>
      </c>
      <c r="P75" s="5">
        <f>Table13[[#This Row],[Profit]]/Table13[[#This Row],[Amount]]</f>
        <v>0.22520274485339989</v>
      </c>
      <c r="Q75" s="6">
        <f>Table13[[#This Row],[Amount]]/Table13[[#This Row],[Quantity]]</f>
        <v>160.30000000000001</v>
      </c>
    </row>
    <row r="76" spans="1:17" x14ac:dyDescent="0.3">
      <c r="A76" t="s">
        <v>142</v>
      </c>
      <c r="B76">
        <v>1603</v>
      </c>
      <c r="C76">
        <v>361</v>
      </c>
      <c r="D76">
        <v>10</v>
      </c>
      <c r="E76" t="s">
        <v>30</v>
      </c>
      <c r="F76" t="s">
        <v>31</v>
      </c>
      <c r="G76" t="s">
        <v>32</v>
      </c>
      <c r="H76" s="1">
        <v>45022</v>
      </c>
      <c r="I76" t="s">
        <v>144</v>
      </c>
      <c r="J76" t="s">
        <v>42</v>
      </c>
      <c r="K76" t="s">
        <v>43</v>
      </c>
      <c r="L76" s="2" t="s">
        <v>145</v>
      </c>
      <c r="M76" t="str">
        <f>TEXT(Table13[[#This Row],[Order Date]],"MMM")</f>
        <v>Apr</v>
      </c>
      <c r="N76">
        <f>YEAR(Table13[[#This Row],[Order Date]])</f>
        <v>2023</v>
      </c>
      <c r="O76" t="str">
        <f>"Q"&amp;ROUNDUP(MONTH(Table13[[#This Row],[Order Date]])/3,0)</f>
        <v>Q2</v>
      </c>
      <c r="P76" s="5">
        <f>Table13[[#This Row],[Profit]]/Table13[[#This Row],[Amount]]</f>
        <v>0.22520274485339989</v>
      </c>
      <c r="Q76" s="6">
        <f>Table13[[#This Row],[Amount]]/Table13[[#This Row],[Quantity]]</f>
        <v>160.30000000000001</v>
      </c>
    </row>
    <row r="77" spans="1:17" x14ac:dyDescent="0.3">
      <c r="A77" t="s">
        <v>146</v>
      </c>
      <c r="B77">
        <v>2025</v>
      </c>
      <c r="C77">
        <v>528</v>
      </c>
      <c r="D77">
        <v>1</v>
      </c>
      <c r="E77" t="s">
        <v>30</v>
      </c>
      <c r="F77" t="s">
        <v>31</v>
      </c>
      <c r="G77" t="s">
        <v>47</v>
      </c>
      <c r="H77" s="1">
        <v>45319</v>
      </c>
      <c r="I77" t="s">
        <v>147</v>
      </c>
      <c r="J77" t="s">
        <v>17</v>
      </c>
      <c r="K77" t="s">
        <v>18</v>
      </c>
      <c r="L77" s="2" t="s">
        <v>76</v>
      </c>
      <c r="M77" t="str">
        <f>TEXT(Table13[[#This Row],[Order Date]],"MMM")</f>
        <v>Jan</v>
      </c>
      <c r="N77">
        <f>YEAR(Table13[[#This Row],[Order Date]])</f>
        <v>2024</v>
      </c>
      <c r="O77" t="str">
        <f>"Q"&amp;ROUNDUP(MONTH(Table13[[#This Row],[Order Date]])/3,0)</f>
        <v>Q1</v>
      </c>
      <c r="P77" s="5">
        <f>Table13[[#This Row],[Profit]]/Table13[[#This Row],[Amount]]</f>
        <v>0.26074074074074072</v>
      </c>
      <c r="Q77" s="6">
        <f>Table13[[#This Row],[Amount]]/Table13[[#This Row],[Quantity]]</f>
        <v>2025</v>
      </c>
    </row>
    <row r="78" spans="1:17" x14ac:dyDescent="0.3">
      <c r="A78" t="s">
        <v>146</v>
      </c>
      <c r="B78">
        <v>6800</v>
      </c>
      <c r="C78">
        <v>167</v>
      </c>
      <c r="D78">
        <v>16</v>
      </c>
      <c r="E78" t="s">
        <v>30</v>
      </c>
      <c r="F78" t="s">
        <v>78</v>
      </c>
      <c r="G78" t="s">
        <v>40</v>
      </c>
      <c r="H78" s="1">
        <v>45319</v>
      </c>
      <c r="I78" t="s">
        <v>147</v>
      </c>
      <c r="J78" t="s">
        <v>17</v>
      </c>
      <c r="K78" t="s">
        <v>18</v>
      </c>
      <c r="L78" s="2" t="s">
        <v>76</v>
      </c>
      <c r="M78" t="str">
        <f>TEXT(Table13[[#This Row],[Order Date]],"MMM")</f>
        <v>Jan</v>
      </c>
      <c r="N78">
        <f>YEAR(Table13[[#This Row],[Order Date]])</f>
        <v>2024</v>
      </c>
      <c r="O78" t="str">
        <f>"Q"&amp;ROUNDUP(MONTH(Table13[[#This Row],[Order Date]])/3,0)</f>
        <v>Q1</v>
      </c>
      <c r="P78" s="5">
        <f>Table13[[#This Row],[Profit]]/Table13[[#This Row],[Amount]]</f>
        <v>2.4558823529411765E-2</v>
      </c>
      <c r="Q78" s="6">
        <f>Table13[[#This Row],[Amount]]/Table13[[#This Row],[Quantity]]</f>
        <v>425</v>
      </c>
    </row>
    <row r="79" spans="1:17" x14ac:dyDescent="0.3">
      <c r="A79" t="s">
        <v>148</v>
      </c>
      <c r="B79">
        <v>1126</v>
      </c>
      <c r="C79">
        <v>55</v>
      </c>
      <c r="D79">
        <v>1</v>
      </c>
      <c r="E79" t="s">
        <v>45</v>
      </c>
      <c r="F79" t="s">
        <v>109</v>
      </c>
      <c r="G79" t="s">
        <v>15</v>
      </c>
      <c r="H79" s="1">
        <v>44577</v>
      </c>
      <c r="I79" t="s">
        <v>149</v>
      </c>
      <c r="J79" t="s">
        <v>17</v>
      </c>
      <c r="K79" t="s">
        <v>150</v>
      </c>
      <c r="L79" s="2" t="s">
        <v>87</v>
      </c>
      <c r="M79" t="str">
        <f>TEXT(Table13[[#This Row],[Order Date]],"MMM")</f>
        <v>Jan</v>
      </c>
      <c r="N79">
        <f>YEAR(Table13[[#This Row],[Order Date]])</f>
        <v>2022</v>
      </c>
      <c r="O79" t="str">
        <f>"Q"&amp;ROUNDUP(MONTH(Table13[[#This Row],[Order Date]])/3,0)</f>
        <v>Q1</v>
      </c>
      <c r="P79" s="5">
        <f>Table13[[#This Row],[Profit]]/Table13[[#This Row],[Amount]]</f>
        <v>4.8845470692717587E-2</v>
      </c>
      <c r="Q79" s="6">
        <f>Table13[[#This Row],[Amount]]/Table13[[#This Row],[Quantity]]</f>
        <v>1126</v>
      </c>
    </row>
    <row r="80" spans="1:17" x14ac:dyDescent="0.3">
      <c r="A80" t="s">
        <v>148</v>
      </c>
      <c r="B80">
        <v>1126</v>
      </c>
      <c r="C80">
        <v>55</v>
      </c>
      <c r="D80">
        <v>1</v>
      </c>
      <c r="E80" t="s">
        <v>45</v>
      </c>
      <c r="F80" t="s">
        <v>109</v>
      </c>
      <c r="G80" t="s">
        <v>15</v>
      </c>
      <c r="H80" s="1">
        <v>44911</v>
      </c>
      <c r="I80" t="s">
        <v>151</v>
      </c>
      <c r="J80" t="s">
        <v>25</v>
      </c>
      <c r="K80" t="s">
        <v>26</v>
      </c>
      <c r="L80" s="2" t="s">
        <v>152</v>
      </c>
      <c r="M80" t="str">
        <f>TEXT(Table13[[#This Row],[Order Date]],"MMM")</f>
        <v>Dec</v>
      </c>
      <c r="N80">
        <f>YEAR(Table13[[#This Row],[Order Date]])</f>
        <v>2022</v>
      </c>
      <c r="O80" t="str">
        <f>"Q"&amp;ROUNDUP(MONTH(Table13[[#This Row],[Order Date]])/3,0)</f>
        <v>Q4</v>
      </c>
      <c r="P80" s="5">
        <f>Table13[[#This Row],[Profit]]/Table13[[#This Row],[Amount]]</f>
        <v>4.8845470692717587E-2</v>
      </c>
      <c r="Q80" s="6">
        <f>Table13[[#This Row],[Amount]]/Table13[[#This Row],[Quantity]]</f>
        <v>1126</v>
      </c>
    </row>
    <row r="81" spans="1:17" x14ac:dyDescent="0.3">
      <c r="A81" t="s">
        <v>153</v>
      </c>
      <c r="B81">
        <v>7533</v>
      </c>
      <c r="C81">
        <v>3508</v>
      </c>
      <c r="D81">
        <v>12</v>
      </c>
      <c r="E81" t="s">
        <v>45</v>
      </c>
      <c r="F81" t="s">
        <v>46</v>
      </c>
      <c r="G81" t="s">
        <v>15</v>
      </c>
      <c r="H81" s="1">
        <v>45120</v>
      </c>
      <c r="I81" t="s">
        <v>154</v>
      </c>
      <c r="J81" t="s">
        <v>42</v>
      </c>
      <c r="K81" t="s">
        <v>75</v>
      </c>
      <c r="L81" s="2" t="s">
        <v>105</v>
      </c>
      <c r="M81" t="str">
        <f>TEXT(Table13[[#This Row],[Order Date]],"MMM")</f>
        <v>Jul</v>
      </c>
      <c r="N81">
        <f>YEAR(Table13[[#This Row],[Order Date]])</f>
        <v>2023</v>
      </c>
      <c r="O81" t="str">
        <f>"Q"&amp;ROUNDUP(MONTH(Table13[[#This Row],[Order Date]])/3,0)</f>
        <v>Q3</v>
      </c>
      <c r="P81" s="5">
        <f>Table13[[#This Row],[Profit]]/Table13[[#This Row],[Amount]]</f>
        <v>0.46568432231514667</v>
      </c>
      <c r="Q81" s="6">
        <f>Table13[[#This Row],[Amount]]/Table13[[#This Row],[Quantity]]</f>
        <v>627.75</v>
      </c>
    </row>
    <row r="82" spans="1:17" x14ac:dyDescent="0.3">
      <c r="A82" t="s">
        <v>153</v>
      </c>
      <c r="B82">
        <v>4734</v>
      </c>
      <c r="C82">
        <v>1178</v>
      </c>
      <c r="D82">
        <v>16</v>
      </c>
      <c r="E82" t="s">
        <v>30</v>
      </c>
      <c r="F82" t="s">
        <v>78</v>
      </c>
      <c r="G82" t="s">
        <v>47</v>
      </c>
      <c r="H82" s="1">
        <v>45120</v>
      </c>
      <c r="I82" t="s">
        <v>154</v>
      </c>
      <c r="J82" t="s">
        <v>42</v>
      </c>
      <c r="K82" t="s">
        <v>75</v>
      </c>
      <c r="L82" s="2" t="s">
        <v>105</v>
      </c>
      <c r="M82" t="str">
        <f>TEXT(Table13[[#This Row],[Order Date]],"MMM")</f>
        <v>Jul</v>
      </c>
      <c r="N82">
        <f>YEAR(Table13[[#This Row],[Order Date]])</f>
        <v>2023</v>
      </c>
      <c r="O82" t="str">
        <f>"Q"&amp;ROUNDUP(MONTH(Table13[[#This Row],[Order Date]])/3,0)</f>
        <v>Q3</v>
      </c>
      <c r="P82" s="5">
        <f>Table13[[#This Row],[Profit]]/Table13[[#This Row],[Amount]]</f>
        <v>0.24883819180397126</v>
      </c>
      <c r="Q82" s="6">
        <f>Table13[[#This Row],[Amount]]/Table13[[#This Row],[Quantity]]</f>
        <v>295.875</v>
      </c>
    </row>
    <row r="83" spans="1:17" x14ac:dyDescent="0.3">
      <c r="A83" t="s">
        <v>153</v>
      </c>
      <c r="B83">
        <v>4074</v>
      </c>
      <c r="C83">
        <v>1175</v>
      </c>
      <c r="D83">
        <v>6</v>
      </c>
      <c r="E83" t="s">
        <v>13</v>
      </c>
      <c r="F83" t="s">
        <v>14</v>
      </c>
      <c r="G83" t="s">
        <v>32</v>
      </c>
      <c r="H83" s="1">
        <v>45120</v>
      </c>
      <c r="I83" t="s">
        <v>154</v>
      </c>
      <c r="J83" t="s">
        <v>42</v>
      </c>
      <c r="K83" t="s">
        <v>75</v>
      </c>
      <c r="L83" s="2" t="s">
        <v>105</v>
      </c>
      <c r="M83" t="str">
        <f>TEXT(Table13[[#This Row],[Order Date]],"MMM")</f>
        <v>Jul</v>
      </c>
      <c r="N83">
        <f>YEAR(Table13[[#This Row],[Order Date]])</f>
        <v>2023</v>
      </c>
      <c r="O83" t="str">
        <f>"Q"&amp;ROUNDUP(MONTH(Table13[[#This Row],[Order Date]])/3,0)</f>
        <v>Q3</v>
      </c>
      <c r="P83" s="5">
        <f>Table13[[#This Row],[Profit]]/Table13[[#This Row],[Amount]]</f>
        <v>0.28841433480608736</v>
      </c>
      <c r="Q83" s="6">
        <f>Table13[[#This Row],[Amount]]/Table13[[#This Row],[Quantity]]</f>
        <v>679</v>
      </c>
    </row>
    <row r="84" spans="1:17" x14ac:dyDescent="0.3">
      <c r="A84" t="s">
        <v>153</v>
      </c>
      <c r="B84">
        <v>2334</v>
      </c>
      <c r="C84">
        <v>484</v>
      </c>
      <c r="D84">
        <v>3</v>
      </c>
      <c r="E84" t="s">
        <v>45</v>
      </c>
      <c r="F84" t="s">
        <v>60</v>
      </c>
      <c r="G84" t="s">
        <v>47</v>
      </c>
      <c r="H84" s="1">
        <v>45120</v>
      </c>
      <c r="I84" t="s">
        <v>154</v>
      </c>
      <c r="J84" t="s">
        <v>42</v>
      </c>
      <c r="K84" t="s">
        <v>75</v>
      </c>
      <c r="L84" s="2" t="s">
        <v>105</v>
      </c>
      <c r="M84" t="str">
        <f>TEXT(Table13[[#This Row],[Order Date]],"MMM")</f>
        <v>Jul</v>
      </c>
      <c r="N84">
        <f>YEAR(Table13[[#This Row],[Order Date]])</f>
        <v>2023</v>
      </c>
      <c r="O84" t="str">
        <f>"Q"&amp;ROUNDUP(MONTH(Table13[[#This Row],[Order Date]])/3,0)</f>
        <v>Q3</v>
      </c>
      <c r="P84" s="5">
        <f>Table13[[#This Row],[Profit]]/Table13[[#This Row],[Amount]]</f>
        <v>0.207369323050557</v>
      </c>
      <c r="Q84" s="6">
        <f>Table13[[#This Row],[Amount]]/Table13[[#This Row],[Quantity]]</f>
        <v>778</v>
      </c>
    </row>
    <row r="85" spans="1:17" x14ac:dyDescent="0.3">
      <c r="A85" t="s">
        <v>155</v>
      </c>
      <c r="B85">
        <v>2750</v>
      </c>
      <c r="C85">
        <v>1239</v>
      </c>
      <c r="D85">
        <v>11</v>
      </c>
      <c r="E85" t="s">
        <v>13</v>
      </c>
      <c r="F85" t="s">
        <v>82</v>
      </c>
      <c r="G85" t="s">
        <v>32</v>
      </c>
      <c r="H85" s="1">
        <v>45726</v>
      </c>
      <c r="I85" t="s">
        <v>156</v>
      </c>
      <c r="J85" t="s">
        <v>25</v>
      </c>
      <c r="K85" t="s">
        <v>26</v>
      </c>
      <c r="L85" s="2" t="s">
        <v>157</v>
      </c>
      <c r="M85" t="str">
        <f>TEXT(Table13[[#This Row],[Order Date]],"MMM")</f>
        <v>Mar</v>
      </c>
      <c r="N85">
        <f>YEAR(Table13[[#This Row],[Order Date]])</f>
        <v>2025</v>
      </c>
      <c r="O85" t="str">
        <f>"Q"&amp;ROUNDUP(MONTH(Table13[[#This Row],[Order Date]])/3,0)</f>
        <v>Q1</v>
      </c>
      <c r="P85" s="5">
        <f>Table13[[#This Row],[Profit]]/Table13[[#This Row],[Amount]]</f>
        <v>0.45054545454545453</v>
      </c>
      <c r="Q85" s="6">
        <f>Table13[[#This Row],[Amount]]/Table13[[#This Row],[Quantity]]</f>
        <v>250</v>
      </c>
    </row>
    <row r="86" spans="1:17" x14ac:dyDescent="0.3">
      <c r="A86" t="s">
        <v>155</v>
      </c>
      <c r="B86">
        <v>2750</v>
      </c>
      <c r="C86">
        <v>1239</v>
      </c>
      <c r="D86">
        <v>11</v>
      </c>
      <c r="E86" t="s">
        <v>13</v>
      </c>
      <c r="F86" t="s">
        <v>82</v>
      </c>
      <c r="G86" t="s">
        <v>32</v>
      </c>
      <c r="H86" s="1">
        <v>45559</v>
      </c>
      <c r="I86" t="s">
        <v>158</v>
      </c>
      <c r="J86" t="s">
        <v>98</v>
      </c>
      <c r="K86" t="s">
        <v>117</v>
      </c>
      <c r="L86" s="2" t="s">
        <v>159</v>
      </c>
      <c r="M86" t="str">
        <f>TEXT(Table13[[#This Row],[Order Date]],"MMM")</f>
        <v>Sep</v>
      </c>
      <c r="N86">
        <f>YEAR(Table13[[#This Row],[Order Date]])</f>
        <v>2024</v>
      </c>
      <c r="O86" t="str">
        <f>"Q"&amp;ROUNDUP(MONTH(Table13[[#This Row],[Order Date]])/3,0)</f>
        <v>Q3</v>
      </c>
      <c r="P86" s="5">
        <f>Table13[[#This Row],[Profit]]/Table13[[#This Row],[Amount]]</f>
        <v>0.45054545454545453</v>
      </c>
      <c r="Q86" s="6">
        <f>Table13[[#This Row],[Amount]]/Table13[[#This Row],[Quantity]]</f>
        <v>250</v>
      </c>
    </row>
    <row r="87" spans="1:17" x14ac:dyDescent="0.3">
      <c r="A87" t="s">
        <v>155</v>
      </c>
      <c r="B87">
        <v>8639</v>
      </c>
      <c r="C87">
        <v>3104</v>
      </c>
      <c r="D87">
        <v>19</v>
      </c>
      <c r="E87" t="s">
        <v>30</v>
      </c>
      <c r="F87" t="s">
        <v>31</v>
      </c>
      <c r="G87" t="s">
        <v>40</v>
      </c>
      <c r="H87" s="1">
        <v>45726</v>
      </c>
      <c r="I87" t="s">
        <v>156</v>
      </c>
      <c r="J87" t="s">
        <v>25</v>
      </c>
      <c r="K87" t="s">
        <v>26</v>
      </c>
      <c r="L87" s="2" t="s">
        <v>157</v>
      </c>
      <c r="M87" t="str">
        <f>TEXT(Table13[[#This Row],[Order Date]],"MMM")</f>
        <v>Mar</v>
      </c>
      <c r="N87">
        <f>YEAR(Table13[[#This Row],[Order Date]])</f>
        <v>2025</v>
      </c>
      <c r="O87" t="str">
        <f>"Q"&amp;ROUNDUP(MONTH(Table13[[#This Row],[Order Date]])/3,0)</f>
        <v>Q1</v>
      </c>
      <c r="P87" s="5">
        <f>Table13[[#This Row],[Profit]]/Table13[[#This Row],[Amount]]</f>
        <v>0.35930084500520892</v>
      </c>
      <c r="Q87" s="6">
        <f>Table13[[#This Row],[Amount]]/Table13[[#This Row],[Quantity]]</f>
        <v>454.68421052631578</v>
      </c>
    </row>
    <row r="88" spans="1:17" x14ac:dyDescent="0.3">
      <c r="A88" t="s">
        <v>155</v>
      </c>
      <c r="B88">
        <v>8639</v>
      </c>
      <c r="C88">
        <v>3104</v>
      </c>
      <c r="D88">
        <v>19</v>
      </c>
      <c r="E88" t="s">
        <v>30</v>
      </c>
      <c r="F88" t="s">
        <v>31</v>
      </c>
      <c r="G88" t="s">
        <v>40</v>
      </c>
      <c r="H88" s="1">
        <v>45559</v>
      </c>
      <c r="I88" t="s">
        <v>158</v>
      </c>
      <c r="J88" t="s">
        <v>98</v>
      </c>
      <c r="K88" t="s">
        <v>117</v>
      </c>
      <c r="L88" s="2" t="s">
        <v>159</v>
      </c>
      <c r="M88" t="str">
        <f>TEXT(Table13[[#This Row],[Order Date]],"MMM")</f>
        <v>Sep</v>
      </c>
      <c r="N88">
        <f>YEAR(Table13[[#This Row],[Order Date]])</f>
        <v>2024</v>
      </c>
      <c r="O88" t="str">
        <f>"Q"&amp;ROUNDUP(MONTH(Table13[[#This Row],[Order Date]])/3,0)</f>
        <v>Q3</v>
      </c>
      <c r="P88" s="5">
        <f>Table13[[#This Row],[Profit]]/Table13[[#This Row],[Amount]]</f>
        <v>0.35930084500520892</v>
      </c>
      <c r="Q88" s="6">
        <f>Table13[[#This Row],[Amount]]/Table13[[#This Row],[Quantity]]</f>
        <v>454.68421052631578</v>
      </c>
    </row>
    <row r="89" spans="1:17" x14ac:dyDescent="0.3">
      <c r="A89" t="s">
        <v>160</v>
      </c>
      <c r="B89">
        <v>3808</v>
      </c>
      <c r="C89">
        <v>1192</v>
      </c>
      <c r="D89">
        <v>4</v>
      </c>
      <c r="E89" t="s">
        <v>30</v>
      </c>
      <c r="F89" t="s">
        <v>57</v>
      </c>
      <c r="G89" t="s">
        <v>15</v>
      </c>
      <c r="H89" s="1">
        <v>43934</v>
      </c>
      <c r="I89" t="s">
        <v>161</v>
      </c>
      <c r="J89" t="s">
        <v>25</v>
      </c>
      <c r="K89" t="s">
        <v>51</v>
      </c>
      <c r="L89" s="2" t="s">
        <v>162</v>
      </c>
      <c r="M89" t="str">
        <f>TEXT(Table13[[#This Row],[Order Date]],"MMM")</f>
        <v>Apr</v>
      </c>
      <c r="N89">
        <f>YEAR(Table13[[#This Row],[Order Date]])</f>
        <v>2020</v>
      </c>
      <c r="O89" t="str">
        <f>"Q"&amp;ROUNDUP(MONTH(Table13[[#This Row],[Order Date]])/3,0)</f>
        <v>Q2</v>
      </c>
      <c r="P89" s="5">
        <f>Table13[[#This Row],[Profit]]/Table13[[#This Row],[Amount]]</f>
        <v>0.31302521008403361</v>
      </c>
      <c r="Q89" s="6">
        <f>Table13[[#This Row],[Amount]]/Table13[[#This Row],[Quantity]]</f>
        <v>952</v>
      </c>
    </row>
    <row r="90" spans="1:17" x14ac:dyDescent="0.3">
      <c r="A90" t="s">
        <v>160</v>
      </c>
      <c r="B90">
        <v>2588</v>
      </c>
      <c r="C90">
        <v>705</v>
      </c>
      <c r="D90">
        <v>16</v>
      </c>
      <c r="E90" t="s">
        <v>30</v>
      </c>
      <c r="F90" t="s">
        <v>31</v>
      </c>
      <c r="G90" t="s">
        <v>47</v>
      </c>
      <c r="H90" s="1">
        <v>43934</v>
      </c>
      <c r="I90" t="s">
        <v>161</v>
      </c>
      <c r="J90" t="s">
        <v>25</v>
      </c>
      <c r="K90" t="s">
        <v>51</v>
      </c>
      <c r="L90" s="2" t="s">
        <v>162</v>
      </c>
      <c r="M90" t="str">
        <f>TEXT(Table13[[#This Row],[Order Date]],"MMM")</f>
        <v>Apr</v>
      </c>
      <c r="N90">
        <f>YEAR(Table13[[#This Row],[Order Date]])</f>
        <v>2020</v>
      </c>
      <c r="O90" t="str">
        <f>"Q"&amp;ROUNDUP(MONTH(Table13[[#This Row],[Order Date]])/3,0)</f>
        <v>Q2</v>
      </c>
      <c r="P90" s="5">
        <f>Table13[[#This Row],[Profit]]/Table13[[#This Row],[Amount]]</f>
        <v>0.27241112828438951</v>
      </c>
      <c r="Q90" s="6">
        <f>Table13[[#This Row],[Amount]]/Table13[[#This Row],[Quantity]]</f>
        <v>161.75</v>
      </c>
    </row>
    <row r="91" spans="1:17" x14ac:dyDescent="0.3">
      <c r="A91" t="s">
        <v>163</v>
      </c>
      <c r="B91">
        <v>1591</v>
      </c>
      <c r="C91">
        <v>727</v>
      </c>
      <c r="D91">
        <v>5</v>
      </c>
      <c r="E91" t="s">
        <v>13</v>
      </c>
      <c r="F91" t="s">
        <v>14</v>
      </c>
      <c r="G91" t="s">
        <v>47</v>
      </c>
      <c r="H91" s="1">
        <v>44739</v>
      </c>
      <c r="I91" t="s">
        <v>164</v>
      </c>
      <c r="J91" t="s">
        <v>21</v>
      </c>
      <c r="K91" t="s">
        <v>63</v>
      </c>
      <c r="L91" s="2" t="s">
        <v>165</v>
      </c>
      <c r="M91" t="str">
        <f>TEXT(Table13[[#This Row],[Order Date]],"MMM")</f>
        <v>Jun</v>
      </c>
      <c r="N91">
        <f>YEAR(Table13[[#This Row],[Order Date]])</f>
        <v>2022</v>
      </c>
      <c r="O91" t="str">
        <f>"Q"&amp;ROUNDUP(MONTH(Table13[[#This Row],[Order Date]])/3,0)</f>
        <v>Q2</v>
      </c>
      <c r="P91" s="5">
        <f>Table13[[#This Row],[Profit]]/Table13[[#This Row],[Amount]]</f>
        <v>0.4569453174104337</v>
      </c>
      <c r="Q91" s="6">
        <f>Table13[[#This Row],[Amount]]/Table13[[#This Row],[Quantity]]</f>
        <v>318.2</v>
      </c>
    </row>
    <row r="92" spans="1:17" x14ac:dyDescent="0.3">
      <c r="A92" t="s">
        <v>163</v>
      </c>
      <c r="B92">
        <v>1591</v>
      </c>
      <c r="C92">
        <v>727</v>
      </c>
      <c r="D92">
        <v>5</v>
      </c>
      <c r="E92" t="s">
        <v>13</v>
      </c>
      <c r="F92" t="s">
        <v>14</v>
      </c>
      <c r="G92" t="s">
        <v>47</v>
      </c>
      <c r="H92" s="1">
        <v>44269</v>
      </c>
      <c r="I92" t="s">
        <v>166</v>
      </c>
      <c r="J92" t="s">
        <v>17</v>
      </c>
      <c r="K92" t="s">
        <v>150</v>
      </c>
      <c r="L92" s="2" t="s">
        <v>167</v>
      </c>
      <c r="M92" t="str">
        <f>TEXT(Table13[[#This Row],[Order Date]],"MMM")</f>
        <v>Mar</v>
      </c>
      <c r="N92">
        <f>YEAR(Table13[[#This Row],[Order Date]])</f>
        <v>2021</v>
      </c>
      <c r="O92" t="str">
        <f>"Q"&amp;ROUNDUP(MONTH(Table13[[#This Row],[Order Date]])/3,0)</f>
        <v>Q1</v>
      </c>
      <c r="P92" s="5">
        <f>Table13[[#This Row],[Profit]]/Table13[[#This Row],[Amount]]</f>
        <v>0.4569453174104337</v>
      </c>
      <c r="Q92" s="6">
        <f>Table13[[#This Row],[Amount]]/Table13[[#This Row],[Quantity]]</f>
        <v>318.2</v>
      </c>
    </row>
    <row r="93" spans="1:17" x14ac:dyDescent="0.3">
      <c r="A93" t="s">
        <v>163</v>
      </c>
      <c r="B93">
        <v>1591</v>
      </c>
      <c r="C93">
        <v>727</v>
      </c>
      <c r="D93">
        <v>5</v>
      </c>
      <c r="E93" t="s">
        <v>13</v>
      </c>
      <c r="F93" t="s">
        <v>14</v>
      </c>
      <c r="G93" t="s">
        <v>47</v>
      </c>
      <c r="H93" s="1">
        <v>44615</v>
      </c>
      <c r="I93" t="s">
        <v>168</v>
      </c>
      <c r="J93" t="s">
        <v>98</v>
      </c>
      <c r="K93" t="s">
        <v>107</v>
      </c>
      <c r="L93" s="2" t="s">
        <v>137</v>
      </c>
      <c r="M93" t="str">
        <f>TEXT(Table13[[#This Row],[Order Date]],"MMM")</f>
        <v>Feb</v>
      </c>
      <c r="N93">
        <f>YEAR(Table13[[#This Row],[Order Date]])</f>
        <v>2022</v>
      </c>
      <c r="O93" t="str">
        <f>"Q"&amp;ROUNDUP(MONTH(Table13[[#This Row],[Order Date]])/3,0)</f>
        <v>Q1</v>
      </c>
      <c r="P93" s="5">
        <f>Table13[[#This Row],[Profit]]/Table13[[#This Row],[Amount]]</f>
        <v>0.4569453174104337</v>
      </c>
      <c r="Q93" s="6">
        <f>Table13[[#This Row],[Amount]]/Table13[[#This Row],[Quantity]]</f>
        <v>318.2</v>
      </c>
    </row>
    <row r="94" spans="1:17" x14ac:dyDescent="0.3">
      <c r="A94" t="s">
        <v>169</v>
      </c>
      <c r="B94">
        <v>1757</v>
      </c>
      <c r="C94">
        <v>622</v>
      </c>
      <c r="D94">
        <v>10</v>
      </c>
      <c r="E94" t="s">
        <v>45</v>
      </c>
      <c r="F94" t="s">
        <v>49</v>
      </c>
      <c r="G94" t="s">
        <v>15</v>
      </c>
      <c r="H94" s="1">
        <v>44649</v>
      </c>
      <c r="I94" t="s">
        <v>170</v>
      </c>
      <c r="J94" t="s">
        <v>98</v>
      </c>
      <c r="K94" t="s">
        <v>117</v>
      </c>
      <c r="L94" s="2" t="s">
        <v>134</v>
      </c>
      <c r="M94" t="str">
        <f>TEXT(Table13[[#This Row],[Order Date]],"MMM")</f>
        <v>Mar</v>
      </c>
      <c r="N94">
        <f>YEAR(Table13[[#This Row],[Order Date]])</f>
        <v>2022</v>
      </c>
      <c r="O94" t="str">
        <f>"Q"&amp;ROUNDUP(MONTH(Table13[[#This Row],[Order Date]])/3,0)</f>
        <v>Q1</v>
      </c>
      <c r="P94" s="5">
        <f>Table13[[#This Row],[Profit]]/Table13[[#This Row],[Amount]]</f>
        <v>0.35401252134319866</v>
      </c>
      <c r="Q94" s="6">
        <f>Table13[[#This Row],[Amount]]/Table13[[#This Row],[Quantity]]</f>
        <v>175.7</v>
      </c>
    </row>
    <row r="95" spans="1:17" x14ac:dyDescent="0.3">
      <c r="A95" t="s">
        <v>169</v>
      </c>
      <c r="B95">
        <v>1757</v>
      </c>
      <c r="C95">
        <v>622</v>
      </c>
      <c r="D95">
        <v>10</v>
      </c>
      <c r="E95" t="s">
        <v>45</v>
      </c>
      <c r="F95" t="s">
        <v>49</v>
      </c>
      <c r="G95" t="s">
        <v>15</v>
      </c>
      <c r="H95" s="1">
        <v>44885</v>
      </c>
      <c r="I95" t="s">
        <v>171</v>
      </c>
      <c r="J95" t="s">
        <v>21</v>
      </c>
      <c r="K95" t="s">
        <v>172</v>
      </c>
      <c r="L95" s="2" t="s">
        <v>44</v>
      </c>
      <c r="M95" t="str">
        <f>TEXT(Table13[[#This Row],[Order Date]],"MMM")</f>
        <v>Nov</v>
      </c>
      <c r="N95">
        <f>YEAR(Table13[[#This Row],[Order Date]])</f>
        <v>2022</v>
      </c>
      <c r="O95" t="str">
        <f>"Q"&amp;ROUNDUP(MONTH(Table13[[#This Row],[Order Date]])/3,0)</f>
        <v>Q4</v>
      </c>
      <c r="P95" s="5">
        <f>Table13[[#This Row],[Profit]]/Table13[[#This Row],[Amount]]</f>
        <v>0.35401252134319866</v>
      </c>
      <c r="Q95" s="6">
        <f>Table13[[#This Row],[Amount]]/Table13[[#This Row],[Quantity]]</f>
        <v>175.7</v>
      </c>
    </row>
    <row r="96" spans="1:17" x14ac:dyDescent="0.3">
      <c r="A96" t="s">
        <v>173</v>
      </c>
      <c r="B96">
        <v>6940</v>
      </c>
      <c r="C96">
        <v>253</v>
      </c>
      <c r="D96">
        <v>15</v>
      </c>
      <c r="E96" t="s">
        <v>45</v>
      </c>
      <c r="F96" t="s">
        <v>109</v>
      </c>
      <c r="G96" t="s">
        <v>32</v>
      </c>
      <c r="H96" s="1">
        <v>44512</v>
      </c>
      <c r="I96" t="s">
        <v>174</v>
      </c>
      <c r="J96" t="s">
        <v>17</v>
      </c>
      <c r="K96" t="s">
        <v>34</v>
      </c>
      <c r="L96" s="2" t="s">
        <v>175</v>
      </c>
      <c r="M96" t="str">
        <f>TEXT(Table13[[#This Row],[Order Date]],"MMM")</f>
        <v>Nov</v>
      </c>
      <c r="N96">
        <f>YEAR(Table13[[#This Row],[Order Date]])</f>
        <v>2021</v>
      </c>
      <c r="O96" t="str">
        <f>"Q"&amp;ROUNDUP(MONTH(Table13[[#This Row],[Order Date]])/3,0)</f>
        <v>Q4</v>
      </c>
      <c r="P96" s="5">
        <f>Table13[[#This Row],[Profit]]/Table13[[#This Row],[Amount]]</f>
        <v>3.6455331412103748E-2</v>
      </c>
      <c r="Q96" s="6">
        <f>Table13[[#This Row],[Amount]]/Table13[[#This Row],[Quantity]]</f>
        <v>462.66666666666669</v>
      </c>
    </row>
    <row r="97" spans="1:17" x14ac:dyDescent="0.3">
      <c r="A97" t="s">
        <v>173</v>
      </c>
      <c r="B97">
        <v>5105</v>
      </c>
      <c r="C97">
        <v>465</v>
      </c>
      <c r="D97">
        <v>5</v>
      </c>
      <c r="E97" t="s">
        <v>13</v>
      </c>
      <c r="F97" t="s">
        <v>28</v>
      </c>
      <c r="G97" t="s">
        <v>15</v>
      </c>
      <c r="H97" s="1">
        <v>44512</v>
      </c>
      <c r="I97" t="s">
        <v>174</v>
      </c>
      <c r="J97" t="s">
        <v>17</v>
      </c>
      <c r="K97" t="s">
        <v>34</v>
      </c>
      <c r="L97" s="2" t="s">
        <v>175</v>
      </c>
      <c r="M97" t="str">
        <f>TEXT(Table13[[#This Row],[Order Date]],"MMM")</f>
        <v>Nov</v>
      </c>
      <c r="N97">
        <f>YEAR(Table13[[#This Row],[Order Date]])</f>
        <v>2021</v>
      </c>
      <c r="O97" t="str">
        <f>"Q"&amp;ROUNDUP(MONTH(Table13[[#This Row],[Order Date]])/3,0)</f>
        <v>Q4</v>
      </c>
      <c r="P97" s="5">
        <f>Table13[[#This Row],[Profit]]/Table13[[#This Row],[Amount]]</f>
        <v>9.1087169441723806E-2</v>
      </c>
      <c r="Q97" s="6">
        <f>Table13[[#This Row],[Amount]]/Table13[[#This Row],[Quantity]]</f>
        <v>1021</v>
      </c>
    </row>
    <row r="98" spans="1:17" x14ac:dyDescent="0.3">
      <c r="A98" t="s">
        <v>176</v>
      </c>
      <c r="B98">
        <v>5578</v>
      </c>
      <c r="C98">
        <v>277</v>
      </c>
      <c r="D98">
        <v>16</v>
      </c>
      <c r="E98" t="s">
        <v>45</v>
      </c>
      <c r="F98" t="s">
        <v>46</v>
      </c>
      <c r="G98" t="s">
        <v>65</v>
      </c>
      <c r="H98" s="1">
        <v>44425</v>
      </c>
      <c r="I98" t="s">
        <v>177</v>
      </c>
      <c r="J98" t="s">
        <v>17</v>
      </c>
      <c r="K98" t="s">
        <v>18</v>
      </c>
      <c r="L98" s="2" t="s">
        <v>178</v>
      </c>
      <c r="M98" t="str">
        <f>TEXT(Table13[[#This Row],[Order Date]],"MMM")</f>
        <v>Aug</v>
      </c>
      <c r="N98">
        <f>YEAR(Table13[[#This Row],[Order Date]])</f>
        <v>2021</v>
      </c>
      <c r="O98" t="str">
        <f>"Q"&amp;ROUNDUP(MONTH(Table13[[#This Row],[Order Date]])/3,0)</f>
        <v>Q3</v>
      </c>
      <c r="P98" s="5">
        <f>Table13[[#This Row],[Profit]]/Table13[[#This Row],[Amount]]</f>
        <v>4.9659376120473289E-2</v>
      </c>
      <c r="Q98" s="6">
        <f>Table13[[#This Row],[Amount]]/Table13[[#This Row],[Quantity]]</f>
        <v>348.625</v>
      </c>
    </row>
    <row r="99" spans="1:17" x14ac:dyDescent="0.3">
      <c r="A99" t="s">
        <v>176</v>
      </c>
      <c r="B99">
        <v>5578</v>
      </c>
      <c r="C99">
        <v>277</v>
      </c>
      <c r="D99">
        <v>16</v>
      </c>
      <c r="E99" t="s">
        <v>45</v>
      </c>
      <c r="F99" t="s">
        <v>46</v>
      </c>
      <c r="G99" t="s">
        <v>65</v>
      </c>
      <c r="H99" s="1">
        <v>44697</v>
      </c>
      <c r="I99" t="s">
        <v>179</v>
      </c>
      <c r="J99" t="s">
        <v>98</v>
      </c>
      <c r="K99" t="s">
        <v>99</v>
      </c>
      <c r="L99" s="2" t="s">
        <v>180</v>
      </c>
      <c r="M99" t="str">
        <f>TEXT(Table13[[#This Row],[Order Date]],"MMM")</f>
        <v>May</v>
      </c>
      <c r="N99">
        <f>YEAR(Table13[[#This Row],[Order Date]])</f>
        <v>2022</v>
      </c>
      <c r="O99" t="str">
        <f>"Q"&amp;ROUNDUP(MONTH(Table13[[#This Row],[Order Date]])/3,0)</f>
        <v>Q2</v>
      </c>
      <c r="P99" s="5">
        <f>Table13[[#This Row],[Profit]]/Table13[[#This Row],[Amount]]</f>
        <v>4.9659376120473289E-2</v>
      </c>
      <c r="Q99" s="6">
        <f>Table13[[#This Row],[Amount]]/Table13[[#This Row],[Quantity]]</f>
        <v>348.625</v>
      </c>
    </row>
    <row r="100" spans="1:17" x14ac:dyDescent="0.3">
      <c r="A100" t="s">
        <v>181</v>
      </c>
      <c r="B100">
        <v>5224</v>
      </c>
      <c r="C100">
        <v>1958</v>
      </c>
      <c r="D100">
        <v>16</v>
      </c>
      <c r="E100" t="s">
        <v>45</v>
      </c>
      <c r="F100" t="s">
        <v>49</v>
      </c>
      <c r="G100" t="s">
        <v>47</v>
      </c>
      <c r="H100" s="1">
        <v>45123</v>
      </c>
      <c r="I100" t="s">
        <v>182</v>
      </c>
      <c r="J100" t="s">
        <v>71</v>
      </c>
      <c r="K100" t="s">
        <v>138</v>
      </c>
      <c r="L100" s="2" t="s">
        <v>105</v>
      </c>
      <c r="M100" t="str">
        <f>TEXT(Table13[[#This Row],[Order Date]],"MMM")</f>
        <v>Jul</v>
      </c>
      <c r="N100">
        <f>YEAR(Table13[[#This Row],[Order Date]])</f>
        <v>2023</v>
      </c>
      <c r="O100" t="str">
        <f>"Q"&amp;ROUNDUP(MONTH(Table13[[#This Row],[Order Date]])/3,0)</f>
        <v>Q3</v>
      </c>
      <c r="P100" s="5">
        <f>Table13[[#This Row],[Profit]]/Table13[[#This Row],[Amount]]</f>
        <v>0.37480857580398164</v>
      </c>
      <c r="Q100" s="6">
        <f>Table13[[#This Row],[Amount]]/Table13[[#This Row],[Quantity]]</f>
        <v>326.5</v>
      </c>
    </row>
    <row r="101" spans="1:17" x14ac:dyDescent="0.3">
      <c r="A101" t="s">
        <v>181</v>
      </c>
      <c r="B101">
        <v>5002</v>
      </c>
      <c r="C101">
        <v>1801</v>
      </c>
      <c r="D101">
        <v>11</v>
      </c>
      <c r="E101" t="s">
        <v>30</v>
      </c>
      <c r="F101" t="s">
        <v>57</v>
      </c>
      <c r="G101" t="s">
        <v>47</v>
      </c>
      <c r="H101" s="1">
        <v>45123</v>
      </c>
      <c r="I101" t="s">
        <v>182</v>
      </c>
      <c r="J101" t="s">
        <v>71</v>
      </c>
      <c r="K101" t="s">
        <v>138</v>
      </c>
      <c r="L101" s="2" t="s">
        <v>105</v>
      </c>
      <c r="M101" t="str">
        <f>TEXT(Table13[[#This Row],[Order Date]],"MMM")</f>
        <v>Jul</v>
      </c>
      <c r="N101">
        <f>YEAR(Table13[[#This Row],[Order Date]])</f>
        <v>2023</v>
      </c>
      <c r="O101" t="str">
        <f>"Q"&amp;ROUNDUP(MONTH(Table13[[#This Row],[Order Date]])/3,0)</f>
        <v>Q3</v>
      </c>
      <c r="P101" s="5">
        <f>Table13[[#This Row],[Profit]]/Table13[[#This Row],[Amount]]</f>
        <v>0.36005597760895641</v>
      </c>
      <c r="Q101" s="6">
        <f>Table13[[#This Row],[Amount]]/Table13[[#This Row],[Quantity]]</f>
        <v>454.72727272727275</v>
      </c>
    </row>
    <row r="102" spans="1:17" x14ac:dyDescent="0.3">
      <c r="A102" t="s">
        <v>181</v>
      </c>
      <c r="B102">
        <v>7380</v>
      </c>
      <c r="C102">
        <v>1673</v>
      </c>
      <c r="D102">
        <v>18</v>
      </c>
      <c r="E102" t="s">
        <v>30</v>
      </c>
      <c r="F102" t="s">
        <v>57</v>
      </c>
      <c r="G102" t="s">
        <v>65</v>
      </c>
      <c r="H102" s="1">
        <v>45123</v>
      </c>
      <c r="I102" t="s">
        <v>182</v>
      </c>
      <c r="J102" t="s">
        <v>71</v>
      </c>
      <c r="K102" t="s">
        <v>138</v>
      </c>
      <c r="L102" s="2" t="s">
        <v>105</v>
      </c>
      <c r="M102" t="str">
        <f>TEXT(Table13[[#This Row],[Order Date]],"MMM")</f>
        <v>Jul</v>
      </c>
      <c r="N102">
        <f>YEAR(Table13[[#This Row],[Order Date]])</f>
        <v>2023</v>
      </c>
      <c r="O102" t="str">
        <f>"Q"&amp;ROUNDUP(MONTH(Table13[[#This Row],[Order Date]])/3,0)</f>
        <v>Q3</v>
      </c>
      <c r="P102" s="5">
        <f>Table13[[#This Row],[Profit]]/Table13[[#This Row],[Amount]]</f>
        <v>0.22669376693766938</v>
      </c>
      <c r="Q102" s="6">
        <f>Table13[[#This Row],[Amount]]/Table13[[#This Row],[Quantity]]</f>
        <v>410</v>
      </c>
    </row>
    <row r="103" spans="1:17" x14ac:dyDescent="0.3">
      <c r="A103" t="s">
        <v>183</v>
      </c>
      <c r="B103">
        <v>7595</v>
      </c>
      <c r="C103">
        <v>2873</v>
      </c>
      <c r="D103">
        <v>4</v>
      </c>
      <c r="E103" t="s">
        <v>45</v>
      </c>
      <c r="F103" t="s">
        <v>49</v>
      </c>
      <c r="G103" t="s">
        <v>32</v>
      </c>
      <c r="H103" s="1">
        <v>44061</v>
      </c>
      <c r="I103" t="s">
        <v>184</v>
      </c>
      <c r="J103" t="s">
        <v>42</v>
      </c>
      <c r="K103" t="s">
        <v>43</v>
      </c>
      <c r="L103" s="2" t="s">
        <v>185</v>
      </c>
      <c r="M103" t="str">
        <f>TEXT(Table13[[#This Row],[Order Date]],"MMM")</f>
        <v>Aug</v>
      </c>
      <c r="N103">
        <f>YEAR(Table13[[#This Row],[Order Date]])</f>
        <v>2020</v>
      </c>
      <c r="O103" t="str">
        <f>"Q"&amp;ROUNDUP(MONTH(Table13[[#This Row],[Order Date]])/3,0)</f>
        <v>Q3</v>
      </c>
      <c r="P103" s="5">
        <f>Table13[[#This Row],[Profit]]/Table13[[#This Row],[Amount]]</f>
        <v>0.378275181040158</v>
      </c>
      <c r="Q103" s="6">
        <f>Table13[[#This Row],[Amount]]/Table13[[#This Row],[Quantity]]</f>
        <v>1898.75</v>
      </c>
    </row>
    <row r="104" spans="1:17" x14ac:dyDescent="0.3">
      <c r="A104" t="s">
        <v>183</v>
      </c>
      <c r="B104">
        <v>7595</v>
      </c>
      <c r="C104">
        <v>2873</v>
      </c>
      <c r="D104">
        <v>4</v>
      </c>
      <c r="E104" t="s">
        <v>45</v>
      </c>
      <c r="F104" t="s">
        <v>49</v>
      </c>
      <c r="G104" t="s">
        <v>32</v>
      </c>
      <c r="H104" s="1">
        <v>44670</v>
      </c>
      <c r="I104" t="s">
        <v>186</v>
      </c>
      <c r="J104" t="s">
        <v>25</v>
      </c>
      <c r="K104" t="s">
        <v>68</v>
      </c>
      <c r="L104" s="2" t="s">
        <v>187</v>
      </c>
      <c r="M104" t="str">
        <f>TEXT(Table13[[#This Row],[Order Date]],"MMM")</f>
        <v>Apr</v>
      </c>
      <c r="N104">
        <f>YEAR(Table13[[#This Row],[Order Date]])</f>
        <v>2022</v>
      </c>
      <c r="O104" t="str">
        <f>"Q"&amp;ROUNDUP(MONTH(Table13[[#This Row],[Order Date]])/3,0)</f>
        <v>Q2</v>
      </c>
      <c r="P104" s="5">
        <f>Table13[[#This Row],[Profit]]/Table13[[#This Row],[Amount]]</f>
        <v>0.378275181040158</v>
      </c>
      <c r="Q104" s="6">
        <f>Table13[[#This Row],[Amount]]/Table13[[#This Row],[Quantity]]</f>
        <v>1898.75</v>
      </c>
    </row>
    <row r="105" spans="1:17" x14ac:dyDescent="0.3">
      <c r="A105" t="s">
        <v>188</v>
      </c>
      <c r="B105">
        <v>1954</v>
      </c>
      <c r="C105">
        <v>294</v>
      </c>
      <c r="D105">
        <v>7</v>
      </c>
      <c r="E105" t="s">
        <v>45</v>
      </c>
      <c r="F105" t="s">
        <v>60</v>
      </c>
      <c r="G105" t="s">
        <v>32</v>
      </c>
      <c r="H105" s="1">
        <v>44918</v>
      </c>
      <c r="I105" t="s">
        <v>189</v>
      </c>
      <c r="J105" t="s">
        <v>71</v>
      </c>
      <c r="K105" t="s">
        <v>86</v>
      </c>
      <c r="L105" s="2" t="s">
        <v>152</v>
      </c>
      <c r="M105" t="str">
        <f>TEXT(Table13[[#This Row],[Order Date]],"MMM")</f>
        <v>Dec</v>
      </c>
      <c r="N105">
        <f>YEAR(Table13[[#This Row],[Order Date]])</f>
        <v>2022</v>
      </c>
      <c r="O105" t="str">
        <f>"Q"&amp;ROUNDUP(MONTH(Table13[[#This Row],[Order Date]])/3,0)</f>
        <v>Q4</v>
      </c>
      <c r="P105" s="5">
        <f>Table13[[#This Row],[Profit]]/Table13[[#This Row],[Amount]]</f>
        <v>0.15046059365404299</v>
      </c>
      <c r="Q105" s="6">
        <f>Table13[[#This Row],[Amount]]/Table13[[#This Row],[Quantity]]</f>
        <v>279.14285714285717</v>
      </c>
    </row>
    <row r="106" spans="1:17" x14ac:dyDescent="0.3">
      <c r="A106" t="s">
        <v>190</v>
      </c>
      <c r="B106">
        <v>523</v>
      </c>
      <c r="C106">
        <v>95</v>
      </c>
      <c r="D106">
        <v>20</v>
      </c>
      <c r="E106" t="s">
        <v>13</v>
      </c>
      <c r="F106" t="s">
        <v>28</v>
      </c>
      <c r="G106" t="s">
        <v>40</v>
      </c>
      <c r="H106" s="1">
        <v>45633</v>
      </c>
      <c r="I106" t="s">
        <v>191</v>
      </c>
      <c r="J106" t="s">
        <v>71</v>
      </c>
      <c r="K106" t="s">
        <v>72</v>
      </c>
      <c r="L106" s="2" t="s">
        <v>23</v>
      </c>
      <c r="M106" t="str">
        <f>TEXT(Table13[[#This Row],[Order Date]],"MMM")</f>
        <v>Dec</v>
      </c>
      <c r="N106">
        <f>YEAR(Table13[[#This Row],[Order Date]])</f>
        <v>2024</v>
      </c>
      <c r="O106" t="str">
        <f>"Q"&amp;ROUNDUP(MONTH(Table13[[#This Row],[Order Date]])/3,0)</f>
        <v>Q4</v>
      </c>
      <c r="P106" s="5">
        <f>Table13[[#This Row],[Profit]]/Table13[[#This Row],[Amount]]</f>
        <v>0.18164435946462715</v>
      </c>
      <c r="Q106" s="6">
        <f>Table13[[#This Row],[Amount]]/Table13[[#This Row],[Quantity]]</f>
        <v>26.15</v>
      </c>
    </row>
    <row r="107" spans="1:17" x14ac:dyDescent="0.3">
      <c r="A107" t="s">
        <v>192</v>
      </c>
      <c r="B107">
        <v>5704</v>
      </c>
      <c r="C107">
        <v>714</v>
      </c>
      <c r="D107">
        <v>13</v>
      </c>
      <c r="E107" t="s">
        <v>13</v>
      </c>
      <c r="F107" t="s">
        <v>39</v>
      </c>
      <c r="G107" t="s">
        <v>40</v>
      </c>
      <c r="H107" s="1">
        <v>44595</v>
      </c>
      <c r="I107" t="s">
        <v>193</v>
      </c>
      <c r="J107" t="s">
        <v>71</v>
      </c>
      <c r="K107" t="s">
        <v>86</v>
      </c>
      <c r="L107" s="2" t="s">
        <v>137</v>
      </c>
      <c r="M107" t="str">
        <f>TEXT(Table13[[#This Row],[Order Date]],"MMM")</f>
        <v>Feb</v>
      </c>
      <c r="N107">
        <f>YEAR(Table13[[#This Row],[Order Date]])</f>
        <v>2022</v>
      </c>
      <c r="O107" t="str">
        <f>"Q"&amp;ROUNDUP(MONTH(Table13[[#This Row],[Order Date]])/3,0)</f>
        <v>Q1</v>
      </c>
      <c r="P107" s="5">
        <f>Table13[[#This Row],[Profit]]/Table13[[#This Row],[Amount]]</f>
        <v>0.12517531556802244</v>
      </c>
      <c r="Q107" s="6">
        <f>Table13[[#This Row],[Amount]]/Table13[[#This Row],[Quantity]]</f>
        <v>438.76923076923077</v>
      </c>
    </row>
    <row r="108" spans="1:17" x14ac:dyDescent="0.3">
      <c r="A108" t="s">
        <v>192</v>
      </c>
      <c r="B108">
        <v>5704</v>
      </c>
      <c r="C108">
        <v>714</v>
      </c>
      <c r="D108">
        <v>13</v>
      </c>
      <c r="E108" t="s">
        <v>13</v>
      </c>
      <c r="F108" t="s">
        <v>39</v>
      </c>
      <c r="G108" t="s">
        <v>40</v>
      </c>
      <c r="H108" s="1">
        <v>44542</v>
      </c>
      <c r="I108" t="s">
        <v>194</v>
      </c>
      <c r="J108" t="s">
        <v>42</v>
      </c>
      <c r="K108" t="s">
        <v>75</v>
      </c>
      <c r="L108" s="2" t="s">
        <v>90</v>
      </c>
      <c r="M108" t="str">
        <f>TEXT(Table13[[#This Row],[Order Date]],"MMM")</f>
        <v>Dec</v>
      </c>
      <c r="N108">
        <f>YEAR(Table13[[#This Row],[Order Date]])</f>
        <v>2021</v>
      </c>
      <c r="O108" t="str">
        <f>"Q"&amp;ROUNDUP(MONTH(Table13[[#This Row],[Order Date]])/3,0)</f>
        <v>Q4</v>
      </c>
      <c r="P108" s="5">
        <f>Table13[[#This Row],[Profit]]/Table13[[#This Row],[Amount]]</f>
        <v>0.12517531556802244</v>
      </c>
      <c r="Q108" s="6">
        <f>Table13[[#This Row],[Amount]]/Table13[[#This Row],[Quantity]]</f>
        <v>438.76923076923077</v>
      </c>
    </row>
    <row r="109" spans="1:17" x14ac:dyDescent="0.3">
      <c r="A109" t="s">
        <v>192</v>
      </c>
      <c r="B109">
        <v>8797</v>
      </c>
      <c r="C109">
        <v>1010</v>
      </c>
      <c r="D109">
        <v>8</v>
      </c>
      <c r="E109" t="s">
        <v>45</v>
      </c>
      <c r="F109" t="s">
        <v>46</v>
      </c>
      <c r="G109" t="s">
        <v>15</v>
      </c>
      <c r="H109" s="1">
        <v>44595</v>
      </c>
      <c r="I109" t="s">
        <v>193</v>
      </c>
      <c r="J109" t="s">
        <v>71</v>
      </c>
      <c r="K109" t="s">
        <v>86</v>
      </c>
      <c r="L109" s="2" t="s">
        <v>137</v>
      </c>
      <c r="M109" t="str">
        <f>TEXT(Table13[[#This Row],[Order Date]],"MMM")</f>
        <v>Feb</v>
      </c>
      <c r="N109">
        <f>YEAR(Table13[[#This Row],[Order Date]])</f>
        <v>2022</v>
      </c>
      <c r="O109" t="str">
        <f>"Q"&amp;ROUNDUP(MONTH(Table13[[#This Row],[Order Date]])/3,0)</f>
        <v>Q1</v>
      </c>
      <c r="P109" s="5">
        <f>Table13[[#This Row],[Profit]]/Table13[[#This Row],[Amount]]</f>
        <v>0.11481186768216438</v>
      </c>
      <c r="Q109" s="6">
        <f>Table13[[#This Row],[Amount]]/Table13[[#This Row],[Quantity]]</f>
        <v>1099.625</v>
      </c>
    </row>
    <row r="110" spans="1:17" x14ac:dyDescent="0.3">
      <c r="A110" t="s">
        <v>192</v>
      </c>
      <c r="B110">
        <v>8797</v>
      </c>
      <c r="C110">
        <v>1010</v>
      </c>
      <c r="D110">
        <v>8</v>
      </c>
      <c r="E110" t="s">
        <v>45</v>
      </c>
      <c r="F110" t="s">
        <v>46</v>
      </c>
      <c r="G110" t="s">
        <v>15</v>
      </c>
      <c r="H110" s="1">
        <v>44542</v>
      </c>
      <c r="I110" t="s">
        <v>194</v>
      </c>
      <c r="J110" t="s">
        <v>42</v>
      </c>
      <c r="K110" t="s">
        <v>75</v>
      </c>
      <c r="L110" s="2" t="s">
        <v>90</v>
      </c>
      <c r="M110" t="str">
        <f>TEXT(Table13[[#This Row],[Order Date]],"MMM")</f>
        <v>Dec</v>
      </c>
      <c r="N110">
        <f>YEAR(Table13[[#This Row],[Order Date]])</f>
        <v>2021</v>
      </c>
      <c r="O110" t="str">
        <f>"Q"&amp;ROUNDUP(MONTH(Table13[[#This Row],[Order Date]])/3,0)</f>
        <v>Q4</v>
      </c>
      <c r="P110" s="5">
        <f>Table13[[#This Row],[Profit]]/Table13[[#This Row],[Amount]]</f>
        <v>0.11481186768216438</v>
      </c>
      <c r="Q110" s="6">
        <f>Table13[[#This Row],[Amount]]/Table13[[#This Row],[Quantity]]</f>
        <v>1099.625</v>
      </c>
    </row>
    <row r="111" spans="1:17" x14ac:dyDescent="0.3">
      <c r="A111" t="s">
        <v>192</v>
      </c>
      <c r="B111">
        <v>9236</v>
      </c>
      <c r="C111">
        <v>2899</v>
      </c>
      <c r="D111">
        <v>5</v>
      </c>
      <c r="E111" t="s">
        <v>13</v>
      </c>
      <c r="F111" t="s">
        <v>39</v>
      </c>
      <c r="G111" t="s">
        <v>32</v>
      </c>
      <c r="H111" s="1">
        <v>44595</v>
      </c>
      <c r="I111" t="s">
        <v>193</v>
      </c>
      <c r="J111" t="s">
        <v>71</v>
      </c>
      <c r="K111" t="s">
        <v>86</v>
      </c>
      <c r="L111" s="2" t="s">
        <v>137</v>
      </c>
      <c r="M111" t="str">
        <f>TEXT(Table13[[#This Row],[Order Date]],"MMM")</f>
        <v>Feb</v>
      </c>
      <c r="N111">
        <f>YEAR(Table13[[#This Row],[Order Date]])</f>
        <v>2022</v>
      </c>
      <c r="O111" t="str">
        <f>"Q"&amp;ROUNDUP(MONTH(Table13[[#This Row],[Order Date]])/3,0)</f>
        <v>Q1</v>
      </c>
      <c r="P111" s="5">
        <f>Table13[[#This Row],[Profit]]/Table13[[#This Row],[Amount]]</f>
        <v>0.31388046773495021</v>
      </c>
      <c r="Q111" s="6">
        <f>Table13[[#This Row],[Amount]]/Table13[[#This Row],[Quantity]]</f>
        <v>1847.2</v>
      </c>
    </row>
    <row r="112" spans="1:17" x14ac:dyDescent="0.3">
      <c r="A112" t="s">
        <v>192</v>
      </c>
      <c r="B112">
        <v>9236</v>
      </c>
      <c r="C112">
        <v>2899</v>
      </c>
      <c r="D112">
        <v>5</v>
      </c>
      <c r="E112" t="s">
        <v>13</v>
      </c>
      <c r="F112" t="s">
        <v>39</v>
      </c>
      <c r="G112" t="s">
        <v>32</v>
      </c>
      <c r="H112" s="1">
        <v>44542</v>
      </c>
      <c r="I112" t="s">
        <v>194</v>
      </c>
      <c r="J112" t="s">
        <v>42</v>
      </c>
      <c r="K112" t="s">
        <v>75</v>
      </c>
      <c r="L112" s="2" t="s">
        <v>90</v>
      </c>
      <c r="M112" t="str">
        <f>TEXT(Table13[[#This Row],[Order Date]],"MMM")</f>
        <v>Dec</v>
      </c>
      <c r="N112">
        <f>YEAR(Table13[[#This Row],[Order Date]])</f>
        <v>2021</v>
      </c>
      <c r="O112" t="str">
        <f>"Q"&amp;ROUNDUP(MONTH(Table13[[#This Row],[Order Date]])/3,0)</f>
        <v>Q4</v>
      </c>
      <c r="P112" s="5">
        <f>Table13[[#This Row],[Profit]]/Table13[[#This Row],[Amount]]</f>
        <v>0.31388046773495021</v>
      </c>
      <c r="Q112" s="6">
        <f>Table13[[#This Row],[Amount]]/Table13[[#This Row],[Quantity]]</f>
        <v>1847.2</v>
      </c>
    </row>
    <row r="113" spans="1:17" x14ac:dyDescent="0.3">
      <c r="A113" t="s">
        <v>195</v>
      </c>
      <c r="B113">
        <v>9109</v>
      </c>
      <c r="C113">
        <v>586</v>
      </c>
      <c r="D113">
        <v>17</v>
      </c>
      <c r="E113" t="s">
        <v>45</v>
      </c>
      <c r="F113" t="s">
        <v>60</v>
      </c>
      <c r="G113" t="s">
        <v>40</v>
      </c>
      <c r="H113" s="1">
        <v>43968</v>
      </c>
      <c r="I113" t="s">
        <v>196</v>
      </c>
      <c r="J113" t="s">
        <v>17</v>
      </c>
      <c r="K113" t="s">
        <v>18</v>
      </c>
      <c r="L113" s="2" t="s">
        <v>59</v>
      </c>
      <c r="M113" t="str">
        <f>TEXT(Table13[[#This Row],[Order Date]],"MMM")</f>
        <v>May</v>
      </c>
      <c r="N113">
        <f>YEAR(Table13[[#This Row],[Order Date]])</f>
        <v>2020</v>
      </c>
      <c r="O113" t="str">
        <f>"Q"&amp;ROUNDUP(MONTH(Table13[[#This Row],[Order Date]])/3,0)</f>
        <v>Q2</v>
      </c>
      <c r="P113" s="5">
        <f>Table13[[#This Row],[Profit]]/Table13[[#This Row],[Amount]]</f>
        <v>6.4331979361071462E-2</v>
      </c>
      <c r="Q113" s="6">
        <f>Table13[[#This Row],[Amount]]/Table13[[#This Row],[Quantity]]</f>
        <v>535.82352941176475</v>
      </c>
    </row>
    <row r="114" spans="1:17" x14ac:dyDescent="0.3">
      <c r="A114" t="s">
        <v>197</v>
      </c>
      <c r="B114">
        <v>4358</v>
      </c>
      <c r="C114">
        <v>526</v>
      </c>
      <c r="D114">
        <v>19</v>
      </c>
      <c r="E114" t="s">
        <v>13</v>
      </c>
      <c r="F114" t="s">
        <v>82</v>
      </c>
      <c r="G114" t="s">
        <v>47</v>
      </c>
      <c r="H114" s="1">
        <v>44900</v>
      </c>
      <c r="I114" t="s">
        <v>198</v>
      </c>
      <c r="J114" t="s">
        <v>71</v>
      </c>
      <c r="K114" t="s">
        <v>72</v>
      </c>
      <c r="L114" s="2" t="s">
        <v>152</v>
      </c>
      <c r="M114" t="str">
        <f>TEXT(Table13[[#This Row],[Order Date]],"MMM")</f>
        <v>Dec</v>
      </c>
      <c r="N114">
        <f>YEAR(Table13[[#This Row],[Order Date]])</f>
        <v>2022</v>
      </c>
      <c r="O114" t="str">
        <f>"Q"&amp;ROUNDUP(MONTH(Table13[[#This Row],[Order Date]])/3,0)</f>
        <v>Q4</v>
      </c>
      <c r="P114" s="5">
        <f>Table13[[#This Row],[Profit]]/Table13[[#This Row],[Amount]]</f>
        <v>0.12069756769160166</v>
      </c>
      <c r="Q114" s="6">
        <f>Table13[[#This Row],[Amount]]/Table13[[#This Row],[Quantity]]</f>
        <v>229.36842105263159</v>
      </c>
    </row>
    <row r="115" spans="1:17" x14ac:dyDescent="0.3">
      <c r="A115" t="s">
        <v>197</v>
      </c>
      <c r="B115">
        <v>4358</v>
      </c>
      <c r="C115">
        <v>526</v>
      </c>
      <c r="D115">
        <v>19</v>
      </c>
      <c r="E115" t="s">
        <v>13</v>
      </c>
      <c r="F115" t="s">
        <v>82</v>
      </c>
      <c r="G115" t="s">
        <v>47</v>
      </c>
      <c r="H115" s="1">
        <v>45552</v>
      </c>
      <c r="I115" t="s">
        <v>199</v>
      </c>
      <c r="J115" t="s">
        <v>42</v>
      </c>
      <c r="K115" t="s">
        <v>92</v>
      </c>
      <c r="L115" s="2" t="s">
        <v>159</v>
      </c>
      <c r="M115" t="str">
        <f>TEXT(Table13[[#This Row],[Order Date]],"MMM")</f>
        <v>Sep</v>
      </c>
      <c r="N115">
        <f>YEAR(Table13[[#This Row],[Order Date]])</f>
        <v>2024</v>
      </c>
      <c r="O115" t="str">
        <f>"Q"&amp;ROUNDUP(MONTH(Table13[[#This Row],[Order Date]])/3,0)</f>
        <v>Q3</v>
      </c>
      <c r="P115" s="5">
        <f>Table13[[#This Row],[Profit]]/Table13[[#This Row],[Amount]]</f>
        <v>0.12069756769160166</v>
      </c>
      <c r="Q115" s="6">
        <f>Table13[[#This Row],[Amount]]/Table13[[#This Row],[Quantity]]</f>
        <v>229.36842105263159</v>
      </c>
    </row>
    <row r="116" spans="1:17" x14ac:dyDescent="0.3">
      <c r="A116" t="s">
        <v>197</v>
      </c>
      <c r="B116">
        <v>6459</v>
      </c>
      <c r="C116">
        <v>825</v>
      </c>
      <c r="D116">
        <v>8</v>
      </c>
      <c r="E116" t="s">
        <v>13</v>
      </c>
      <c r="F116" t="s">
        <v>82</v>
      </c>
      <c r="G116" t="s">
        <v>47</v>
      </c>
      <c r="H116" s="1">
        <v>44900</v>
      </c>
      <c r="I116" t="s">
        <v>198</v>
      </c>
      <c r="J116" t="s">
        <v>71</v>
      </c>
      <c r="K116" t="s">
        <v>72</v>
      </c>
      <c r="L116" s="2" t="s">
        <v>152</v>
      </c>
      <c r="M116" t="str">
        <f>TEXT(Table13[[#This Row],[Order Date]],"MMM")</f>
        <v>Dec</v>
      </c>
      <c r="N116">
        <f>YEAR(Table13[[#This Row],[Order Date]])</f>
        <v>2022</v>
      </c>
      <c r="O116" t="str">
        <f>"Q"&amp;ROUNDUP(MONTH(Table13[[#This Row],[Order Date]])/3,0)</f>
        <v>Q4</v>
      </c>
      <c r="P116" s="5">
        <f>Table13[[#This Row],[Profit]]/Table13[[#This Row],[Amount]]</f>
        <v>0.12772875058058522</v>
      </c>
      <c r="Q116" s="6">
        <f>Table13[[#This Row],[Amount]]/Table13[[#This Row],[Quantity]]</f>
        <v>807.375</v>
      </c>
    </row>
    <row r="117" spans="1:17" x14ac:dyDescent="0.3">
      <c r="A117" t="s">
        <v>197</v>
      </c>
      <c r="B117">
        <v>6459</v>
      </c>
      <c r="C117">
        <v>825</v>
      </c>
      <c r="D117">
        <v>8</v>
      </c>
      <c r="E117" t="s">
        <v>13</v>
      </c>
      <c r="F117" t="s">
        <v>82</v>
      </c>
      <c r="G117" t="s">
        <v>47</v>
      </c>
      <c r="H117" s="1">
        <v>45552</v>
      </c>
      <c r="I117" t="s">
        <v>199</v>
      </c>
      <c r="J117" t="s">
        <v>42</v>
      </c>
      <c r="K117" t="s">
        <v>92</v>
      </c>
      <c r="L117" s="2" t="s">
        <v>159</v>
      </c>
      <c r="M117" t="str">
        <f>TEXT(Table13[[#This Row],[Order Date]],"MMM")</f>
        <v>Sep</v>
      </c>
      <c r="N117">
        <f>YEAR(Table13[[#This Row],[Order Date]])</f>
        <v>2024</v>
      </c>
      <c r="O117" t="str">
        <f>"Q"&amp;ROUNDUP(MONTH(Table13[[#This Row],[Order Date]])/3,0)</f>
        <v>Q3</v>
      </c>
      <c r="P117" s="5">
        <f>Table13[[#This Row],[Profit]]/Table13[[#This Row],[Amount]]</f>
        <v>0.12772875058058522</v>
      </c>
      <c r="Q117" s="6">
        <f>Table13[[#This Row],[Amount]]/Table13[[#This Row],[Quantity]]</f>
        <v>807.375</v>
      </c>
    </row>
    <row r="118" spans="1:17" x14ac:dyDescent="0.3">
      <c r="A118" t="s">
        <v>200</v>
      </c>
      <c r="B118">
        <v>2478</v>
      </c>
      <c r="C118">
        <v>92</v>
      </c>
      <c r="D118">
        <v>12</v>
      </c>
      <c r="E118" t="s">
        <v>45</v>
      </c>
      <c r="F118" t="s">
        <v>109</v>
      </c>
      <c r="G118" t="s">
        <v>65</v>
      </c>
      <c r="H118" s="1">
        <v>45054</v>
      </c>
      <c r="I118" t="s">
        <v>201</v>
      </c>
      <c r="J118" t="s">
        <v>42</v>
      </c>
      <c r="K118" t="s">
        <v>92</v>
      </c>
      <c r="L118" s="2" t="s">
        <v>127</v>
      </c>
      <c r="M118" t="str">
        <f>TEXT(Table13[[#This Row],[Order Date]],"MMM")</f>
        <v>May</v>
      </c>
      <c r="N118">
        <f>YEAR(Table13[[#This Row],[Order Date]])</f>
        <v>2023</v>
      </c>
      <c r="O118" t="str">
        <f>"Q"&amp;ROUNDUP(MONTH(Table13[[#This Row],[Order Date]])/3,0)</f>
        <v>Q2</v>
      </c>
      <c r="P118" s="5">
        <f>Table13[[#This Row],[Profit]]/Table13[[#This Row],[Amount]]</f>
        <v>3.7126715092816787E-2</v>
      </c>
      <c r="Q118" s="6">
        <f>Table13[[#This Row],[Amount]]/Table13[[#This Row],[Quantity]]</f>
        <v>206.5</v>
      </c>
    </row>
    <row r="119" spans="1:17" x14ac:dyDescent="0.3">
      <c r="A119" t="s">
        <v>200</v>
      </c>
      <c r="B119">
        <v>2478</v>
      </c>
      <c r="C119">
        <v>92</v>
      </c>
      <c r="D119">
        <v>12</v>
      </c>
      <c r="E119" t="s">
        <v>45</v>
      </c>
      <c r="F119" t="s">
        <v>109</v>
      </c>
      <c r="G119" t="s">
        <v>65</v>
      </c>
      <c r="H119" s="1">
        <v>44258</v>
      </c>
      <c r="I119" t="s">
        <v>202</v>
      </c>
      <c r="J119" t="s">
        <v>25</v>
      </c>
      <c r="K119" t="s">
        <v>51</v>
      </c>
      <c r="L119" s="2" t="s">
        <v>167</v>
      </c>
      <c r="M119" t="str">
        <f>TEXT(Table13[[#This Row],[Order Date]],"MMM")</f>
        <v>Mar</v>
      </c>
      <c r="N119">
        <f>YEAR(Table13[[#This Row],[Order Date]])</f>
        <v>2021</v>
      </c>
      <c r="O119" t="str">
        <f>"Q"&amp;ROUNDUP(MONTH(Table13[[#This Row],[Order Date]])/3,0)</f>
        <v>Q1</v>
      </c>
      <c r="P119" s="5">
        <f>Table13[[#This Row],[Profit]]/Table13[[#This Row],[Amount]]</f>
        <v>3.7126715092816787E-2</v>
      </c>
      <c r="Q119" s="6">
        <f>Table13[[#This Row],[Amount]]/Table13[[#This Row],[Quantity]]</f>
        <v>206.5</v>
      </c>
    </row>
    <row r="120" spans="1:17" x14ac:dyDescent="0.3">
      <c r="A120" t="s">
        <v>200</v>
      </c>
      <c r="B120">
        <v>2478</v>
      </c>
      <c r="C120">
        <v>92</v>
      </c>
      <c r="D120">
        <v>12</v>
      </c>
      <c r="E120" t="s">
        <v>45</v>
      </c>
      <c r="F120" t="s">
        <v>109</v>
      </c>
      <c r="G120" t="s">
        <v>65</v>
      </c>
      <c r="H120" s="1">
        <v>44273</v>
      </c>
      <c r="I120" t="s">
        <v>203</v>
      </c>
      <c r="J120" t="s">
        <v>42</v>
      </c>
      <c r="K120" t="s">
        <v>92</v>
      </c>
      <c r="L120" s="2" t="s">
        <v>167</v>
      </c>
      <c r="M120" t="str">
        <f>TEXT(Table13[[#This Row],[Order Date]],"MMM")</f>
        <v>Mar</v>
      </c>
      <c r="N120">
        <f>YEAR(Table13[[#This Row],[Order Date]])</f>
        <v>2021</v>
      </c>
      <c r="O120" t="str">
        <f>"Q"&amp;ROUNDUP(MONTH(Table13[[#This Row],[Order Date]])/3,0)</f>
        <v>Q1</v>
      </c>
      <c r="P120" s="5">
        <f>Table13[[#This Row],[Profit]]/Table13[[#This Row],[Amount]]</f>
        <v>3.7126715092816787E-2</v>
      </c>
      <c r="Q120" s="6">
        <f>Table13[[#This Row],[Amount]]/Table13[[#This Row],[Quantity]]</f>
        <v>206.5</v>
      </c>
    </row>
    <row r="121" spans="1:17" x14ac:dyDescent="0.3">
      <c r="A121" t="s">
        <v>200</v>
      </c>
      <c r="B121">
        <v>2478</v>
      </c>
      <c r="C121">
        <v>92</v>
      </c>
      <c r="D121">
        <v>12</v>
      </c>
      <c r="E121" t="s">
        <v>45</v>
      </c>
      <c r="F121" t="s">
        <v>109</v>
      </c>
      <c r="G121" t="s">
        <v>65</v>
      </c>
      <c r="H121" s="1">
        <v>45040</v>
      </c>
      <c r="I121" t="s">
        <v>204</v>
      </c>
      <c r="J121" t="s">
        <v>98</v>
      </c>
      <c r="K121" t="s">
        <v>117</v>
      </c>
      <c r="L121" s="2" t="s">
        <v>145</v>
      </c>
      <c r="M121" t="str">
        <f>TEXT(Table13[[#This Row],[Order Date]],"MMM")</f>
        <v>Apr</v>
      </c>
      <c r="N121">
        <f>YEAR(Table13[[#This Row],[Order Date]])</f>
        <v>2023</v>
      </c>
      <c r="O121" t="str">
        <f>"Q"&amp;ROUNDUP(MONTH(Table13[[#This Row],[Order Date]])/3,0)</f>
        <v>Q2</v>
      </c>
      <c r="P121" s="5">
        <f>Table13[[#This Row],[Profit]]/Table13[[#This Row],[Amount]]</f>
        <v>3.7126715092816787E-2</v>
      </c>
      <c r="Q121" s="6">
        <f>Table13[[#This Row],[Amount]]/Table13[[#This Row],[Quantity]]</f>
        <v>206.5</v>
      </c>
    </row>
    <row r="122" spans="1:17" x14ac:dyDescent="0.3">
      <c r="A122" t="s">
        <v>205</v>
      </c>
      <c r="B122">
        <v>9992</v>
      </c>
      <c r="C122">
        <v>3696</v>
      </c>
      <c r="D122">
        <v>20</v>
      </c>
      <c r="E122" t="s">
        <v>30</v>
      </c>
      <c r="F122" t="s">
        <v>31</v>
      </c>
      <c r="G122" t="s">
        <v>32</v>
      </c>
      <c r="H122" s="1">
        <v>44478</v>
      </c>
      <c r="I122" t="s">
        <v>206</v>
      </c>
      <c r="J122" t="s">
        <v>25</v>
      </c>
      <c r="K122" t="s">
        <v>68</v>
      </c>
      <c r="L122" s="2" t="s">
        <v>37</v>
      </c>
      <c r="M122" t="str">
        <f>TEXT(Table13[[#This Row],[Order Date]],"MMM")</f>
        <v>Oct</v>
      </c>
      <c r="N122">
        <f>YEAR(Table13[[#This Row],[Order Date]])</f>
        <v>2021</v>
      </c>
      <c r="O122" t="str">
        <f>"Q"&amp;ROUNDUP(MONTH(Table13[[#This Row],[Order Date]])/3,0)</f>
        <v>Q4</v>
      </c>
      <c r="P122" s="5">
        <f>Table13[[#This Row],[Profit]]/Table13[[#This Row],[Amount]]</f>
        <v>0.36989591673338673</v>
      </c>
      <c r="Q122" s="6">
        <f>Table13[[#This Row],[Amount]]/Table13[[#This Row],[Quantity]]</f>
        <v>499.6</v>
      </c>
    </row>
    <row r="123" spans="1:17" x14ac:dyDescent="0.3">
      <c r="A123" t="s">
        <v>205</v>
      </c>
      <c r="B123">
        <v>9992</v>
      </c>
      <c r="C123">
        <v>3696</v>
      </c>
      <c r="D123">
        <v>20</v>
      </c>
      <c r="E123" t="s">
        <v>30</v>
      </c>
      <c r="F123" t="s">
        <v>31</v>
      </c>
      <c r="G123" t="s">
        <v>32</v>
      </c>
      <c r="H123" s="1">
        <v>44666</v>
      </c>
      <c r="I123" t="s">
        <v>207</v>
      </c>
      <c r="J123" t="s">
        <v>71</v>
      </c>
      <c r="K123" t="s">
        <v>86</v>
      </c>
      <c r="L123" s="2" t="s">
        <v>187</v>
      </c>
      <c r="M123" t="str">
        <f>TEXT(Table13[[#This Row],[Order Date]],"MMM")</f>
        <v>Apr</v>
      </c>
      <c r="N123">
        <f>YEAR(Table13[[#This Row],[Order Date]])</f>
        <v>2022</v>
      </c>
      <c r="O123" t="str">
        <f>"Q"&amp;ROUNDUP(MONTH(Table13[[#This Row],[Order Date]])/3,0)</f>
        <v>Q2</v>
      </c>
      <c r="P123" s="5">
        <f>Table13[[#This Row],[Profit]]/Table13[[#This Row],[Amount]]</f>
        <v>0.36989591673338673</v>
      </c>
      <c r="Q123" s="6">
        <f>Table13[[#This Row],[Amount]]/Table13[[#This Row],[Quantity]]</f>
        <v>499.6</v>
      </c>
    </row>
    <row r="124" spans="1:17" x14ac:dyDescent="0.3">
      <c r="A124" t="s">
        <v>205</v>
      </c>
      <c r="B124">
        <v>9992</v>
      </c>
      <c r="C124">
        <v>3696</v>
      </c>
      <c r="D124">
        <v>20</v>
      </c>
      <c r="E124" t="s">
        <v>30</v>
      </c>
      <c r="F124" t="s">
        <v>31</v>
      </c>
      <c r="G124" t="s">
        <v>32</v>
      </c>
      <c r="H124" s="1">
        <v>44802</v>
      </c>
      <c r="I124" t="s">
        <v>208</v>
      </c>
      <c r="J124" t="s">
        <v>25</v>
      </c>
      <c r="K124" t="s">
        <v>68</v>
      </c>
      <c r="L124" s="2" t="s">
        <v>209</v>
      </c>
      <c r="M124" t="str">
        <f>TEXT(Table13[[#This Row],[Order Date]],"MMM")</f>
        <v>Aug</v>
      </c>
      <c r="N124">
        <f>YEAR(Table13[[#This Row],[Order Date]])</f>
        <v>2022</v>
      </c>
      <c r="O124" t="str">
        <f>"Q"&amp;ROUNDUP(MONTH(Table13[[#This Row],[Order Date]])/3,0)</f>
        <v>Q3</v>
      </c>
      <c r="P124" s="5">
        <f>Table13[[#This Row],[Profit]]/Table13[[#This Row],[Amount]]</f>
        <v>0.36989591673338673</v>
      </c>
      <c r="Q124" s="6">
        <f>Table13[[#This Row],[Amount]]/Table13[[#This Row],[Quantity]]</f>
        <v>499.6</v>
      </c>
    </row>
    <row r="125" spans="1:17" x14ac:dyDescent="0.3">
      <c r="A125" t="s">
        <v>205</v>
      </c>
      <c r="B125">
        <v>9619</v>
      </c>
      <c r="C125">
        <v>3420</v>
      </c>
      <c r="D125">
        <v>7</v>
      </c>
      <c r="E125" t="s">
        <v>30</v>
      </c>
      <c r="F125" t="s">
        <v>78</v>
      </c>
      <c r="G125" t="s">
        <v>15</v>
      </c>
      <c r="H125" s="1">
        <v>44478</v>
      </c>
      <c r="I125" t="s">
        <v>206</v>
      </c>
      <c r="J125" t="s">
        <v>25</v>
      </c>
      <c r="K125" t="s">
        <v>68</v>
      </c>
      <c r="L125" s="2" t="s">
        <v>37</v>
      </c>
      <c r="M125" t="str">
        <f>TEXT(Table13[[#This Row],[Order Date]],"MMM")</f>
        <v>Oct</v>
      </c>
      <c r="N125">
        <f>YEAR(Table13[[#This Row],[Order Date]])</f>
        <v>2021</v>
      </c>
      <c r="O125" t="str">
        <f>"Q"&amp;ROUNDUP(MONTH(Table13[[#This Row],[Order Date]])/3,0)</f>
        <v>Q4</v>
      </c>
      <c r="P125" s="5">
        <f>Table13[[#This Row],[Profit]]/Table13[[#This Row],[Amount]]</f>
        <v>0.35554631458571578</v>
      </c>
      <c r="Q125" s="6">
        <f>Table13[[#This Row],[Amount]]/Table13[[#This Row],[Quantity]]</f>
        <v>1374.1428571428571</v>
      </c>
    </row>
    <row r="126" spans="1:17" x14ac:dyDescent="0.3">
      <c r="A126" t="s">
        <v>205</v>
      </c>
      <c r="B126">
        <v>9619</v>
      </c>
      <c r="C126">
        <v>3420</v>
      </c>
      <c r="D126">
        <v>7</v>
      </c>
      <c r="E126" t="s">
        <v>30</v>
      </c>
      <c r="F126" t="s">
        <v>78</v>
      </c>
      <c r="G126" t="s">
        <v>15</v>
      </c>
      <c r="H126" s="1">
        <v>44666</v>
      </c>
      <c r="I126" t="s">
        <v>207</v>
      </c>
      <c r="J126" t="s">
        <v>71</v>
      </c>
      <c r="K126" t="s">
        <v>86</v>
      </c>
      <c r="L126" s="2" t="s">
        <v>187</v>
      </c>
      <c r="M126" t="str">
        <f>TEXT(Table13[[#This Row],[Order Date]],"MMM")</f>
        <v>Apr</v>
      </c>
      <c r="N126">
        <f>YEAR(Table13[[#This Row],[Order Date]])</f>
        <v>2022</v>
      </c>
      <c r="O126" t="str">
        <f>"Q"&amp;ROUNDUP(MONTH(Table13[[#This Row],[Order Date]])/3,0)</f>
        <v>Q2</v>
      </c>
      <c r="P126" s="5">
        <f>Table13[[#This Row],[Profit]]/Table13[[#This Row],[Amount]]</f>
        <v>0.35554631458571578</v>
      </c>
      <c r="Q126" s="6">
        <f>Table13[[#This Row],[Amount]]/Table13[[#This Row],[Quantity]]</f>
        <v>1374.1428571428571</v>
      </c>
    </row>
    <row r="127" spans="1:17" x14ac:dyDescent="0.3">
      <c r="A127" t="s">
        <v>205</v>
      </c>
      <c r="B127">
        <v>9619</v>
      </c>
      <c r="C127">
        <v>3420</v>
      </c>
      <c r="D127">
        <v>7</v>
      </c>
      <c r="E127" t="s">
        <v>30</v>
      </c>
      <c r="F127" t="s">
        <v>78</v>
      </c>
      <c r="G127" t="s">
        <v>15</v>
      </c>
      <c r="H127" s="1">
        <v>44802</v>
      </c>
      <c r="I127" t="s">
        <v>208</v>
      </c>
      <c r="J127" t="s">
        <v>25</v>
      </c>
      <c r="K127" t="s">
        <v>68</v>
      </c>
      <c r="L127" s="2" t="s">
        <v>209</v>
      </c>
      <c r="M127" t="str">
        <f>TEXT(Table13[[#This Row],[Order Date]],"MMM")</f>
        <v>Aug</v>
      </c>
      <c r="N127">
        <f>YEAR(Table13[[#This Row],[Order Date]])</f>
        <v>2022</v>
      </c>
      <c r="O127" t="str">
        <f>"Q"&amp;ROUNDUP(MONTH(Table13[[#This Row],[Order Date]])/3,0)</f>
        <v>Q3</v>
      </c>
      <c r="P127" s="5">
        <f>Table13[[#This Row],[Profit]]/Table13[[#This Row],[Amount]]</f>
        <v>0.35554631458571578</v>
      </c>
      <c r="Q127" s="6">
        <f>Table13[[#This Row],[Amount]]/Table13[[#This Row],[Quantity]]</f>
        <v>1374.1428571428571</v>
      </c>
    </row>
    <row r="128" spans="1:17" x14ac:dyDescent="0.3">
      <c r="A128" t="s">
        <v>210</v>
      </c>
      <c r="B128">
        <v>9538</v>
      </c>
      <c r="C128">
        <v>3158</v>
      </c>
      <c r="D128">
        <v>20</v>
      </c>
      <c r="E128" t="s">
        <v>13</v>
      </c>
      <c r="F128" t="s">
        <v>28</v>
      </c>
      <c r="G128" t="s">
        <v>47</v>
      </c>
      <c r="H128" s="1">
        <v>45539</v>
      </c>
      <c r="I128" t="s">
        <v>211</v>
      </c>
      <c r="J128" t="s">
        <v>42</v>
      </c>
      <c r="K128" t="s">
        <v>92</v>
      </c>
      <c r="L128" s="2" t="s">
        <v>159</v>
      </c>
      <c r="M128" t="str">
        <f>TEXT(Table13[[#This Row],[Order Date]],"MMM")</f>
        <v>Sep</v>
      </c>
      <c r="N128">
        <f>YEAR(Table13[[#This Row],[Order Date]])</f>
        <v>2024</v>
      </c>
      <c r="O128" t="str">
        <f>"Q"&amp;ROUNDUP(MONTH(Table13[[#This Row],[Order Date]])/3,0)</f>
        <v>Q3</v>
      </c>
      <c r="P128" s="5">
        <f>Table13[[#This Row],[Profit]]/Table13[[#This Row],[Amount]]</f>
        <v>0.33109666596770809</v>
      </c>
      <c r="Q128" s="6">
        <f>Table13[[#This Row],[Amount]]/Table13[[#This Row],[Quantity]]</f>
        <v>476.9</v>
      </c>
    </row>
    <row r="129" spans="1:17" x14ac:dyDescent="0.3">
      <c r="A129" t="s">
        <v>210</v>
      </c>
      <c r="B129">
        <v>9538</v>
      </c>
      <c r="C129">
        <v>3158</v>
      </c>
      <c r="D129">
        <v>20</v>
      </c>
      <c r="E129" t="s">
        <v>13</v>
      </c>
      <c r="F129" t="s">
        <v>28</v>
      </c>
      <c r="G129" t="s">
        <v>47</v>
      </c>
      <c r="H129" s="1">
        <v>44334</v>
      </c>
      <c r="I129" t="s">
        <v>212</v>
      </c>
      <c r="J129" t="s">
        <v>98</v>
      </c>
      <c r="K129" t="s">
        <v>117</v>
      </c>
      <c r="L129" s="2" t="s">
        <v>108</v>
      </c>
      <c r="M129" t="str">
        <f>TEXT(Table13[[#This Row],[Order Date]],"MMM")</f>
        <v>May</v>
      </c>
      <c r="N129">
        <f>YEAR(Table13[[#This Row],[Order Date]])</f>
        <v>2021</v>
      </c>
      <c r="O129" t="str">
        <f>"Q"&amp;ROUNDUP(MONTH(Table13[[#This Row],[Order Date]])/3,0)</f>
        <v>Q2</v>
      </c>
      <c r="P129" s="5">
        <f>Table13[[#This Row],[Profit]]/Table13[[#This Row],[Amount]]</f>
        <v>0.33109666596770809</v>
      </c>
      <c r="Q129" s="6">
        <f>Table13[[#This Row],[Amount]]/Table13[[#This Row],[Quantity]]</f>
        <v>476.9</v>
      </c>
    </row>
    <row r="130" spans="1:17" x14ac:dyDescent="0.3">
      <c r="A130" t="s">
        <v>210</v>
      </c>
      <c r="B130">
        <v>9035</v>
      </c>
      <c r="C130">
        <v>1227</v>
      </c>
      <c r="D130">
        <v>14</v>
      </c>
      <c r="E130" t="s">
        <v>45</v>
      </c>
      <c r="F130" t="s">
        <v>49</v>
      </c>
      <c r="G130" t="s">
        <v>40</v>
      </c>
      <c r="H130" s="1">
        <v>45539</v>
      </c>
      <c r="I130" t="s">
        <v>211</v>
      </c>
      <c r="J130" t="s">
        <v>42</v>
      </c>
      <c r="K130" t="s">
        <v>92</v>
      </c>
      <c r="L130" s="2" t="s">
        <v>159</v>
      </c>
      <c r="M130" t="str">
        <f>TEXT(Table13[[#This Row],[Order Date]],"MMM")</f>
        <v>Sep</v>
      </c>
      <c r="N130">
        <f>YEAR(Table13[[#This Row],[Order Date]])</f>
        <v>2024</v>
      </c>
      <c r="O130" t="str">
        <f>"Q"&amp;ROUNDUP(MONTH(Table13[[#This Row],[Order Date]])/3,0)</f>
        <v>Q3</v>
      </c>
      <c r="P130" s="5">
        <f>Table13[[#This Row],[Profit]]/Table13[[#This Row],[Amount]]</f>
        <v>0.13580520199225235</v>
      </c>
      <c r="Q130" s="6">
        <f>Table13[[#This Row],[Amount]]/Table13[[#This Row],[Quantity]]</f>
        <v>645.35714285714289</v>
      </c>
    </row>
    <row r="131" spans="1:17" x14ac:dyDescent="0.3">
      <c r="A131" t="s">
        <v>210</v>
      </c>
      <c r="B131">
        <v>9035</v>
      </c>
      <c r="C131">
        <v>1227</v>
      </c>
      <c r="D131">
        <v>14</v>
      </c>
      <c r="E131" t="s">
        <v>45</v>
      </c>
      <c r="F131" t="s">
        <v>49</v>
      </c>
      <c r="G131" t="s">
        <v>40</v>
      </c>
      <c r="H131" s="1">
        <v>44334</v>
      </c>
      <c r="I131" t="s">
        <v>212</v>
      </c>
      <c r="J131" t="s">
        <v>98</v>
      </c>
      <c r="K131" t="s">
        <v>117</v>
      </c>
      <c r="L131" s="2" t="s">
        <v>108</v>
      </c>
      <c r="M131" t="str">
        <f>TEXT(Table13[[#This Row],[Order Date]],"MMM")</f>
        <v>May</v>
      </c>
      <c r="N131">
        <f>YEAR(Table13[[#This Row],[Order Date]])</f>
        <v>2021</v>
      </c>
      <c r="O131" t="str">
        <f>"Q"&amp;ROUNDUP(MONTH(Table13[[#This Row],[Order Date]])/3,0)</f>
        <v>Q2</v>
      </c>
      <c r="P131" s="5">
        <f>Table13[[#This Row],[Profit]]/Table13[[#This Row],[Amount]]</f>
        <v>0.13580520199225235</v>
      </c>
      <c r="Q131" s="6">
        <f>Table13[[#This Row],[Amount]]/Table13[[#This Row],[Quantity]]</f>
        <v>645.35714285714289</v>
      </c>
    </row>
    <row r="132" spans="1:17" x14ac:dyDescent="0.3">
      <c r="A132" t="s">
        <v>213</v>
      </c>
      <c r="B132">
        <v>2684</v>
      </c>
      <c r="C132">
        <v>670</v>
      </c>
      <c r="D132">
        <v>2</v>
      </c>
      <c r="E132" t="s">
        <v>30</v>
      </c>
      <c r="F132" t="s">
        <v>64</v>
      </c>
      <c r="G132" t="s">
        <v>65</v>
      </c>
      <c r="H132" s="1">
        <v>45475</v>
      </c>
      <c r="I132" t="s">
        <v>214</v>
      </c>
      <c r="J132" t="s">
        <v>17</v>
      </c>
      <c r="K132" t="s">
        <v>150</v>
      </c>
      <c r="L132" s="2" t="s">
        <v>215</v>
      </c>
      <c r="M132" t="str">
        <f>TEXT(Table13[[#This Row],[Order Date]],"MMM")</f>
        <v>Jul</v>
      </c>
      <c r="N132">
        <f>YEAR(Table13[[#This Row],[Order Date]])</f>
        <v>2024</v>
      </c>
      <c r="O132" t="str">
        <f>"Q"&amp;ROUNDUP(MONTH(Table13[[#This Row],[Order Date]])/3,0)</f>
        <v>Q3</v>
      </c>
      <c r="P132" s="5">
        <f>Table13[[#This Row],[Profit]]/Table13[[#This Row],[Amount]]</f>
        <v>0.24962742175856931</v>
      </c>
      <c r="Q132" s="6">
        <f>Table13[[#This Row],[Amount]]/Table13[[#This Row],[Quantity]]</f>
        <v>1342</v>
      </c>
    </row>
    <row r="133" spans="1:17" x14ac:dyDescent="0.3">
      <c r="A133" t="s">
        <v>213</v>
      </c>
      <c r="B133">
        <v>822</v>
      </c>
      <c r="C133">
        <v>147</v>
      </c>
      <c r="D133">
        <v>5</v>
      </c>
      <c r="E133" t="s">
        <v>45</v>
      </c>
      <c r="F133" t="s">
        <v>60</v>
      </c>
      <c r="G133" t="s">
        <v>47</v>
      </c>
      <c r="H133" s="1">
        <v>45475</v>
      </c>
      <c r="I133" t="s">
        <v>214</v>
      </c>
      <c r="J133" t="s">
        <v>17</v>
      </c>
      <c r="K133" t="s">
        <v>150</v>
      </c>
      <c r="L133" s="2" t="s">
        <v>215</v>
      </c>
      <c r="M133" t="str">
        <f>TEXT(Table13[[#This Row],[Order Date]],"MMM")</f>
        <v>Jul</v>
      </c>
      <c r="N133">
        <f>YEAR(Table13[[#This Row],[Order Date]])</f>
        <v>2024</v>
      </c>
      <c r="O133" t="str">
        <f>"Q"&amp;ROUNDUP(MONTH(Table13[[#This Row],[Order Date]])/3,0)</f>
        <v>Q3</v>
      </c>
      <c r="P133" s="5">
        <f>Table13[[#This Row],[Profit]]/Table13[[#This Row],[Amount]]</f>
        <v>0.17883211678832117</v>
      </c>
      <c r="Q133" s="6">
        <f>Table13[[#This Row],[Amount]]/Table13[[#This Row],[Quantity]]</f>
        <v>164.4</v>
      </c>
    </row>
    <row r="134" spans="1:17" x14ac:dyDescent="0.3">
      <c r="A134" t="s">
        <v>213</v>
      </c>
      <c r="B134">
        <v>9730</v>
      </c>
      <c r="C134">
        <v>2341</v>
      </c>
      <c r="D134">
        <v>2</v>
      </c>
      <c r="E134" t="s">
        <v>45</v>
      </c>
      <c r="F134" t="s">
        <v>49</v>
      </c>
      <c r="G134" t="s">
        <v>40</v>
      </c>
      <c r="H134" s="1">
        <v>45475</v>
      </c>
      <c r="I134" t="s">
        <v>214</v>
      </c>
      <c r="J134" t="s">
        <v>17</v>
      </c>
      <c r="K134" t="s">
        <v>150</v>
      </c>
      <c r="L134" s="2" t="s">
        <v>215</v>
      </c>
      <c r="M134" t="str">
        <f>TEXT(Table13[[#This Row],[Order Date]],"MMM")</f>
        <v>Jul</v>
      </c>
      <c r="N134">
        <f>YEAR(Table13[[#This Row],[Order Date]])</f>
        <v>2024</v>
      </c>
      <c r="O134" t="str">
        <f>"Q"&amp;ROUNDUP(MONTH(Table13[[#This Row],[Order Date]])/3,0)</f>
        <v>Q3</v>
      </c>
      <c r="P134" s="5">
        <f>Table13[[#This Row],[Profit]]/Table13[[#This Row],[Amount]]</f>
        <v>0.24059609455292907</v>
      </c>
      <c r="Q134" s="6">
        <f>Table13[[#This Row],[Amount]]/Table13[[#This Row],[Quantity]]</f>
        <v>4865</v>
      </c>
    </row>
    <row r="135" spans="1:17" x14ac:dyDescent="0.3">
      <c r="A135" t="s">
        <v>213</v>
      </c>
      <c r="B135">
        <v>2483</v>
      </c>
      <c r="C135">
        <v>236</v>
      </c>
      <c r="D135">
        <v>2</v>
      </c>
      <c r="E135" t="s">
        <v>13</v>
      </c>
      <c r="F135" t="s">
        <v>14</v>
      </c>
      <c r="G135" t="s">
        <v>65</v>
      </c>
      <c r="H135" s="1">
        <v>45475</v>
      </c>
      <c r="I135" t="s">
        <v>214</v>
      </c>
      <c r="J135" t="s">
        <v>17</v>
      </c>
      <c r="K135" t="s">
        <v>150</v>
      </c>
      <c r="L135" s="2" t="s">
        <v>215</v>
      </c>
      <c r="M135" t="str">
        <f>TEXT(Table13[[#This Row],[Order Date]],"MMM")</f>
        <v>Jul</v>
      </c>
      <c r="N135">
        <f>YEAR(Table13[[#This Row],[Order Date]])</f>
        <v>2024</v>
      </c>
      <c r="O135" t="str">
        <f>"Q"&amp;ROUNDUP(MONTH(Table13[[#This Row],[Order Date]])/3,0)</f>
        <v>Q3</v>
      </c>
      <c r="P135" s="5">
        <f>Table13[[#This Row],[Profit]]/Table13[[#This Row],[Amount]]</f>
        <v>9.50463149416029E-2</v>
      </c>
      <c r="Q135" s="6">
        <f>Table13[[#This Row],[Amount]]/Table13[[#This Row],[Quantity]]</f>
        <v>1241.5</v>
      </c>
    </row>
    <row r="136" spans="1:17" x14ac:dyDescent="0.3">
      <c r="A136" t="s">
        <v>216</v>
      </c>
      <c r="B136">
        <v>1297</v>
      </c>
      <c r="C136">
        <v>600</v>
      </c>
      <c r="D136">
        <v>7</v>
      </c>
      <c r="E136" t="s">
        <v>30</v>
      </c>
      <c r="F136" t="s">
        <v>78</v>
      </c>
      <c r="G136" t="s">
        <v>47</v>
      </c>
      <c r="H136" s="1">
        <v>45338</v>
      </c>
      <c r="I136" t="s">
        <v>217</v>
      </c>
      <c r="J136" t="s">
        <v>17</v>
      </c>
      <c r="K136" t="s">
        <v>34</v>
      </c>
      <c r="L136" s="2" t="s">
        <v>218</v>
      </c>
      <c r="M136" t="str">
        <f>TEXT(Table13[[#This Row],[Order Date]],"MMM")</f>
        <v>Feb</v>
      </c>
      <c r="N136">
        <f>YEAR(Table13[[#This Row],[Order Date]])</f>
        <v>2024</v>
      </c>
      <c r="O136" t="str">
        <f>"Q"&amp;ROUNDUP(MONTH(Table13[[#This Row],[Order Date]])/3,0)</f>
        <v>Q1</v>
      </c>
      <c r="P136" s="5">
        <f>Table13[[#This Row],[Profit]]/Table13[[#This Row],[Amount]]</f>
        <v>0.4626060138781804</v>
      </c>
      <c r="Q136" s="6">
        <f>Table13[[#This Row],[Amount]]/Table13[[#This Row],[Quantity]]</f>
        <v>185.28571428571428</v>
      </c>
    </row>
    <row r="137" spans="1:17" x14ac:dyDescent="0.3">
      <c r="A137" t="s">
        <v>216</v>
      </c>
      <c r="B137">
        <v>7909</v>
      </c>
      <c r="C137">
        <v>1942</v>
      </c>
      <c r="D137">
        <v>19</v>
      </c>
      <c r="E137" t="s">
        <v>13</v>
      </c>
      <c r="F137" t="s">
        <v>82</v>
      </c>
      <c r="G137" t="s">
        <v>65</v>
      </c>
      <c r="H137" s="1">
        <v>45338</v>
      </c>
      <c r="I137" t="s">
        <v>217</v>
      </c>
      <c r="J137" t="s">
        <v>17</v>
      </c>
      <c r="K137" t="s">
        <v>34</v>
      </c>
      <c r="L137" s="2" t="s">
        <v>218</v>
      </c>
      <c r="M137" t="str">
        <f>TEXT(Table13[[#This Row],[Order Date]],"MMM")</f>
        <v>Feb</v>
      </c>
      <c r="N137">
        <f>YEAR(Table13[[#This Row],[Order Date]])</f>
        <v>2024</v>
      </c>
      <c r="O137" t="str">
        <f>"Q"&amp;ROUNDUP(MONTH(Table13[[#This Row],[Order Date]])/3,0)</f>
        <v>Q1</v>
      </c>
      <c r="P137" s="5">
        <f>Table13[[#This Row],[Profit]]/Table13[[#This Row],[Amount]]</f>
        <v>0.24554305221899103</v>
      </c>
      <c r="Q137" s="6">
        <f>Table13[[#This Row],[Amount]]/Table13[[#This Row],[Quantity]]</f>
        <v>416.26315789473682</v>
      </c>
    </row>
    <row r="138" spans="1:17" x14ac:dyDescent="0.3">
      <c r="A138" t="s">
        <v>219</v>
      </c>
      <c r="B138">
        <v>9768</v>
      </c>
      <c r="C138">
        <v>4518</v>
      </c>
      <c r="D138">
        <v>8</v>
      </c>
      <c r="E138" t="s">
        <v>45</v>
      </c>
      <c r="F138" t="s">
        <v>46</v>
      </c>
      <c r="G138" t="s">
        <v>47</v>
      </c>
      <c r="H138" s="1">
        <v>44526</v>
      </c>
      <c r="I138" t="s">
        <v>220</v>
      </c>
      <c r="J138" t="s">
        <v>71</v>
      </c>
      <c r="K138" t="s">
        <v>72</v>
      </c>
      <c r="L138" s="2" t="s">
        <v>175</v>
      </c>
      <c r="M138" t="str">
        <f>TEXT(Table13[[#This Row],[Order Date]],"MMM")</f>
        <v>Nov</v>
      </c>
      <c r="N138">
        <f>YEAR(Table13[[#This Row],[Order Date]])</f>
        <v>2021</v>
      </c>
      <c r="O138" t="str">
        <f>"Q"&amp;ROUNDUP(MONTH(Table13[[#This Row],[Order Date]])/3,0)</f>
        <v>Q4</v>
      </c>
      <c r="P138" s="5">
        <f>Table13[[#This Row],[Profit]]/Table13[[#This Row],[Amount]]</f>
        <v>0.46253071253071254</v>
      </c>
      <c r="Q138" s="6">
        <f>Table13[[#This Row],[Amount]]/Table13[[#This Row],[Quantity]]</f>
        <v>1221</v>
      </c>
    </row>
    <row r="139" spans="1:17" x14ac:dyDescent="0.3">
      <c r="A139" t="s">
        <v>219</v>
      </c>
      <c r="B139">
        <v>4968</v>
      </c>
      <c r="C139">
        <v>934</v>
      </c>
      <c r="D139">
        <v>5</v>
      </c>
      <c r="E139" t="s">
        <v>45</v>
      </c>
      <c r="F139" t="s">
        <v>60</v>
      </c>
      <c r="G139" t="s">
        <v>32</v>
      </c>
      <c r="H139" s="1">
        <v>44526</v>
      </c>
      <c r="I139" t="s">
        <v>220</v>
      </c>
      <c r="J139" t="s">
        <v>71</v>
      </c>
      <c r="K139" t="s">
        <v>72</v>
      </c>
      <c r="L139" s="2" t="s">
        <v>175</v>
      </c>
      <c r="M139" t="str">
        <f>TEXT(Table13[[#This Row],[Order Date]],"MMM")</f>
        <v>Nov</v>
      </c>
      <c r="N139">
        <f>YEAR(Table13[[#This Row],[Order Date]])</f>
        <v>2021</v>
      </c>
      <c r="O139" t="str">
        <f>"Q"&amp;ROUNDUP(MONTH(Table13[[#This Row],[Order Date]])/3,0)</f>
        <v>Q4</v>
      </c>
      <c r="P139" s="5">
        <f>Table13[[#This Row],[Profit]]/Table13[[#This Row],[Amount]]</f>
        <v>0.18800322061191627</v>
      </c>
      <c r="Q139" s="6">
        <f>Table13[[#This Row],[Amount]]/Table13[[#This Row],[Quantity]]</f>
        <v>993.6</v>
      </c>
    </row>
    <row r="140" spans="1:17" x14ac:dyDescent="0.3">
      <c r="A140" t="s">
        <v>219</v>
      </c>
      <c r="B140">
        <v>1731</v>
      </c>
      <c r="C140">
        <v>149</v>
      </c>
      <c r="D140">
        <v>4</v>
      </c>
      <c r="E140" t="s">
        <v>13</v>
      </c>
      <c r="F140" t="s">
        <v>39</v>
      </c>
      <c r="G140" t="s">
        <v>40</v>
      </c>
      <c r="H140" s="1">
        <v>44526</v>
      </c>
      <c r="I140" t="s">
        <v>220</v>
      </c>
      <c r="J140" t="s">
        <v>71</v>
      </c>
      <c r="K140" t="s">
        <v>72</v>
      </c>
      <c r="L140" s="2" t="s">
        <v>175</v>
      </c>
      <c r="M140" t="str">
        <f>TEXT(Table13[[#This Row],[Order Date]],"MMM")</f>
        <v>Nov</v>
      </c>
      <c r="N140">
        <f>YEAR(Table13[[#This Row],[Order Date]])</f>
        <v>2021</v>
      </c>
      <c r="O140" t="str">
        <f>"Q"&amp;ROUNDUP(MONTH(Table13[[#This Row],[Order Date]])/3,0)</f>
        <v>Q4</v>
      </c>
      <c r="P140" s="5">
        <f>Table13[[#This Row],[Profit]]/Table13[[#This Row],[Amount]]</f>
        <v>8.6077411900635475E-2</v>
      </c>
      <c r="Q140" s="6">
        <f>Table13[[#This Row],[Amount]]/Table13[[#This Row],[Quantity]]</f>
        <v>432.75</v>
      </c>
    </row>
    <row r="141" spans="1:17" x14ac:dyDescent="0.3">
      <c r="A141" t="s">
        <v>221</v>
      </c>
      <c r="B141">
        <v>3433</v>
      </c>
      <c r="C141">
        <v>1169</v>
      </c>
      <c r="D141">
        <v>10</v>
      </c>
      <c r="E141" t="s">
        <v>30</v>
      </c>
      <c r="F141" t="s">
        <v>78</v>
      </c>
      <c r="G141" t="s">
        <v>65</v>
      </c>
      <c r="H141" s="1">
        <v>45323</v>
      </c>
      <c r="I141" t="s">
        <v>222</v>
      </c>
      <c r="J141" t="s">
        <v>42</v>
      </c>
      <c r="K141" t="s">
        <v>92</v>
      </c>
      <c r="L141" s="2" t="s">
        <v>218</v>
      </c>
      <c r="M141" t="str">
        <f>TEXT(Table13[[#This Row],[Order Date]],"MMM")</f>
        <v>Feb</v>
      </c>
      <c r="N141">
        <f>YEAR(Table13[[#This Row],[Order Date]])</f>
        <v>2024</v>
      </c>
      <c r="O141" t="str">
        <f>"Q"&amp;ROUNDUP(MONTH(Table13[[#This Row],[Order Date]])/3,0)</f>
        <v>Q1</v>
      </c>
      <c r="P141" s="5">
        <f>Table13[[#This Row],[Profit]]/Table13[[#This Row],[Amount]]</f>
        <v>0.34051849694145064</v>
      </c>
      <c r="Q141" s="6">
        <f>Table13[[#This Row],[Amount]]/Table13[[#This Row],[Quantity]]</f>
        <v>343.3</v>
      </c>
    </row>
    <row r="142" spans="1:17" x14ac:dyDescent="0.3">
      <c r="A142" t="s">
        <v>221</v>
      </c>
      <c r="B142">
        <v>3433</v>
      </c>
      <c r="C142">
        <v>1169</v>
      </c>
      <c r="D142">
        <v>10</v>
      </c>
      <c r="E142" t="s">
        <v>30</v>
      </c>
      <c r="F142" t="s">
        <v>78</v>
      </c>
      <c r="G142" t="s">
        <v>65</v>
      </c>
      <c r="H142" s="1">
        <v>44448</v>
      </c>
      <c r="I142" t="s">
        <v>223</v>
      </c>
      <c r="J142" t="s">
        <v>21</v>
      </c>
      <c r="K142" t="s">
        <v>63</v>
      </c>
      <c r="L142" s="2" t="s">
        <v>224</v>
      </c>
      <c r="M142" t="str">
        <f>TEXT(Table13[[#This Row],[Order Date]],"MMM")</f>
        <v>Sep</v>
      </c>
      <c r="N142">
        <f>YEAR(Table13[[#This Row],[Order Date]])</f>
        <v>2021</v>
      </c>
      <c r="O142" t="str">
        <f>"Q"&amp;ROUNDUP(MONTH(Table13[[#This Row],[Order Date]])/3,0)</f>
        <v>Q3</v>
      </c>
      <c r="P142" s="5">
        <f>Table13[[#This Row],[Profit]]/Table13[[#This Row],[Amount]]</f>
        <v>0.34051849694145064</v>
      </c>
      <c r="Q142" s="6">
        <f>Table13[[#This Row],[Amount]]/Table13[[#This Row],[Quantity]]</f>
        <v>343.3</v>
      </c>
    </row>
    <row r="143" spans="1:17" x14ac:dyDescent="0.3">
      <c r="A143" t="s">
        <v>221</v>
      </c>
      <c r="B143">
        <v>3433</v>
      </c>
      <c r="C143">
        <v>1169</v>
      </c>
      <c r="D143">
        <v>10</v>
      </c>
      <c r="E143" t="s">
        <v>30</v>
      </c>
      <c r="F143" t="s">
        <v>78</v>
      </c>
      <c r="G143" t="s">
        <v>65</v>
      </c>
      <c r="H143" s="1">
        <v>44447</v>
      </c>
      <c r="I143" t="s">
        <v>225</v>
      </c>
      <c r="J143" t="s">
        <v>42</v>
      </c>
      <c r="K143" t="s">
        <v>75</v>
      </c>
      <c r="L143" s="2" t="s">
        <v>224</v>
      </c>
      <c r="M143" t="str">
        <f>TEXT(Table13[[#This Row],[Order Date]],"MMM")</f>
        <v>Sep</v>
      </c>
      <c r="N143">
        <f>YEAR(Table13[[#This Row],[Order Date]])</f>
        <v>2021</v>
      </c>
      <c r="O143" t="str">
        <f>"Q"&amp;ROUNDUP(MONTH(Table13[[#This Row],[Order Date]])/3,0)</f>
        <v>Q3</v>
      </c>
      <c r="P143" s="5">
        <f>Table13[[#This Row],[Profit]]/Table13[[#This Row],[Amount]]</f>
        <v>0.34051849694145064</v>
      </c>
      <c r="Q143" s="6">
        <f>Table13[[#This Row],[Amount]]/Table13[[#This Row],[Quantity]]</f>
        <v>343.3</v>
      </c>
    </row>
    <row r="144" spans="1:17" x14ac:dyDescent="0.3">
      <c r="A144" t="s">
        <v>221</v>
      </c>
      <c r="B144">
        <v>3887</v>
      </c>
      <c r="C144">
        <v>1490</v>
      </c>
      <c r="D144">
        <v>1</v>
      </c>
      <c r="E144" t="s">
        <v>30</v>
      </c>
      <c r="F144" t="s">
        <v>78</v>
      </c>
      <c r="G144" t="s">
        <v>32</v>
      </c>
      <c r="H144" s="1">
        <v>45323</v>
      </c>
      <c r="I144" t="s">
        <v>222</v>
      </c>
      <c r="J144" t="s">
        <v>42</v>
      </c>
      <c r="K144" t="s">
        <v>92</v>
      </c>
      <c r="L144" s="2" t="s">
        <v>218</v>
      </c>
      <c r="M144" t="str">
        <f>TEXT(Table13[[#This Row],[Order Date]],"MMM")</f>
        <v>Feb</v>
      </c>
      <c r="N144">
        <f>YEAR(Table13[[#This Row],[Order Date]])</f>
        <v>2024</v>
      </c>
      <c r="O144" t="str">
        <f>"Q"&amp;ROUNDUP(MONTH(Table13[[#This Row],[Order Date]])/3,0)</f>
        <v>Q1</v>
      </c>
      <c r="P144" s="5">
        <f>Table13[[#This Row],[Profit]]/Table13[[#This Row],[Amount]]</f>
        <v>0.3833290455364034</v>
      </c>
      <c r="Q144" s="6">
        <f>Table13[[#This Row],[Amount]]/Table13[[#This Row],[Quantity]]</f>
        <v>3887</v>
      </c>
    </row>
    <row r="145" spans="1:17" x14ac:dyDescent="0.3">
      <c r="A145" t="s">
        <v>221</v>
      </c>
      <c r="B145">
        <v>3887</v>
      </c>
      <c r="C145">
        <v>1490</v>
      </c>
      <c r="D145">
        <v>1</v>
      </c>
      <c r="E145" t="s">
        <v>30</v>
      </c>
      <c r="F145" t="s">
        <v>78</v>
      </c>
      <c r="G145" t="s">
        <v>32</v>
      </c>
      <c r="H145" s="1">
        <v>44448</v>
      </c>
      <c r="I145" t="s">
        <v>223</v>
      </c>
      <c r="J145" t="s">
        <v>21</v>
      </c>
      <c r="K145" t="s">
        <v>63</v>
      </c>
      <c r="L145" s="2" t="s">
        <v>224</v>
      </c>
      <c r="M145" t="str">
        <f>TEXT(Table13[[#This Row],[Order Date]],"MMM")</f>
        <v>Sep</v>
      </c>
      <c r="N145">
        <f>YEAR(Table13[[#This Row],[Order Date]])</f>
        <v>2021</v>
      </c>
      <c r="O145" t="str">
        <f>"Q"&amp;ROUNDUP(MONTH(Table13[[#This Row],[Order Date]])/3,0)</f>
        <v>Q3</v>
      </c>
      <c r="P145" s="5">
        <f>Table13[[#This Row],[Profit]]/Table13[[#This Row],[Amount]]</f>
        <v>0.3833290455364034</v>
      </c>
      <c r="Q145" s="6">
        <f>Table13[[#This Row],[Amount]]/Table13[[#This Row],[Quantity]]</f>
        <v>3887</v>
      </c>
    </row>
    <row r="146" spans="1:17" x14ac:dyDescent="0.3">
      <c r="A146" t="s">
        <v>221</v>
      </c>
      <c r="B146">
        <v>3887</v>
      </c>
      <c r="C146">
        <v>1490</v>
      </c>
      <c r="D146">
        <v>1</v>
      </c>
      <c r="E146" t="s">
        <v>30</v>
      </c>
      <c r="F146" t="s">
        <v>78</v>
      </c>
      <c r="G146" t="s">
        <v>32</v>
      </c>
      <c r="H146" s="1">
        <v>44447</v>
      </c>
      <c r="I146" t="s">
        <v>225</v>
      </c>
      <c r="J146" t="s">
        <v>42</v>
      </c>
      <c r="K146" t="s">
        <v>75</v>
      </c>
      <c r="L146" s="2" t="s">
        <v>224</v>
      </c>
      <c r="M146" t="str">
        <f>TEXT(Table13[[#This Row],[Order Date]],"MMM")</f>
        <v>Sep</v>
      </c>
      <c r="N146">
        <f>YEAR(Table13[[#This Row],[Order Date]])</f>
        <v>2021</v>
      </c>
      <c r="O146" t="str">
        <f>"Q"&amp;ROUNDUP(MONTH(Table13[[#This Row],[Order Date]])/3,0)</f>
        <v>Q3</v>
      </c>
      <c r="P146" s="5">
        <f>Table13[[#This Row],[Profit]]/Table13[[#This Row],[Amount]]</f>
        <v>0.3833290455364034</v>
      </c>
      <c r="Q146" s="6">
        <f>Table13[[#This Row],[Amount]]/Table13[[#This Row],[Quantity]]</f>
        <v>3887</v>
      </c>
    </row>
    <row r="147" spans="1:17" x14ac:dyDescent="0.3">
      <c r="A147" t="s">
        <v>226</v>
      </c>
      <c r="B147">
        <v>1801</v>
      </c>
      <c r="C147">
        <v>641</v>
      </c>
      <c r="D147">
        <v>20</v>
      </c>
      <c r="E147" t="s">
        <v>30</v>
      </c>
      <c r="F147" t="s">
        <v>57</v>
      </c>
      <c r="G147" t="s">
        <v>47</v>
      </c>
      <c r="H147" s="1">
        <v>45482</v>
      </c>
      <c r="I147" t="s">
        <v>227</v>
      </c>
      <c r="J147" t="s">
        <v>42</v>
      </c>
      <c r="K147" t="s">
        <v>43</v>
      </c>
      <c r="L147" s="2" t="s">
        <v>215</v>
      </c>
      <c r="M147" t="str">
        <f>TEXT(Table13[[#This Row],[Order Date]],"MMM")</f>
        <v>Jul</v>
      </c>
      <c r="N147">
        <f>YEAR(Table13[[#This Row],[Order Date]])</f>
        <v>2024</v>
      </c>
      <c r="O147" t="str">
        <f>"Q"&amp;ROUNDUP(MONTH(Table13[[#This Row],[Order Date]])/3,0)</f>
        <v>Q3</v>
      </c>
      <c r="P147" s="5">
        <f>Table13[[#This Row],[Profit]]/Table13[[#This Row],[Amount]]</f>
        <v>0.35591338145474738</v>
      </c>
      <c r="Q147" s="6">
        <f>Table13[[#This Row],[Amount]]/Table13[[#This Row],[Quantity]]</f>
        <v>90.05</v>
      </c>
    </row>
    <row r="148" spans="1:17" x14ac:dyDescent="0.3">
      <c r="A148" t="s">
        <v>226</v>
      </c>
      <c r="B148">
        <v>5301</v>
      </c>
      <c r="C148">
        <v>817</v>
      </c>
      <c r="D148">
        <v>10</v>
      </c>
      <c r="E148" t="s">
        <v>45</v>
      </c>
      <c r="F148" t="s">
        <v>46</v>
      </c>
      <c r="G148" t="s">
        <v>32</v>
      </c>
      <c r="H148" s="1">
        <v>45482</v>
      </c>
      <c r="I148" t="s">
        <v>227</v>
      </c>
      <c r="J148" t="s">
        <v>42</v>
      </c>
      <c r="K148" t="s">
        <v>43</v>
      </c>
      <c r="L148" s="2" t="s">
        <v>215</v>
      </c>
      <c r="M148" t="str">
        <f>TEXT(Table13[[#This Row],[Order Date]],"MMM")</f>
        <v>Jul</v>
      </c>
      <c r="N148">
        <f>YEAR(Table13[[#This Row],[Order Date]])</f>
        <v>2024</v>
      </c>
      <c r="O148" t="str">
        <f>"Q"&amp;ROUNDUP(MONTH(Table13[[#This Row],[Order Date]])/3,0)</f>
        <v>Q3</v>
      </c>
      <c r="P148" s="5">
        <f>Table13[[#This Row],[Profit]]/Table13[[#This Row],[Amount]]</f>
        <v>0.15412186379928317</v>
      </c>
      <c r="Q148" s="6">
        <f>Table13[[#This Row],[Amount]]/Table13[[#This Row],[Quantity]]</f>
        <v>530.1</v>
      </c>
    </row>
    <row r="149" spans="1:17" x14ac:dyDescent="0.3">
      <c r="A149" t="s">
        <v>226</v>
      </c>
      <c r="B149">
        <v>1166</v>
      </c>
      <c r="C149">
        <v>520</v>
      </c>
      <c r="D149">
        <v>12</v>
      </c>
      <c r="E149" t="s">
        <v>30</v>
      </c>
      <c r="F149" t="s">
        <v>64</v>
      </c>
      <c r="G149" t="s">
        <v>32</v>
      </c>
      <c r="H149" s="1">
        <v>45482</v>
      </c>
      <c r="I149" t="s">
        <v>227</v>
      </c>
      <c r="J149" t="s">
        <v>42</v>
      </c>
      <c r="K149" t="s">
        <v>43</v>
      </c>
      <c r="L149" s="2" t="s">
        <v>215</v>
      </c>
      <c r="M149" t="str">
        <f>TEXT(Table13[[#This Row],[Order Date]],"MMM")</f>
        <v>Jul</v>
      </c>
      <c r="N149">
        <f>YEAR(Table13[[#This Row],[Order Date]])</f>
        <v>2024</v>
      </c>
      <c r="O149" t="str">
        <f>"Q"&amp;ROUNDUP(MONTH(Table13[[#This Row],[Order Date]])/3,0)</f>
        <v>Q3</v>
      </c>
      <c r="P149" s="5">
        <f>Table13[[#This Row],[Profit]]/Table13[[#This Row],[Amount]]</f>
        <v>0.44596912521440824</v>
      </c>
      <c r="Q149" s="6">
        <f>Table13[[#This Row],[Amount]]/Table13[[#This Row],[Quantity]]</f>
        <v>97.166666666666671</v>
      </c>
    </row>
    <row r="150" spans="1:17" x14ac:dyDescent="0.3">
      <c r="A150" t="s">
        <v>226</v>
      </c>
      <c r="B150">
        <v>3196</v>
      </c>
      <c r="C150">
        <v>1411</v>
      </c>
      <c r="D150">
        <v>15</v>
      </c>
      <c r="E150" t="s">
        <v>30</v>
      </c>
      <c r="F150" t="s">
        <v>64</v>
      </c>
      <c r="G150" t="s">
        <v>32</v>
      </c>
      <c r="H150" s="1">
        <v>45482</v>
      </c>
      <c r="I150" t="s">
        <v>227</v>
      </c>
      <c r="J150" t="s">
        <v>42</v>
      </c>
      <c r="K150" t="s">
        <v>43</v>
      </c>
      <c r="L150" s="2" t="s">
        <v>215</v>
      </c>
      <c r="M150" t="str">
        <f>TEXT(Table13[[#This Row],[Order Date]],"MMM")</f>
        <v>Jul</v>
      </c>
      <c r="N150">
        <f>YEAR(Table13[[#This Row],[Order Date]])</f>
        <v>2024</v>
      </c>
      <c r="O150" t="str">
        <f>"Q"&amp;ROUNDUP(MONTH(Table13[[#This Row],[Order Date]])/3,0)</f>
        <v>Q3</v>
      </c>
      <c r="P150" s="5">
        <f>Table13[[#This Row],[Profit]]/Table13[[#This Row],[Amount]]</f>
        <v>0.44148936170212766</v>
      </c>
      <c r="Q150" s="6">
        <f>Table13[[#This Row],[Amount]]/Table13[[#This Row],[Quantity]]</f>
        <v>213.06666666666666</v>
      </c>
    </row>
    <row r="151" spans="1:17" x14ac:dyDescent="0.3">
      <c r="A151" t="s">
        <v>228</v>
      </c>
      <c r="B151">
        <v>3428</v>
      </c>
      <c r="C151">
        <v>350</v>
      </c>
      <c r="D151">
        <v>1</v>
      </c>
      <c r="E151" t="s">
        <v>45</v>
      </c>
      <c r="F151" t="s">
        <v>49</v>
      </c>
      <c r="G151" t="s">
        <v>47</v>
      </c>
      <c r="H151" s="1">
        <v>44985</v>
      </c>
      <c r="I151" t="s">
        <v>229</v>
      </c>
      <c r="J151" t="s">
        <v>21</v>
      </c>
      <c r="K151" t="s">
        <v>63</v>
      </c>
      <c r="L151" s="2" t="s">
        <v>93</v>
      </c>
      <c r="M151" t="str">
        <f>TEXT(Table13[[#This Row],[Order Date]],"MMM")</f>
        <v>Feb</v>
      </c>
      <c r="N151">
        <f>YEAR(Table13[[#This Row],[Order Date]])</f>
        <v>2023</v>
      </c>
      <c r="O151" t="str">
        <f>"Q"&amp;ROUNDUP(MONTH(Table13[[#This Row],[Order Date]])/3,0)</f>
        <v>Q1</v>
      </c>
      <c r="P151" s="5">
        <f>Table13[[#This Row],[Profit]]/Table13[[#This Row],[Amount]]</f>
        <v>0.10210035005834306</v>
      </c>
      <c r="Q151" s="6">
        <f>Table13[[#This Row],[Amount]]/Table13[[#This Row],[Quantity]]</f>
        <v>3428</v>
      </c>
    </row>
    <row r="152" spans="1:17" x14ac:dyDescent="0.3">
      <c r="A152" t="s">
        <v>228</v>
      </c>
      <c r="B152">
        <v>7223</v>
      </c>
      <c r="C152">
        <v>2433</v>
      </c>
      <c r="D152">
        <v>12</v>
      </c>
      <c r="E152" t="s">
        <v>30</v>
      </c>
      <c r="F152" t="s">
        <v>78</v>
      </c>
      <c r="G152" t="s">
        <v>47</v>
      </c>
      <c r="H152" s="1">
        <v>44985</v>
      </c>
      <c r="I152" t="s">
        <v>229</v>
      </c>
      <c r="J152" t="s">
        <v>21</v>
      </c>
      <c r="K152" t="s">
        <v>63</v>
      </c>
      <c r="L152" s="2" t="s">
        <v>93</v>
      </c>
      <c r="M152" t="str">
        <f>TEXT(Table13[[#This Row],[Order Date]],"MMM")</f>
        <v>Feb</v>
      </c>
      <c r="N152">
        <f>YEAR(Table13[[#This Row],[Order Date]])</f>
        <v>2023</v>
      </c>
      <c r="O152" t="str">
        <f>"Q"&amp;ROUNDUP(MONTH(Table13[[#This Row],[Order Date]])/3,0)</f>
        <v>Q1</v>
      </c>
      <c r="P152" s="5">
        <f>Table13[[#This Row],[Profit]]/Table13[[#This Row],[Amount]]</f>
        <v>0.33684064793022289</v>
      </c>
      <c r="Q152" s="6">
        <f>Table13[[#This Row],[Amount]]/Table13[[#This Row],[Quantity]]</f>
        <v>601.91666666666663</v>
      </c>
    </row>
    <row r="153" spans="1:17" x14ac:dyDescent="0.3">
      <c r="A153" t="s">
        <v>228</v>
      </c>
      <c r="B153">
        <v>3731</v>
      </c>
      <c r="C153">
        <v>647</v>
      </c>
      <c r="D153">
        <v>1</v>
      </c>
      <c r="E153" t="s">
        <v>30</v>
      </c>
      <c r="F153" t="s">
        <v>31</v>
      </c>
      <c r="G153" t="s">
        <v>47</v>
      </c>
      <c r="H153" s="1">
        <v>44985</v>
      </c>
      <c r="I153" t="s">
        <v>229</v>
      </c>
      <c r="J153" t="s">
        <v>21</v>
      </c>
      <c r="K153" t="s">
        <v>63</v>
      </c>
      <c r="L153" s="2" t="s">
        <v>93</v>
      </c>
      <c r="M153" t="str">
        <f>TEXT(Table13[[#This Row],[Order Date]],"MMM")</f>
        <v>Feb</v>
      </c>
      <c r="N153">
        <f>YEAR(Table13[[#This Row],[Order Date]])</f>
        <v>2023</v>
      </c>
      <c r="O153" t="str">
        <f>"Q"&amp;ROUNDUP(MONTH(Table13[[#This Row],[Order Date]])/3,0)</f>
        <v>Q1</v>
      </c>
      <c r="P153" s="5">
        <f>Table13[[#This Row],[Profit]]/Table13[[#This Row],[Amount]]</f>
        <v>0.17341195389975878</v>
      </c>
      <c r="Q153" s="6">
        <f>Table13[[#This Row],[Amount]]/Table13[[#This Row],[Quantity]]</f>
        <v>3731</v>
      </c>
    </row>
    <row r="154" spans="1:17" x14ac:dyDescent="0.3">
      <c r="A154" t="s">
        <v>230</v>
      </c>
      <c r="B154">
        <v>8903</v>
      </c>
      <c r="C154">
        <v>4401</v>
      </c>
      <c r="D154">
        <v>18</v>
      </c>
      <c r="E154" t="s">
        <v>30</v>
      </c>
      <c r="F154" t="s">
        <v>31</v>
      </c>
      <c r="G154" t="s">
        <v>47</v>
      </c>
      <c r="H154" s="1">
        <v>44781</v>
      </c>
      <c r="I154" t="s">
        <v>231</v>
      </c>
      <c r="J154" t="s">
        <v>98</v>
      </c>
      <c r="K154" t="s">
        <v>99</v>
      </c>
      <c r="L154" s="2" t="s">
        <v>209</v>
      </c>
      <c r="M154" t="str">
        <f>TEXT(Table13[[#This Row],[Order Date]],"MMM")</f>
        <v>Aug</v>
      </c>
      <c r="N154">
        <f>YEAR(Table13[[#This Row],[Order Date]])</f>
        <v>2022</v>
      </c>
      <c r="O154" t="str">
        <f>"Q"&amp;ROUNDUP(MONTH(Table13[[#This Row],[Order Date]])/3,0)</f>
        <v>Q3</v>
      </c>
      <c r="P154" s="5">
        <f>Table13[[#This Row],[Profit]]/Table13[[#This Row],[Amount]]</f>
        <v>0.49432775468943052</v>
      </c>
      <c r="Q154" s="6">
        <f>Table13[[#This Row],[Amount]]/Table13[[#This Row],[Quantity]]</f>
        <v>494.61111111111109</v>
      </c>
    </row>
    <row r="155" spans="1:17" x14ac:dyDescent="0.3">
      <c r="A155" t="s">
        <v>232</v>
      </c>
      <c r="B155">
        <v>6009</v>
      </c>
      <c r="C155">
        <v>2107</v>
      </c>
      <c r="D155">
        <v>7</v>
      </c>
      <c r="E155" t="s">
        <v>13</v>
      </c>
      <c r="F155" t="s">
        <v>82</v>
      </c>
      <c r="G155" t="s">
        <v>15</v>
      </c>
      <c r="H155" s="1">
        <v>44902</v>
      </c>
      <c r="I155" t="s">
        <v>233</v>
      </c>
      <c r="J155" t="s">
        <v>21</v>
      </c>
      <c r="K155" t="s">
        <v>22</v>
      </c>
      <c r="L155" s="2" t="s">
        <v>152</v>
      </c>
      <c r="M155" t="str">
        <f>TEXT(Table13[[#This Row],[Order Date]],"MMM")</f>
        <v>Dec</v>
      </c>
      <c r="N155">
        <f>YEAR(Table13[[#This Row],[Order Date]])</f>
        <v>2022</v>
      </c>
      <c r="O155" t="str">
        <f>"Q"&amp;ROUNDUP(MONTH(Table13[[#This Row],[Order Date]])/3,0)</f>
        <v>Q4</v>
      </c>
      <c r="P155" s="5">
        <f>Table13[[#This Row],[Profit]]/Table13[[#This Row],[Amount]]</f>
        <v>0.35064070560825428</v>
      </c>
      <c r="Q155" s="6">
        <f>Table13[[#This Row],[Amount]]/Table13[[#This Row],[Quantity]]</f>
        <v>858.42857142857144</v>
      </c>
    </row>
    <row r="156" spans="1:17" x14ac:dyDescent="0.3">
      <c r="A156" t="s">
        <v>232</v>
      </c>
      <c r="B156">
        <v>6009</v>
      </c>
      <c r="C156">
        <v>2107</v>
      </c>
      <c r="D156">
        <v>7</v>
      </c>
      <c r="E156" t="s">
        <v>13</v>
      </c>
      <c r="F156" t="s">
        <v>82</v>
      </c>
      <c r="G156" t="s">
        <v>15</v>
      </c>
      <c r="H156" s="1">
        <v>45411</v>
      </c>
      <c r="I156" t="s">
        <v>234</v>
      </c>
      <c r="J156" t="s">
        <v>71</v>
      </c>
      <c r="K156" t="s">
        <v>86</v>
      </c>
      <c r="L156" s="2" t="s">
        <v>235</v>
      </c>
      <c r="M156" t="str">
        <f>TEXT(Table13[[#This Row],[Order Date]],"MMM")</f>
        <v>Apr</v>
      </c>
      <c r="N156">
        <f>YEAR(Table13[[#This Row],[Order Date]])</f>
        <v>2024</v>
      </c>
      <c r="O156" t="str">
        <f>"Q"&amp;ROUNDUP(MONTH(Table13[[#This Row],[Order Date]])/3,0)</f>
        <v>Q2</v>
      </c>
      <c r="P156" s="5">
        <f>Table13[[#This Row],[Profit]]/Table13[[#This Row],[Amount]]</f>
        <v>0.35064070560825428</v>
      </c>
      <c r="Q156" s="6">
        <f>Table13[[#This Row],[Amount]]/Table13[[#This Row],[Quantity]]</f>
        <v>858.42857142857144</v>
      </c>
    </row>
    <row r="157" spans="1:17" x14ac:dyDescent="0.3">
      <c r="A157" t="s">
        <v>232</v>
      </c>
      <c r="B157">
        <v>2858</v>
      </c>
      <c r="C157">
        <v>230</v>
      </c>
      <c r="D157">
        <v>3</v>
      </c>
      <c r="E157" t="s">
        <v>45</v>
      </c>
      <c r="F157" t="s">
        <v>46</v>
      </c>
      <c r="G157" t="s">
        <v>47</v>
      </c>
      <c r="H157" s="1">
        <v>44902</v>
      </c>
      <c r="I157" t="s">
        <v>233</v>
      </c>
      <c r="J157" t="s">
        <v>21</v>
      </c>
      <c r="K157" t="s">
        <v>22</v>
      </c>
      <c r="L157" s="2" t="s">
        <v>152</v>
      </c>
      <c r="M157" t="str">
        <f>TEXT(Table13[[#This Row],[Order Date]],"MMM")</f>
        <v>Dec</v>
      </c>
      <c r="N157">
        <f>YEAR(Table13[[#This Row],[Order Date]])</f>
        <v>2022</v>
      </c>
      <c r="O157" t="str">
        <f>"Q"&amp;ROUNDUP(MONTH(Table13[[#This Row],[Order Date]])/3,0)</f>
        <v>Q4</v>
      </c>
      <c r="P157" s="5">
        <f>Table13[[#This Row],[Profit]]/Table13[[#This Row],[Amount]]</f>
        <v>8.0475857242827145E-2</v>
      </c>
      <c r="Q157" s="6">
        <f>Table13[[#This Row],[Amount]]/Table13[[#This Row],[Quantity]]</f>
        <v>952.66666666666663</v>
      </c>
    </row>
    <row r="158" spans="1:17" x14ac:dyDescent="0.3">
      <c r="A158" t="s">
        <v>232</v>
      </c>
      <c r="B158">
        <v>2858</v>
      </c>
      <c r="C158">
        <v>230</v>
      </c>
      <c r="D158">
        <v>3</v>
      </c>
      <c r="E158" t="s">
        <v>45</v>
      </c>
      <c r="F158" t="s">
        <v>46</v>
      </c>
      <c r="G158" t="s">
        <v>47</v>
      </c>
      <c r="H158" s="1">
        <v>45411</v>
      </c>
      <c r="I158" t="s">
        <v>234</v>
      </c>
      <c r="J158" t="s">
        <v>71</v>
      </c>
      <c r="K158" t="s">
        <v>86</v>
      </c>
      <c r="L158" s="2" t="s">
        <v>235</v>
      </c>
      <c r="M158" t="str">
        <f>TEXT(Table13[[#This Row],[Order Date]],"MMM")</f>
        <v>Apr</v>
      </c>
      <c r="N158">
        <f>YEAR(Table13[[#This Row],[Order Date]])</f>
        <v>2024</v>
      </c>
      <c r="O158" t="str">
        <f>"Q"&amp;ROUNDUP(MONTH(Table13[[#This Row],[Order Date]])/3,0)</f>
        <v>Q2</v>
      </c>
      <c r="P158" s="5">
        <f>Table13[[#This Row],[Profit]]/Table13[[#This Row],[Amount]]</f>
        <v>8.0475857242827145E-2</v>
      </c>
      <c r="Q158" s="6">
        <f>Table13[[#This Row],[Amount]]/Table13[[#This Row],[Quantity]]</f>
        <v>952.66666666666663</v>
      </c>
    </row>
    <row r="159" spans="1:17" x14ac:dyDescent="0.3">
      <c r="A159" t="s">
        <v>232</v>
      </c>
      <c r="B159">
        <v>8175</v>
      </c>
      <c r="C159">
        <v>525</v>
      </c>
      <c r="D159">
        <v>7</v>
      </c>
      <c r="E159" t="s">
        <v>45</v>
      </c>
      <c r="F159" t="s">
        <v>60</v>
      </c>
      <c r="G159" t="s">
        <v>47</v>
      </c>
      <c r="H159" s="1">
        <v>44902</v>
      </c>
      <c r="I159" t="s">
        <v>233</v>
      </c>
      <c r="J159" t="s">
        <v>21</v>
      </c>
      <c r="K159" t="s">
        <v>22</v>
      </c>
      <c r="L159" s="2" t="s">
        <v>152</v>
      </c>
      <c r="M159" t="str">
        <f>TEXT(Table13[[#This Row],[Order Date]],"MMM")</f>
        <v>Dec</v>
      </c>
      <c r="N159">
        <f>YEAR(Table13[[#This Row],[Order Date]])</f>
        <v>2022</v>
      </c>
      <c r="O159" t="str">
        <f>"Q"&amp;ROUNDUP(MONTH(Table13[[#This Row],[Order Date]])/3,0)</f>
        <v>Q4</v>
      </c>
      <c r="P159" s="5">
        <f>Table13[[#This Row],[Profit]]/Table13[[#This Row],[Amount]]</f>
        <v>6.4220183486238536E-2</v>
      </c>
      <c r="Q159" s="6">
        <f>Table13[[#This Row],[Amount]]/Table13[[#This Row],[Quantity]]</f>
        <v>1167.8571428571429</v>
      </c>
    </row>
    <row r="160" spans="1:17" x14ac:dyDescent="0.3">
      <c r="A160" t="s">
        <v>232</v>
      </c>
      <c r="B160">
        <v>8175</v>
      </c>
      <c r="C160">
        <v>525</v>
      </c>
      <c r="D160">
        <v>7</v>
      </c>
      <c r="E160" t="s">
        <v>45</v>
      </c>
      <c r="F160" t="s">
        <v>60</v>
      </c>
      <c r="G160" t="s">
        <v>47</v>
      </c>
      <c r="H160" s="1">
        <v>45411</v>
      </c>
      <c r="I160" t="s">
        <v>234</v>
      </c>
      <c r="J160" t="s">
        <v>71</v>
      </c>
      <c r="K160" t="s">
        <v>86</v>
      </c>
      <c r="L160" s="2" t="s">
        <v>235</v>
      </c>
      <c r="M160" t="str">
        <f>TEXT(Table13[[#This Row],[Order Date]],"MMM")</f>
        <v>Apr</v>
      </c>
      <c r="N160">
        <f>YEAR(Table13[[#This Row],[Order Date]])</f>
        <v>2024</v>
      </c>
      <c r="O160" t="str">
        <f>"Q"&amp;ROUNDUP(MONTH(Table13[[#This Row],[Order Date]])/3,0)</f>
        <v>Q2</v>
      </c>
      <c r="P160" s="5">
        <f>Table13[[#This Row],[Profit]]/Table13[[#This Row],[Amount]]</f>
        <v>6.4220183486238536E-2</v>
      </c>
      <c r="Q160" s="6">
        <f>Table13[[#This Row],[Amount]]/Table13[[#This Row],[Quantity]]</f>
        <v>1167.8571428571429</v>
      </c>
    </row>
    <row r="161" spans="1:17" x14ac:dyDescent="0.3">
      <c r="A161" t="s">
        <v>232</v>
      </c>
      <c r="B161">
        <v>5846</v>
      </c>
      <c r="C161">
        <v>586</v>
      </c>
      <c r="D161">
        <v>18</v>
      </c>
      <c r="E161" t="s">
        <v>45</v>
      </c>
      <c r="F161" t="s">
        <v>60</v>
      </c>
      <c r="G161" t="s">
        <v>15</v>
      </c>
      <c r="H161" s="1">
        <v>44902</v>
      </c>
      <c r="I161" t="s">
        <v>233</v>
      </c>
      <c r="J161" t="s">
        <v>21</v>
      </c>
      <c r="K161" t="s">
        <v>22</v>
      </c>
      <c r="L161" s="2" t="s">
        <v>152</v>
      </c>
      <c r="M161" t="str">
        <f>TEXT(Table13[[#This Row],[Order Date]],"MMM")</f>
        <v>Dec</v>
      </c>
      <c r="N161">
        <f>YEAR(Table13[[#This Row],[Order Date]])</f>
        <v>2022</v>
      </c>
      <c r="O161" t="str">
        <f>"Q"&amp;ROUNDUP(MONTH(Table13[[#This Row],[Order Date]])/3,0)</f>
        <v>Q4</v>
      </c>
      <c r="P161" s="5">
        <f>Table13[[#This Row],[Profit]]/Table13[[#This Row],[Amount]]</f>
        <v>0.10023947998631542</v>
      </c>
      <c r="Q161" s="6">
        <f>Table13[[#This Row],[Amount]]/Table13[[#This Row],[Quantity]]</f>
        <v>324.77777777777777</v>
      </c>
    </row>
    <row r="162" spans="1:17" x14ac:dyDescent="0.3">
      <c r="A162" t="s">
        <v>232</v>
      </c>
      <c r="B162">
        <v>5846</v>
      </c>
      <c r="C162">
        <v>586</v>
      </c>
      <c r="D162">
        <v>18</v>
      </c>
      <c r="E162" t="s">
        <v>45</v>
      </c>
      <c r="F162" t="s">
        <v>60</v>
      </c>
      <c r="G162" t="s">
        <v>15</v>
      </c>
      <c r="H162" s="1">
        <v>45411</v>
      </c>
      <c r="I162" t="s">
        <v>234</v>
      </c>
      <c r="J162" t="s">
        <v>71</v>
      </c>
      <c r="K162" t="s">
        <v>86</v>
      </c>
      <c r="L162" s="2" t="s">
        <v>235</v>
      </c>
      <c r="M162" t="str">
        <f>TEXT(Table13[[#This Row],[Order Date]],"MMM")</f>
        <v>Apr</v>
      </c>
      <c r="N162">
        <f>YEAR(Table13[[#This Row],[Order Date]])</f>
        <v>2024</v>
      </c>
      <c r="O162" t="str">
        <f>"Q"&amp;ROUNDUP(MONTH(Table13[[#This Row],[Order Date]])/3,0)</f>
        <v>Q2</v>
      </c>
      <c r="P162" s="5">
        <f>Table13[[#This Row],[Profit]]/Table13[[#This Row],[Amount]]</f>
        <v>0.10023947998631542</v>
      </c>
      <c r="Q162" s="6">
        <f>Table13[[#This Row],[Amount]]/Table13[[#This Row],[Quantity]]</f>
        <v>324.77777777777777</v>
      </c>
    </row>
    <row r="163" spans="1:17" x14ac:dyDescent="0.3">
      <c r="A163" t="s">
        <v>236</v>
      </c>
      <c r="B163">
        <v>706</v>
      </c>
      <c r="C163">
        <v>197</v>
      </c>
      <c r="D163">
        <v>11</v>
      </c>
      <c r="E163" t="s">
        <v>13</v>
      </c>
      <c r="F163" t="s">
        <v>39</v>
      </c>
      <c r="G163" t="s">
        <v>47</v>
      </c>
      <c r="H163" s="1">
        <v>44563</v>
      </c>
      <c r="I163" t="s">
        <v>237</v>
      </c>
      <c r="J163" t="s">
        <v>71</v>
      </c>
      <c r="K163" t="s">
        <v>86</v>
      </c>
      <c r="L163" s="2" t="s">
        <v>87</v>
      </c>
      <c r="M163" t="str">
        <f>TEXT(Table13[[#This Row],[Order Date]],"MMM")</f>
        <v>Jan</v>
      </c>
      <c r="N163">
        <f>YEAR(Table13[[#This Row],[Order Date]])</f>
        <v>2022</v>
      </c>
      <c r="O163" t="str">
        <f>"Q"&amp;ROUNDUP(MONTH(Table13[[#This Row],[Order Date]])/3,0)</f>
        <v>Q1</v>
      </c>
      <c r="P163" s="5">
        <f>Table13[[#This Row],[Profit]]/Table13[[#This Row],[Amount]]</f>
        <v>0.27903682719546741</v>
      </c>
      <c r="Q163" s="6">
        <f>Table13[[#This Row],[Amount]]/Table13[[#This Row],[Quantity]]</f>
        <v>64.181818181818187</v>
      </c>
    </row>
    <row r="164" spans="1:17" x14ac:dyDescent="0.3">
      <c r="A164" t="s">
        <v>238</v>
      </c>
      <c r="B164">
        <v>9835</v>
      </c>
      <c r="C164">
        <v>2571</v>
      </c>
      <c r="D164">
        <v>16</v>
      </c>
      <c r="E164" t="s">
        <v>45</v>
      </c>
      <c r="F164" t="s">
        <v>46</v>
      </c>
      <c r="G164" t="s">
        <v>65</v>
      </c>
      <c r="H164" s="1">
        <v>44722</v>
      </c>
      <c r="I164" t="s">
        <v>239</v>
      </c>
      <c r="J164" t="s">
        <v>71</v>
      </c>
      <c r="K164" t="s">
        <v>72</v>
      </c>
      <c r="L164" s="2" t="s">
        <v>165</v>
      </c>
      <c r="M164" t="str">
        <f>TEXT(Table13[[#This Row],[Order Date]],"MMM")</f>
        <v>Jun</v>
      </c>
      <c r="N164">
        <f>YEAR(Table13[[#This Row],[Order Date]])</f>
        <v>2022</v>
      </c>
      <c r="O164" t="str">
        <f>"Q"&amp;ROUNDUP(MONTH(Table13[[#This Row],[Order Date]])/3,0)</f>
        <v>Q2</v>
      </c>
      <c r="P164" s="5">
        <f>Table13[[#This Row],[Profit]]/Table13[[#This Row],[Amount]]</f>
        <v>0.26141331977630911</v>
      </c>
      <c r="Q164" s="6">
        <f>Table13[[#This Row],[Amount]]/Table13[[#This Row],[Quantity]]</f>
        <v>614.6875</v>
      </c>
    </row>
    <row r="165" spans="1:17" x14ac:dyDescent="0.3">
      <c r="A165" t="s">
        <v>238</v>
      </c>
      <c r="B165">
        <v>9835</v>
      </c>
      <c r="C165">
        <v>2571</v>
      </c>
      <c r="D165">
        <v>16</v>
      </c>
      <c r="E165" t="s">
        <v>45</v>
      </c>
      <c r="F165" t="s">
        <v>46</v>
      </c>
      <c r="G165" t="s">
        <v>65</v>
      </c>
      <c r="H165" s="1">
        <v>44516</v>
      </c>
      <c r="I165" t="s">
        <v>240</v>
      </c>
      <c r="J165" t="s">
        <v>17</v>
      </c>
      <c r="K165" t="s">
        <v>34</v>
      </c>
      <c r="L165" s="2" t="s">
        <v>175</v>
      </c>
      <c r="M165" t="str">
        <f>TEXT(Table13[[#This Row],[Order Date]],"MMM")</f>
        <v>Nov</v>
      </c>
      <c r="N165">
        <f>YEAR(Table13[[#This Row],[Order Date]])</f>
        <v>2021</v>
      </c>
      <c r="O165" t="str">
        <f>"Q"&amp;ROUNDUP(MONTH(Table13[[#This Row],[Order Date]])/3,0)</f>
        <v>Q4</v>
      </c>
      <c r="P165" s="5">
        <f>Table13[[#This Row],[Profit]]/Table13[[#This Row],[Amount]]</f>
        <v>0.26141331977630911</v>
      </c>
      <c r="Q165" s="6">
        <f>Table13[[#This Row],[Amount]]/Table13[[#This Row],[Quantity]]</f>
        <v>614.6875</v>
      </c>
    </row>
    <row r="166" spans="1:17" x14ac:dyDescent="0.3">
      <c r="A166" t="s">
        <v>238</v>
      </c>
      <c r="B166">
        <v>9835</v>
      </c>
      <c r="C166">
        <v>2571</v>
      </c>
      <c r="D166">
        <v>16</v>
      </c>
      <c r="E166" t="s">
        <v>45</v>
      </c>
      <c r="F166" t="s">
        <v>46</v>
      </c>
      <c r="G166" t="s">
        <v>65</v>
      </c>
      <c r="H166" s="1">
        <v>44790</v>
      </c>
      <c r="I166" t="s">
        <v>241</v>
      </c>
      <c r="J166" t="s">
        <v>42</v>
      </c>
      <c r="K166" t="s">
        <v>43</v>
      </c>
      <c r="L166" s="2" t="s">
        <v>209</v>
      </c>
      <c r="M166" t="str">
        <f>TEXT(Table13[[#This Row],[Order Date]],"MMM")</f>
        <v>Aug</v>
      </c>
      <c r="N166">
        <f>YEAR(Table13[[#This Row],[Order Date]])</f>
        <v>2022</v>
      </c>
      <c r="O166" t="str">
        <f>"Q"&amp;ROUNDUP(MONTH(Table13[[#This Row],[Order Date]])/3,0)</f>
        <v>Q3</v>
      </c>
      <c r="P166" s="5">
        <f>Table13[[#This Row],[Profit]]/Table13[[#This Row],[Amount]]</f>
        <v>0.26141331977630911</v>
      </c>
      <c r="Q166" s="6">
        <f>Table13[[#This Row],[Amount]]/Table13[[#This Row],[Quantity]]</f>
        <v>614.6875</v>
      </c>
    </row>
    <row r="167" spans="1:17" x14ac:dyDescent="0.3">
      <c r="A167" t="s">
        <v>238</v>
      </c>
      <c r="B167">
        <v>9691</v>
      </c>
      <c r="C167">
        <v>3056</v>
      </c>
      <c r="D167">
        <v>13</v>
      </c>
      <c r="E167" t="s">
        <v>30</v>
      </c>
      <c r="F167" t="s">
        <v>57</v>
      </c>
      <c r="G167" t="s">
        <v>47</v>
      </c>
      <c r="H167" s="1">
        <v>44722</v>
      </c>
      <c r="I167" t="s">
        <v>239</v>
      </c>
      <c r="J167" t="s">
        <v>71</v>
      </c>
      <c r="K167" t="s">
        <v>72</v>
      </c>
      <c r="L167" s="2" t="s">
        <v>165</v>
      </c>
      <c r="M167" t="str">
        <f>TEXT(Table13[[#This Row],[Order Date]],"MMM")</f>
        <v>Jun</v>
      </c>
      <c r="N167">
        <f>YEAR(Table13[[#This Row],[Order Date]])</f>
        <v>2022</v>
      </c>
      <c r="O167" t="str">
        <f>"Q"&amp;ROUNDUP(MONTH(Table13[[#This Row],[Order Date]])/3,0)</f>
        <v>Q2</v>
      </c>
      <c r="P167" s="5">
        <f>Table13[[#This Row],[Profit]]/Table13[[#This Row],[Amount]]</f>
        <v>0.31534413373232895</v>
      </c>
      <c r="Q167" s="6">
        <f>Table13[[#This Row],[Amount]]/Table13[[#This Row],[Quantity]]</f>
        <v>745.46153846153845</v>
      </c>
    </row>
    <row r="168" spans="1:17" x14ac:dyDescent="0.3">
      <c r="A168" t="s">
        <v>238</v>
      </c>
      <c r="B168">
        <v>9691</v>
      </c>
      <c r="C168">
        <v>3056</v>
      </c>
      <c r="D168">
        <v>13</v>
      </c>
      <c r="E168" t="s">
        <v>30</v>
      </c>
      <c r="F168" t="s">
        <v>57</v>
      </c>
      <c r="G168" t="s">
        <v>47</v>
      </c>
      <c r="H168" s="1">
        <v>44516</v>
      </c>
      <c r="I168" t="s">
        <v>240</v>
      </c>
      <c r="J168" t="s">
        <v>17</v>
      </c>
      <c r="K168" t="s">
        <v>34</v>
      </c>
      <c r="L168" s="2" t="s">
        <v>175</v>
      </c>
      <c r="M168" t="str">
        <f>TEXT(Table13[[#This Row],[Order Date]],"MMM")</f>
        <v>Nov</v>
      </c>
      <c r="N168">
        <f>YEAR(Table13[[#This Row],[Order Date]])</f>
        <v>2021</v>
      </c>
      <c r="O168" t="str">
        <f>"Q"&amp;ROUNDUP(MONTH(Table13[[#This Row],[Order Date]])/3,0)</f>
        <v>Q4</v>
      </c>
      <c r="P168" s="5">
        <f>Table13[[#This Row],[Profit]]/Table13[[#This Row],[Amount]]</f>
        <v>0.31534413373232895</v>
      </c>
      <c r="Q168" s="6">
        <f>Table13[[#This Row],[Amount]]/Table13[[#This Row],[Quantity]]</f>
        <v>745.46153846153845</v>
      </c>
    </row>
    <row r="169" spans="1:17" x14ac:dyDescent="0.3">
      <c r="A169" t="s">
        <v>238</v>
      </c>
      <c r="B169">
        <v>9691</v>
      </c>
      <c r="C169">
        <v>3056</v>
      </c>
      <c r="D169">
        <v>13</v>
      </c>
      <c r="E169" t="s">
        <v>30</v>
      </c>
      <c r="F169" t="s">
        <v>57</v>
      </c>
      <c r="G169" t="s">
        <v>47</v>
      </c>
      <c r="H169" s="1">
        <v>44790</v>
      </c>
      <c r="I169" t="s">
        <v>241</v>
      </c>
      <c r="J169" t="s">
        <v>42</v>
      </c>
      <c r="K169" t="s">
        <v>43</v>
      </c>
      <c r="L169" s="2" t="s">
        <v>209</v>
      </c>
      <c r="M169" t="str">
        <f>TEXT(Table13[[#This Row],[Order Date]],"MMM")</f>
        <v>Aug</v>
      </c>
      <c r="N169">
        <f>YEAR(Table13[[#This Row],[Order Date]])</f>
        <v>2022</v>
      </c>
      <c r="O169" t="str">
        <f>"Q"&amp;ROUNDUP(MONTH(Table13[[#This Row],[Order Date]])/3,0)</f>
        <v>Q3</v>
      </c>
      <c r="P169" s="5">
        <f>Table13[[#This Row],[Profit]]/Table13[[#This Row],[Amount]]</f>
        <v>0.31534413373232895</v>
      </c>
      <c r="Q169" s="6">
        <f>Table13[[#This Row],[Amount]]/Table13[[#This Row],[Quantity]]</f>
        <v>745.46153846153845</v>
      </c>
    </row>
    <row r="170" spans="1:17" x14ac:dyDescent="0.3">
      <c r="A170" t="s">
        <v>238</v>
      </c>
      <c r="B170">
        <v>7826</v>
      </c>
      <c r="C170">
        <v>1221</v>
      </c>
      <c r="D170">
        <v>14</v>
      </c>
      <c r="E170" t="s">
        <v>45</v>
      </c>
      <c r="F170" t="s">
        <v>109</v>
      </c>
      <c r="G170" t="s">
        <v>15</v>
      </c>
      <c r="H170" s="1">
        <v>44722</v>
      </c>
      <c r="I170" t="s">
        <v>239</v>
      </c>
      <c r="J170" t="s">
        <v>71</v>
      </c>
      <c r="K170" t="s">
        <v>72</v>
      </c>
      <c r="L170" s="2" t="s">
        <v>165</v>
      </c>
      <c r="M170" t="str">
        <f>TEXT(Table13[[#This Row],[Order Date]],"MMM")</f>
        <v>Jun</v>
      </c>
      <c r="N170">
        <f>YEAR(Table13[[#This Row],[Order Date]])</f>
        <v>2022</v>
      </c>
      <c r="O170" t="str">
        <f>"Q"&amp;ROUNDUP(MONTH(Table13[[#This Row],[Order Date]])/3,0)</f>
        <v>Q2</v>
      </c>
      <c r="P170" s="5">
        <f>Table13[[#This Row],[Profit]]/Table13[[#This Row],[Amount]]</f>
        <v>0.15601840020444671</v>
      </c>
      <c r="Q170" s="6">
        <f>Table13[[#This Row],[Amount]]/Table13[[#This Row],[Quantity]]</f>
        <v>559</v>
      </c>
    </row>
    <row r="171" spans="1:17" x14ac:dyDescent="0.3">
      <c r="A171" t="s">
        <v>238</v>
      </c>
      <c r="B171">
        <v>7826</v>
      </c>
      <c r="C171">
        <v>1221</v>
      </c>
      <c r="D171">
        <v>14</v>
      </c>
      <c r="E171" t="s">
        <v>45</v>
      </c>
      <c r="F171" t="s">
        <v>109</v>
      </c>
      <c r="G171" t="s">
        <v>15</v>
      </c>
      <c r="H171" s="1">
        <v>44516</v>
      </c>
      <c r="I171" t="s">
        <v>240</v>
      </c>
      <c r="J171" t="s">
        <v>17</v>
      </c>
      <c r="K171" t="s">
        <v>34</v>
      </c>
      <c r="L171" s="2" t="s">
        <v>175</v>
      </c>
      <c r="M171" t="str">
        <f>TEXT(Table13[[#This Row],[Order Date]],"MMM")</f>
        <v>Nov</v>
      </c>
      <c r="N171">
        <f>YEAR(Table13[[#This Row],[Order Date]])</f>
        <v>2021</v>
      </c>
      <c r="O171" t="str">
        <f>"Q"&amp;ROUNDUP(MONTH(Table13[[#This Row],[Order Date]])/3,0)</f>
        <v>Q4</v>
      </c>
      <c r="P171" s="5">
        <f>Table13[[#This Row],[Profit]]/Table13[[#This Row],[Amount]]</f>
        <v>0.15601840020444671</v>
      </c>
      <c r="Q171" s="6">
        <f>Table13[[#This Row],[Amount]]/Table13[[#This Row],[Quantity]]</f>
        <v>559</v>
      </c>
    </row>
    <row r="172" spans="1:17" x14ac:dyDescent="0.3">
      <c r="A172" t="s">
        <v>238</v>
      </c>
      <c r="B172">
        <v>7826</v>
      </c>
      <c r="C172">
        <v>1221</v>
      </c>
      <c r="D172">
        <v>14</v>
      </c>
      <c r="E172" t="s">
        <v>45</v>
      </c>
      <c r="F172" t="s">
        <v>109</v>
      </c>
      <c r="G172" t="s">
        <v>15</v>
      </c>
      <c r="H172" s="1">
        <v>44790</v>
      </c>
      <c r="I172" t="s">
        <v>241</v>
      </c>
      <c r="J172" t="s">
        <v>42</v>
      </c>
      <c r="K172" t="s">
        <v>43</v>
      </c>
      <c r="L172" s="2" t="s">
        <v>209</v>
      </c>
      <c r="M172" t="str">
        <f>TEXT(Table13[[#This Row],[Order Date]],"MMM")</f>
        <v>Aug</v>
      </c>
      <c r="N172">
        <f>YEAR(Table13[[#This Row],[Order Date]])</f>
        <v>2022</v>
      </c>
      <c r="O172" t="str">
        <f>"Q"&amp;ROUNDUP(MONTH(Table13[[#This Row],[Order Date]])/3,0)</f>
        <v>Q3</v>
      </c>
      <c r="P172" s="5">
        <f>Table13[[#This Row],[Profit]]/Table13[[#This Row],[Amount]]</f>
        <v>0.15601840020444671</v>
      </c>
      <c r="Q172" s="6">
        <f>Table13[[#This Row],[Amount]]/Table13[[#This Row],[Quantity]]</f>
        <v>559</v>
      </c>
    </row>
    <row r="173" spans="1:17" x14ac:dyDescent="0.3">
      <c r="A173" t="s">
        <v>242</v>
      </c>
      <c r="B173">
        <v>770</v>
      </c>
      <c r="C173">
        <v>241</v>
      </c>
      <c r="D173">
        <v>11</v>
      </c>
      <c r="E173" t="s">
        <v>45</v>
      </c>
      <c r="F173" t="s">
        <v>60</v>
      </c>
      <c r="G173" t="s">
        <v>65</v>
      </c>
      <c r="H173" s="1">
        <v>44523</v>
      </c>
      <c r="I173" t="s">
        <v>243</v>
      </c>
      <c r="J173" t="s">
        <v>71</v>
      </c>
      <c r="K173" t="s">
        <v>86</v>
      </c>
      <c r="L173" s="2" t="s">
        <v>175</v>
      </c>
      <c r="M173" t="str">
        <f>TEXT(Table13[[#This Row],[Order Date]],"MMM")</f>
        <v>Nov</v>
      </c>
      <c r="N173">
        <f>YEAR(Table13[[#This Row],[Order Date]])</f>
        <v>2021</v>
      </c>
      <c r="O173" t="str">
        <f>"Q"&amp;ROUNDUP(MONTH(Table13[[#This Row],[Order Date]])/3,0)</f>
        <v>Q4</v>
      </c>
      <c r="P173" s="5">
        <f>Table13[[#This Row],[Profit]]/Table13[[#This Row],[Amount]]</f>
        <v>0.31298701298701298</v>
      </c>
      <c r="Q173" s="6">
        <f>Table13[[#This Row],[Amount]]/Table13[[#This Row],[Quantity]]</f>
        <v>70</v>
      </c>
    </row>
    <row r="174" spans="1:17" x14ac:dyDescent="0.3">
      <c r="A174" t="s">
        <v>242</v>
      </c>
      <c r="B174">
        <v>770</v>
      </c>
      <c r="C174">
        <v>241</v>
      </c>
      <c r="D174">
        <v>11</v>
      </c>
      <c r="E174" t="s">
        <v>45</v>
      </c>
      <c r="F174" t="s">
        <v>60</v>
      </c>
      <c r="G174" t="s">
        <v>65</v>
      </c>
      <c r="H174" s="1">
        <v>44989</v>
      </c>
      <c r="I174" t="s">
        <v>244</v>
      </c>
      <c r="J174" t="s">
        <v>98</v>
      </c>
      <c r="K174" t="s">
        <v>107</v>
      </c>
      <c r="L174" s="2" t="s">
        <v>245</v>
      </c>
      <c r="M174" t="str">
        <f>TEXT(Table13[[#This Row],[Order Date]],"MMM")</f>
        <v>Mar</v>
      </c>
      <c r="N174">
        <f>YEAR(Table13[[#This Row],[Order Date]])</f>
        <v>2023</v>
      </c>
      <c r="O174" t="str">
        <f>"Q"&amp;ROUNDUP(MONTH(Table13[[#This Row],[Order Date]])/3,0)</f>
        <v>Q1</v>
      </c>
      <c r="P174" s="5">
        <f>Table13[[#This Row],[Profit]]/Table13[[#This Row],[Amount]]</f>
        <v>0.31298701298701298</v>
      </c>
      <c r="Q174" s="6">
        <f>Table13[[#This Row],[Amount]]/Table13[[#This Row],[Quantity]]</f>
        <v>70</v>
      </c>
    </row>
    <row r="175" spans="1:17" x14ac:dyDescent="0.3">
      <c r="A175" t="s">
        <v>246</v>
      </c>
      <c r="B175">
        <v>9895</v>
      </c>
      <c r="C175">
        <v>1598</v>
      </c>
      <c r="D175">
        <v>20</v>
      </c>
      <c r="E175" t="s">
        <v>45</v>
      </c>
      <c r="F175" t="s">
        <v>109</v>
      </c>
      <c r="G175" t="s">
        <v>65</v>
      </c>
      <c r="H175" s="1">
        <v>45276</v>
      </c>
      <c r="I175" t="s">
        <v>247</v>
      </c>
      <c r="J175" t="s">
        <v>25</v>
      </c>
      <c r="K175" t="s">
        <v>68</v>
      </c>
      <c r="L175" s="2" t="s">
        <v>102</v>
      </c>
      <c r="M175" t="str">
        <f>TEXT(Table13[[#This Row],[Order Date]],"MMM")</f>
        <v>Dec</v>
      </c>
      <c r="N175">
        <f>YEAR(Table13[[#This Row],[Order Date]])</f>
        <v>2023</v>
      </c>
      <c r="O175" t="str">
        <f>"Q"&amp;ROUNDUP(MONTH(Table13[[#This Row],[Order Date]])/3,0)</f>
        <v>Q4</v>
      </c>
      <c r="P175" s="5">
        <f>Table13[[#This Row],[Profit]]/Table13[[#This Row],[Amount]]</f>
        <v>0.16149570490146539</v>
      </c>
      <c r="Q175" s="6">
        <f>Table13[[#This Row],[Amount]]/Table13[[#This Row],[Quantity]]</f>
        <v>494.75</v>
      </c>
    </row>
    <row r="176" spans="1:17" x14ac:dyDescent="0.3">
      <c r="A176" t="s">
        <v>248</v>
      </c>
      <c r="B176">
        <v>6517</v>
      </c>
      <c r="C176">
        <v>1581</v>
      </c>
      <c r="D176">
        <v>10</v>
      </c>
      <c r="E176" t="s">
        <v>30</v>
      </c>
      <c r="F176" t="s">
        <v>64</v>
      </c>
      <c r="G176" t="s">
        <v>32</v>
      </c>
      <c r="H176" s="1">
        <v>45431</v>
      </c>
      <c r="I176" t="s">
        <v>249</v>
      </c>
      <c r="J176" t="s">
        <v>17</v>
      </c>
      <c r="K176" t="s">
        <v>18</v>
      </c>
      <c r="L176" s="2" t="s">
        <v>35</v>
      </c>
      <c r="M176" t="str">
        <f>TEXT(Table13[[#This Row],[Order Date]],"MMM")</f>
        <v>May</v>
      </c>
      <c r="N176">
        <f>YEAR(Table13[[#This Row],[Order Date]])</f>
        <v>2024</v>
      </c>
      <c r="O176" t="str">
        <f>"Q"&amp;ROUNDUP(MONTH(Table13[[#This Row],[Order Date]])/3,0)</f>
        <v>Q2</v>
      </c>
      <c r="P176" s="5">
        <f>Table13[[#This Row],[Profit]]/Table13[[#This Row],[Amount]]</f>
        <v>0.24259628663495472</v>
      </c>
      <c r="Q176" s="6">
        <f>Table13[[#This Row],[Amount]]/Table13[[#This Row],[Quantity]]</f>
        <v>651.70000000000005</v>
      </c>
    </row>
    <row r="177" spans="1:17" x14ac:dyDescent="0.3">
      <c r="A177" t="s">
        <v>248</v>
      </c>
      <c r="B177">
        <v>6517</v>
      </c>
      <c r="C177">
        <v>1581</v>
      </c>
      <c r="D177">
        <v>10</v>
      </c>
      <c r="E177" t="s">
        <v>30</v>
      </c>
      <c r="F177" t="s">
        <v>64</v>
      </c>
      <c r="G177" t="s">
        <v>32</v>
      </c>
      <c r="H177" s="1">
        <v>43965</v>
      </c>
      <c r="I177" t="s">
        <v>250</v>
      </c>
      <c r="J177" t="s">
        <v>17</v>
      </c>
      <c r="K177" t="s">
        <v>150</v>
      </c>
      <c r="L177" s="2" t="s">
        <v>59</v>
      </c>
      <c r="M177" t="str">
        <f>TEXT(Table13[[#This Row],[Order Date]],"MMM")</f>
        <v>May</v>
      </c>
      <c r="N177">
        <f>YEAR(Table13[[#This Row],[Order Date]])</f>
        <v>2020</v>
      </c>
      <c r="O177" t="str">
        <f>"Q"&amp;ROUNDUP(MONTH(Table13[[#This Row],[Order Date]])/3,0)</f>
        <v>Q2</v>
      </c>
      <c r="P177" s="5">
        <f>Table13[[#This Row],[Profit]]/Table13[[#This Row],[Amount]]</f>
        <v>0.24259628663495472</v>
      </c>
      <c r="Q177" s="6">
        <f>Table13[[#This Row],[Amount]]/Table13[[#This Row],[Quantity]]</f>
        <v>651.70000000000005</v>
      </c>
    </row>
    <row r="178" spans="1:17" x14ac:dyDescent="0.3">
      <c r="A178" t="s">
        <v>248</v>
      </c>
      <c r="B178">
        <v>1166</v>
      </c>
      <c r="C178">
        <v>349</v>
      </c>
      <c r="D178">
        <v>11</v>
      </c>
      <c r="E178" t="s">
        <v>45</v>
      </c>
      <c r="F178" t="s">
        <v>46</v>
      </c>
      <c r="G178" t="s">
        <v>47</v>
      </c>
      <c r="H178" s="1">
        <v>45431</v>
      </c>
      <c r="I178" t="s">
        <v>249</v>
      </c>
      <c r="J178" t="s">
        <v>17</v>
      </c>
      <c r="K178" t="s">
        <v>18</v>
      </c>
      <c r="L178" s="2" t="s">
        <v>35</v>
      </c>
      <c r="M178" t="str">
        <f>TEXT(Table13[[#This Row],[Order Date]],"MMM")</f>
        <v>May</v>
      </c>
      <c r="N178">
        <f>YEAR(Table13[[#This Row],[Order Date]])</f>
        <v>2024</v>
      </c>
      <c r="O178" t="str">
        <f>"Q"&amp;ROUNDUP(MONTH(Table13[[#This Row],[Order Date]])/3,0)</f>
        <v>Q2</v>
      </c>
      <c r="P178" s="5">
        <f>Table13[[#This Row],[Profit]]/Table13[[#This Row],[Amount]]</f>
        <v>0.29931389365351629</v>
      </c>
      <c r="Q178" s="6">
        <f>Table13[[#This Row],[Amount]]/Table13[[#This Row],[Quantity]]</f>
        <v>106</v>
      </c>
    </row>
    <row r="179" spans="1:17" x14ac:dyDescent="0.3">
      <c r="A179" t="s">
        <v>248</v>
      </c>
      <c r="B179">
        <v>1166</v>
      </c>
      <c r="C179">
        <v>349</v>
      </c>
      <c r="D179">
        <v>11</v>
      </c>
      <c r="E179" t="s">
        <v>45</v>
      </c>
      <c r="F179" t="s">
        <v>46</v>
      </c>
      <c r="G179" t="s">
        <v>47</v>
      </c>
      <c r="H179" s="1">
        <v>43965</v>
      </c>
      <c r="I179" t="s">
        <v>250</v>
      </c>
      <c r="J179" t="s">
        <v>17</v>
      </c>
      <c r="K179" t="s">
        <v>150</v>
      </c>
      <c r="L179" s="2" t="s">
        <v>59</v>
      </c>
      <c r="M179" t="str">
        <f>TEXT(Table13[[#This Row],[Order Date]],"MMM")</f>
        <v>May</v>
      </c>
      <c r="N179">
        <f>YEAR(Table13[[#This Row],[Order Date]])</f>
        <v>2020</v>
      </c>
      <c r="O179" t="str">
        <f>"Q"&amp;ROUNDUP(MONTH(Table13[[#This Row],[Order Date]])/3,0)</f>
        <v>Q2</v>
      </c>
      <c r="P179" s="5">
        <f>Table13[[#This Row],[Profit]]/Table13[[#This Row],[Amount]]</f>
        <v>0.29931389365351629</v>
      </c>
      <c r="Q179" s="6">
        <f>Table13[[#This Row],[Amount]]/Table13[[#This Row],[Quantity]]</f>
        <v>106</v>
      </c>
    </row>
    <row r="180" spans="1:17" x14ac:dyDescent="0.3">
      <c r="A180" t="s">
        <v>251</v>
      </c>
      <c r="B180">
        <v>9820</v>
      </c>
      <c r="C180">
        <v>793</v>
      </c>
      <c r="D180">
        <v>16</v>
      </c>
      <c r="E180" t="s">
        <v>45</v>
      </c>
      <c r="F180" t="s">
        <v>49</v>
      </c>
      <c r="G180" t="s">
        <v>47</v>
      </c>
      <c r="H180" s="1">
        <v>44437</v>
      </c>
      <c r="I180" t="s">
        <v>252</v>
      </c>
      <c r="J180" t="s">
        <v>25</v>
      </c>
      <c r="K180" t="s">
        <v>26</v>
      </c>
      <c r="L180" s="2" t="s">
        <v>178</v>
      </c>
      <c r="M180" t="str">
        <f>TEXT(Table13[[#This Row],[Order Date]],"MMM")</f>
        <v>Aug</v>
      </c>
      <c r="N180">
        <f>YEAR(Table13[[#This Row],[Order Date]])</f>
        <v>2021</v>
      </c>
      <c r="O180" t="str">
        <f>"Q"&amp;ROUNDUP(MONTH(Table13[[#This Row],[Order Date]])/3,0)</f>
        <v>Q3</v>
      </c>
      <c r="P180" s="5">
        <f>Table13[[#This Row],[Profit]]/Table13[[#This Row],[Amount]]</f>
        <v>8.0753564154786156E-2</v>
      </c>
      <c r="Q180" s="6">
        <f>Table13[[#This Row],[Amount]]/Table13[[#This Row],[Quantity]]</f>
        <v>613.75</v>
      </c>
    </row>
    <row r="181" spans="1:17" x14ac:dyDescent="0.3">
      <c r="A181" t="s">
        <v>253</v>
      </c>
      <c r="B181">
        <v>8563</v>
      </c>
      <c r="C181">
        <v>2624</v>
      </c>
      <c r="D181">
        <v>8</v>
      </c>
      <c r="E181" t="s">
        <v>30</v>
      </c>
      <c r="F181" t="s">
        <v>78</v>
      </c>
      <c r="G181" t="s">
        <v>65</v>
      </c>
      <c r="H181" s="1">
        <v>45606</v>
      </c>
      <c r="I181" t="s">
        <v>254</v>
      </c>
      <c r="J181" t="s">
        <v>71</v>
      </c>
      <c r="K181" t="s">
        <v>72</v>
      </c>
      <c r="L181" s="2" t="s">
        <v>255</v>
      </c>
      <c r="M181" t="str">
        <f>TEXT(Table13[[#This Row],[Order Date]],"MMM")</f>
        <v>Nov</v>
      </c>
      <c r="N181">
        <f>YEAR(Table13[[#This Row],[Order Date]])</f>
        <v>2024</v>
      </c>
      <c r="O181" t="str">
        <f>"Q"&amp;ROUNDUP(MONTH(Table13[[#This Row],[Order Date]])/3,0)</f>
        <v>Q4</v>
      </c>
      <c r="P181" s="5">
        <f>Table13[[#This Row],[Profit]]/Table13[[#This Row],[Amount]]</f>
        <v>0.30643466074973724</v>
      </c>
      <c r="Q181" s="6">
        <f>Table13[[#This Row],[Amount]]/Table13[[#This Row],[Quantity]]</f>
        <v>1070.375</v>
      </c>
    </row>
    <row r="182" spans="1:17" x14ac:dyDescent="0.3">
      <c r="A182" t="s">
        <v>253</v>
      </c>
      <c r="B182">
        <v>4441</v>
      </c>
      <c r="C182">
        <v>281</v>
      </c>
      <c r="D182">
        <v>20</v>
      </c>
      <c r="E182" t="s">
        <v>13</v>
      </c>
      <c r="F182" t="s">
        <v>28</v>
      </c>
      <c r="G182" t="s">
        <v>65</v>
      </c>
      <c r="H182" s="1">
        <v>45606</v>
      </c>
      <c r="I182" t="s">
        <v>254</v>
      </c>
      <c r="J182" t="s">
        <v>71</v>
      </c>
      <c r="K182" t="s">
        <v>72</v>
      </c>
      <c r="L182" s="2" t="s">
        <v>255</v>
      </c>
      <c r="M182" t="str">
        <f>TEXT(Table13[[#This Row],[Order Date]],"MMM")</f>
        <v>Nov</v>
      </c>
      <c r="N182">
        <f>YEAR(Table13[[#This Row],[Order Date]])</f>
        <v>2024</v>
      </c>
      <c r="O182" t="str">
        <f>"Q"&amp;ROUNDUP(MONTH(Table13[[#This Row],[Order Date]])/3,0)</f>
        <v>Q4</v>
      </c>
      <c r="P182" s="5">
        <f>Table13[[#This Row],[Profit]]/Table13[[#This Row],[Amount]]</f>
        <v>6.3274037378968695E-2</v>
      </c>
      <c r="Q182" s="6">
        <f>Table13[[#This Row],[Amount]]/Table13[[#This Row],[Quantity]]</f>
        <v>222.05</v>
      </c>
    </row>
    <row r="183" spans="1:17" x14ac:dyDescent="0.3">
      <c r="A183" t="s">
        <v>256</v>
      </c>
      <c r="B183">
        <v>7340</v>
      </c>
      <c r="C183">
        <v>2271</v>
      </c>
      <c r="D183">
        <v>8</v>
      </c>
      <c r="E183" t="s">
        <v>30</v>
      </c>
      <c r="F183" t="s">
        <v>64</v>
      </c>
      <c r="G183" t="s">
        <v>40</v>
      </c>
      <c r="H183" s="1">
        <v>44535</v>
      </c>
      <c r="I183" t="s">
        <v>257</v>
      </c>
      <c r="J183" t="s">
        <v>17</v>
      </c>
      <c r="K183" t="s">
        <v>34</v>
      </c>
      <c r="L183" s="2" t="s">
        <v>90</v>
      </c>
      <c r="M183" t="str">
        <f>TEXT(Table13[[#This Row],[Order Date]],"MMM")</f>
        <v>Dec</v>
      </c>
      <c r="N183">
        <f>YEAR(Table13[[#This Row],[Order Date]])</f>
        <v>2021</v>
      </c>
      <c r="O183" t="str">
        <f>"Q"&amp;ROUNDUP(MONTH(Table13[[#This Row],[Order Date]])/3,0)</f>
        <v>Q4</v>
      </c>
      <c r="P183" s="5">
        <f>Table13[[#This Row],[Profit]]/Table13[[#This Row],[Amount]]</f>
        <v>0.30940054495912805</v>
      </c>
      <c r="Q183" s="6">
        <f>Table13[[#This Row],[Amount]]/Table13[[#This Row],[Quantity]]</f>
        <v>917.5</v>
      </c>
    </row>
    <row r="184" spans="1:17" x14ac:dyDescent="0.3">
      <c r="A184" t="s">
        <v>256</v>
      </c>
      <c r="B184">
        <v>5442</v>
      </c>
      <c r="C184">
        <v>1610</v>
      </c>
      <c r="D184">
        <v>1</v>
      </c>
      <c r="E184" t="s">
        <v>13</v>
      </c>
      <c r="F184" t="s">
        <v>82</v>
      </c>
      <c r="G184" t="s">
        <v>40</v>
      </c>
      <c r="H184" s="1">
        <v>44535</v>
      </c>
      <c r="I184" t="s">
        <v>257</v>
      </c>
      <c r="J184" t="s">
        <v>17</v>
      </c>
      <c r="K184" t="s">
        <v>34</v>
      </c>
      <c r="L184" s="2" t="s">
        <v>90</v>
      </c>
      <c r="M184" t="str">
        <f>TEXT(Table13[[#This Row],[Order Date]],"MMM")</f>
        <v>Dec</v>
      </c>
      <c r="N184">
        <f>YEAR(Table13[[#This Row],[Order Date]])</f>
        <v>2021</v>
      </c>
      <c r="O184" t="str">
        <f>"Q"&amp;ROUNDUP(MONTH(Table13[[#This Row],[Order Date]])/3,0)</f>
        <v>Q4</v>
      </c>
      <c r="P184" s="5">
        <f>Table13[[#This Row],[Profit]]/Table13[[#This Row],[Amount]]</f>
        <v>0.29584711503123851</v>
      </c>
      <c r="Q184" s="6">
        <f>Table13[[#This Row],[Amount]]/Table13[[#This Row],[Quantity]]</f>
        <v>5442</v>
      </c>
    </row>
    <row r="185" spans="1:17" x14ac:dyDescent="0.3">
      <c r="A185" t="s">
        <v>258</v>
      </c>
      <c r="B185">
        <v>1895</v>
      </c>
      <c r="C185">
        <v>391</v>
      </c>
      <c r="D185">
        <v>14</v>
      </c>
      <c r="E185" t="s">
        <v>45</v>
      </c>
      <c r="F185" t="s">
        <v>46</v>
      </c>
      <c r="G185" t="s">
        <v>15</v>
      </c>
      <c r="H185" s="1">
        <v>45478</v>
      </c>
      <c r="I185" t="s">
        <v>259</v>
      </c>
      <c r="J185" t="s">
        <v>17</v>
      </c>
      <c r="K185" t="s">
        <v>150</v>
      </c>
      <c r="L185" s="2" t="s">
        <v>215</v>
      </c>
      <c r="M185" t="str">
        <f>TEXT(Table13[[#This Row],[Order Date]],"MMM")</f>
        <v>Jul</v>
      </c>
      <c r="N185">
        <f>YEAR(Table13[[#This Row],[Order Date]])</f>
        <v>2024</v>
      </c>
      <c r="O185" t="str">
        <f>"Q"&amp;ROUNDUP(MONTH(Table13[[#This Row],[Order Date]])/3,0)</f>
        <v>Q3</v>
      </c>
      <c r="P185" s="5">
        <f>Table13[[#This Row],[Profit]]/Table13[[#This Row],[Amount]]</f>
        <v>0.20633245382585752</v>
      </c>
      <c r="Q185" s="6">
        <f>Table13[[#This Row],[Amount]]/Table13[[#This Row],[Quantity]]</f>
        <v>135.35714285714286</v>
      </c>
    </row>
    <row r="186" spans="1:17" x14ac:dyDescent="0.3">
      <c r="A186" t="s">
        <v>258</v>
      </c>
      <c r="B186">
        <v>5323</v>
      </c>
      <c r="C186">
        <v>322</v>
      </c>
      <c r="D186">
        <v>13</v>
      </c>
      <c r="E186" t="s">
        <v>30</v>
      </c>
      <c r="F186" t="s">
        <v>78</v>
      </c>
      <c r="G186" t="s">
        <v>65</v>
      </c>
      <c r="H186" s="1">
        <v>45478</v>
      </c>
      <c r="I186" t="s">
        <v>259</v>
      </c>
      <c r="J186" t="s">
        <v>17</v>
      </c>
      <c r="K186" t="s">
        <v>150</v>
      </c>
      <c r="L186" s="2" t="s">
        <v>215</v>
      </c>
      <c r="M186" t="str">
        <f>TEXT(Table13[[#This Row],[Order Date]],"MMM")</f>
        <v>Jul</v>
      </c>
      <c r="N186">
        <f>YEAR(Table13[[#This Row],[Order Date]])</f>
        <v>2024</v>
      </c>
      <c r="O186" t="str">
        <f>"Q"&amp;ROUNDUP(MONTH(Table13[[#This Row],[Order Date]])/3,0)</f>
        <v>Q3</v>
      </c>
      <c r="P186" s="5">
        <f>Table13[[#This Row],[Profit]]/Table13[[#This Row],[Amount]]</f>
        <v>6.0492203644561336E-2</v>
      </c>
      <c r="Q186" s="6">
        <f>Table13[[#This Row],[Amount]]/Table13[[#This Row],[Quantity]]</f>
        <v>409.46153846153845</v>
      </c>
    </row>
    <row r="187" spans="1:17" x14ac:dyDescent="0.3">
      <c r="A187" t="s">
        <v>260</v>
      </c>
      <c r="B187">
        <v>8850</v>
      </c>
      <c r="C187">
        <v>279</v>
      </c>
      <c r="D187">
        <v>13</v>
      </c>
      <c r="E187" t="s">
        <v>30</v>
      </c>
      <c r="F187" t="s">
        <v>57</v>
      </c>
      <c r="G187" t="s">
        <v>32</v>
      </c>
      <c r="H187" s="1">
        <v>45468</v>
      </c>
      <c r="I187" t="s">
        <v>261</v>
      </c>
      <c r="J187" t="s">
        <v>17</v>
      </c>
      <c r="K187" t="s">
        <v>18</v>
      </c>
      <c r="L187" s="2" t="s">
        <v>262</v>
      </c>
      <c r="M187" t="str">
        <f>TEXT(Table13[[#This Row],[Order Date]],"MMM")</f>
        <v>Jun</v>
      </c>
      <c r="N187">
        <f>YEAR(Table13[[#This Row],[Order Date]])</f>
        <v>2024</v>
      </c>
      <c r="O187" t="str">
        <f>"Q"&amp;ROUNDUP(MONTH(Table13[[#This Row],[Order Date]])/3,0)</f>
        <v>Q2</v>
      </c>
      <c r="P187" s="5">
        <f>Table13[[#This Row],[Profit]]/Table13[[#This Row],[Amount]]</f>
        <v>3.1525423728813562E-2</v>
      </c>
      <c r="Q187" s="6">
        <f>Table13[[#This Row],[Amount]]/Table13[[#This Row],[Quantity]]</f>
        <v>680.76923076923072</v>
      </c>
    </row>
    <row r="188" spans="1:17" x14ac:dyDescent="0.3">
      <c r="A188" t="s">
        <v>260</v>
      </c>
      <c r="B188">
        <v>8667</v>
      </c>
      <c r="C188">
        <v>1266</v>
      </c>
      <c r="D188">
        <v>6</v>
      </c>
      <c r="E188" t="s">
        <v>30</v>
      </c>
      <c r="F188" t="s">
        <v>64</v>
      </c>
      <c r="G188" t="s">
        <v>32</v>
      </c>
      <c r="H188" s="1">
        <v>45468</v>
      </c>
      <c r="I188" t="s">
        <v>261</v>
      </c>
      <c r="J188" t="s">
        <v>17</v>
      </c>
      <c r="K188" t="s">
        <v>18</v>
      </c>
      <c r="L188" s="2" t="s">
        <v>262</v>
      </c>
      <c r="M188" t="str">
        <f>TEXT(Table13[[#This Row],[Order Date]],"MMM")</f>
        <v>Jun</v>
      </c>
      <c r="N188">
        <f>YEAR(Table13[[#This Row],[Order Date]])</f>
        <v>2024</v>
      </c>
      <c r="O188" t="str">
        <f>"Q"&amp;ROUNDUP(MONTH(Table13[[#This Row],[Order Date]])/3,0)</f>
        <v>Q2</v>
      </c>
      <c r="P188" s="5">
        <f>Table13[[#This Row],[Profit]]/Table13[[#This Row],[Amount]]</f>
        <v>0.14607130494980963</v>
      </c>
      <c r="Q188" s="6">
        <f>Table13[[#This Row],[Amount]]/Table13[[#This Row],[Quantity]]</f>
        <v>1444.5</v>
      </c>
    </row>
    <row r="189" spans="1:17" x14ac:dyDescent="0.3">
      <c r="A189" t="s">
        <v>263</v>
      </c>
      <c r="B189">
        <v>6903</v>
      </c>
      <c r="C189">
        <v>105</v>
      </c>
      <c r="D189">
        <v>1</v>
      </c>
      <c r="E189" t="s">
        <v>45</v>
      </c>
      <c r="F189" t="s">
        <v>46</v>
      </c>
      <c r="G189" t="s">
        <v>65</v>
      </c>
      <c r="H189" s="1">
        <v>45443</v>
      </c>
      <c r="I189" t="s">
        <v>264</v>
      </c>
      <c r="J189" t="s">
        <v>21</v>
      </c>
      <c r="K189" t="s">
        <v>22</v>
      </c>
      <c r="L189" s="2" t="s">
        <v>35</v>
      </c>
      <c r="M189" t="str">
        <f>TEXT(Table13[[#This Row],[Order Date]],"MMM")</f>
        <v>May</v>
      </c>
      <c r="N189">
        <f>YEAR(Table13[[#This Row],[Order Date]])</f>
        <v>2024</v>
      </c>
      <c r="O189" t="str">
        <f>"Q"&amp;ROUNDUP(MONTH(Table13[[#This Row],[Order Date]])/3,0)</f>
        <v>Q2</v>
      </c>
      <c r="P189" s="5">
        <f>Table13[[#This Row],[Profit]]/Table13[[#This Row],[Amount]]</f>
        <v>1.5210777922642329E-2</v>
      </c>
      <c r="Q189" s="6">
        <f>Table13[[#This Row],[Amount]]/Table13[[#This Row],[Quantity]]</f>
        <v>6903</v>
      </c>
    </row>
    <row r="190" spans="1:17" x14ac:dyDescent="0.3">
      <c r="A190" t="s">
        <v>263</v>
      </c>
      <c r="B190">
        <v>8793</v>
      </c>
      <c r="C190">
        <v>3010</v>
      </c>
      <c r="D190">
        <v>7</v>
      </c>
      <c r="E190" t="s">
        <v>30</v>
      </c>
      <c r="F190" t="s">
        <v>31</v>
      </c>
      <c r="G190" t="s">
        <v>65</v>
      </c>
      <c r="H190" s="1">
        <v>45443</v>
      </c>
      <c r="I190" t="s">
        <v>264</v>
      </c>
      <c r="J190" t="s">
        <v>21</v>
      </c>
      <c r="K190" t="s">
        <v>22</v>
      </c>
      <c r="L190" s="2" t="s">
        <v>35</v>
      </c>
      <c r="M190" t="str">
        <f>TEXT(Table13[[#This Row],[Order Date]],"MMM")</f>
        <v>May</v>
      </c>
      <c r="N190">
        <f>YEAR(Table13[[#This Row],[Order Date]])</f>
        <v>2024</v>
      </c>
      <c r="O190" t="str">
        <f>"Q"&amp;ROUNDUP(MONTH(Table13[[#This Row],[Order Date]])/3,0)</f>
        <v>Q2</v>
      </c>
      <c r="P190" s="5">
        <f>Table13[[#This Row],[Profit]]/Table13[[#This Row],[Amount]]</f>
        <v>0.34231775275787557</v>
      </c>
      <c r="Q190" s="6">
        <f>Table13[[#This Row],[Amount]]/Table13[[#This Row],[Quantity]]</f>
        <v>1256.1428571428571</v>
      </c>
    </row>
    <row r="191" spans="1:17" x14ac:dyDescent="0.3">
      <c r="A191" t="s">
        <v>265</v>
      </c>
      <c r="B191">
        <v>9883</v>
      </c>
      <c r="C191">
        <v>4812</v>
      </c>
      <c r="D191">
        <v>16</v>
      </c>
      <c r="E191" t="s">
        <v>30</v>
      </c>
      <c r="F191" t="s">
        <v>64</v>
      </c>
      <c r="G191" t="s">
        <v>15</v>
      </c>
      <c r="H191" s="1">
        <v>44124</v>
      </c>
      <c r="I191" t="s">
        <v>266</v>
      </c>
      <c r="J191" t="s">
        <v>25</v>
      </c>
      <c r="K191" t="s">
        <v>26</v>
      </c>
      <c r="L191" s="2" t="s">
        <v>119</v>
      </c>
      <c r="M191" t="str">
        <f>TEXT(Table13[[#This Row],[Order Date]],"MMM")</f>
        <v>Oct</v>
      </c>
      <c r="N191">
        <f>YEAR(Table13[[#This Row],[Order Date]])</f>
        <v>2020</v>
      </c>
      <c r="O191" t="str">
        <f>"Q"&amp;ROUNDUP(MONTH(Table13[[#This Row],[Order Date]])/3,0)</f>
        <v>Q4</v>
      </c>
      <c r="P191" s="5">
        <f>Table13[[#This Row],[Profit]]/Table13[[#This Row],[Amount]]</f>
        <v>0.48689669128807045</v>
      </c>
      <c r="Q191" s="6">
        <f>Table13[[#This Row],[Amount]]/Table13[[#This Row],[Quantity]]</f>
        <v>617.6875</v>
      </c>
    </row>
    <row r="192" spans="1:17" x14ac:dyDescent="0.3">
      <c r="A192" t="s">
        <v>265</v>
      </c>
      <c r="B192">
        <v>9883</v>
      </c>
      <c r="C192">
        <v>4812</v>
      </c>
      <c r="D192">
        <v>16</v>
      </c>
      <c r="E192" t="s">
        <v>30</v>
      </c>
      <c r="F192" t="s">
        <v>64</v>
      </c>
      <c r="G192" t="s">
        <v>15</v>
      </c>
      <c r="H192" s="1">
        <v>44784</v>
      </c>
      <c r="I192" t="s">
        <v>267</v>
      </c>
      <c r="J192" t="s">
        <v>17</v>
      </c>
      <c r="K192" t="s">
        <v>34</v>
      </c>
      <c r="L192" s="2" t="s">
        <v>209</v>
      </c>
      <c r="M192" t="str">
        <f>TEXT(Table13[[#This Row],[Order Date]],"MMM")</f>
        <v>Aug</v>
      </c>
      <c r="N192">
        <f>YEAR(Table13[[#This Row],[Order Date]])</f>
        <v>2022</v>
      </c>
      <c r="O192" t="str">
        <f>"Q"&amp;ROUNDUP(MONTH(Table13[[#This Row],[Order Date]])/3,0)</f>
        <v>Q3</v>
      </c>
      <c r="P192" s="5">
        <f>Table13[[#This Row],[Profit]]/Table13[[#This Row],[Amount]]</f>
        <v>0.48689669128807045</v>
      </c>
      <c r="Q192" s="6">
        <f>Table13[[#This Row],[Amount]]/Table13[[#This Row],[Quantity]]</f>
        <v>617.6875</v>
      </c>
    </row>
    <row r="193" spans="1:17" x14ac:dyDescent="0.3">
      <c r="A193" t="s">
        <v>265</v>
      </c>
      <c r="B193">
        <v>9883</v>
      </c>
      <c r="C193">
        <v>4812</v>
      </c>
      <c r="D193">
        <v>16</v>
      </c>
      <c r="E193" t="s">
        <v>30</v>
      </c>
      <c r="F193" t="s">
        <v>64</v>
      </c>
      <c r="G193" t="s">
        <v>15</v>
      </c>
      <c r="H193" s="1">
        <v>44486</v>
      </c>
      <c r="I193" t="s">
        <v>268</v>
      </c>
      <c r="J193" t="s">
        <v>21</v>
      </c>
      <c r="K193" t="s">
        <v>63</v>
      </c>
      <c r="L193" s="2" t="s">
        <v>37</v>
      </c>
      <c r="M193" t="str">
        <f>TEXT(Table13[[#This Row],[Order Date]],"MMM")</f>
        <v>Oct</v>
      </c>
      <c r="N193">
        <f>YEAR(Table13[[#This Row],[Order Date]])</f>
        <v>2021</v>
      </c>
      <c r="O193" t="str">
        <f>"Q"&amp;ROUNDUP(MONTH(Table13[[#This Row],[Order Date]])/3,0)</f>
        <v>Q4</v>
      </c>
      <c r="P193" s="5">
        <f>Table13[[#This Row],[Profit]]/Table13[[#This Row],[Amount]]</f>
        <v>0.48689669128807045</v>
      </c>
      <c r="Q193" s="6">
        <f>Table13[[#This Row],[Amount]]/Table13[[#This Row],[Quantity]]</f>
        <v>617.6875</v>
      </c>
    </row>
    <row r="194" spans="1:17" x14ac:dyDescent="0.3">
      <c r="A194" t="s">
        <v>265</v>
      </c>
      <c r="B194">
        <v>5210</v>
      </c>
      <c r="C194">
        <v>1185</v>
      </c>
      <c r="D194">
        <v>7</v>
      </c>
      <c r="E194" t="s">
        <v>30</v>
      </c>
      <c r="F194" t="s">
        <v>64</v>
      </c>
      <c r="G194" t="s">
        <v>15</v>
      </c>
      <c r="H194" s="1">
        <v>44124</v>
      </c>
      <c r="I194" t="s">
        <v>266</v>
      </c>
      <c r="J194" t="s">
        <v>25</v>
      </c>
      <c r="K194" t="s">
        <v>26</v>
      </c>
      <c r="L194" s="2" t="s">
        <v>119</v>
      </c>
      <c r="M194" t="str">
        <f>TEXT(Table13[[#This Row],[Order Date]],"MMM")</f>
        <v>Oct</v>
      </c>
      <c r="N194">
        <f>YEAR(Table13[[#This Row],[Order Date]])</f>
        <v>2020</v>
      </c>
      <c r="O194" t="str">
        <f>"Q"&amp;ROUNDUP(MONTH(Table13[[#This Row],[Order Date]])/3,0)</f>
        <v>Q4</v>
      </c>
      <c r="P194" s="5">
        <f>Table13[[#This Row],[Profit]]/Table13[[#This Row],[Amount]]</f>
        <v>0.22744721689059502</v>
      </c>
      <c r="Q194" s="6">
        <f>Table13[[#This Row],[Amount]]/Table13[[#This Row],[Quantity]]</f>
        <v>744.28571428571433</v>
      </c>
    </row>
    <row r="195" spans="1:17" x14ac:dyDescent="0.3">
      <c r="A195" t="s">
        <v>265</v>
      </c>
      <c r="B195">
        <v>5210</v>
      </c>
      <c r="C195">
        <v>1185</v>
      </c>
      <c r="D195">
        <v>7</v>
      </c>
      <c r="E195" t="s">
        <v>30</v>
      </c>
      <c r="F195" t="s">
        <v>64</v>
      </c>
      <c r="G195" t="s">
        <v>15</v>
      </c>
      <c r="H195" s="1">
        <v>44784</v>
      </c>
      <c r="I195" t="s">
        <v>267</v>
      </c>
      <c r="J195" t="s">
        <v>17</v>
      </c>
      <c r="K195" t="s">
        <v>34</v>
      </c>
      <c r="L195" s="2" t="s">
        <v>209</v>
      </c>
      <c r="M195" t="str">
        <f>TEXT(Table13[[#This Row],[Order Date]],"MMM")</f>
        <v>Aug</v>
      </c>
      <c r="N195">
        <f>YEAR(Table13[[#This Row],[Order Date]])</f>
        <v>2022</v>
      </c>
      <c r="O195" t="str">
        <f>"Q"&amp;ROUNDUP(MONTH(Table13[[#This Row],[Order Date]])/3,0)</f>
        <v>Q3</v>
      </c>
      <c r="P195" s="5">
        <f>Table13[[#This Row],[Profit]]/Table13[[#This Row],[Amount]]</f>
        <v>0.22744721689059502</v>
      </c>
      <c r="Q195" s="6">
        <f>Table13[[#This Row],[Amount]]/Table13[[#This Row],[Quantity]]</f>
        <v>744.28571428571433</v>
      </c>
    </row>
    <row r="196" spans="1:17" x14ac:dyDescent="0.3">
      <c r="A196" t="s">
        <v>265</v>
      </c>
      <c r="B196">
        <v>5210</v>
      </c>
      <c r="C196">
        <v>1185</v>
      </c>
      <c r="D196">
        <v>7</v>
      </c>
      <c r="E196" t="s">
        <v>30</v>
      </c>
      <c r="F196" t="s">
        <v>64</v>
      </c>
      <c r="G196" t="s">
        <v>15</v>
      </c>
      <c r="H196" s="1">
        <v>44486</v>
      </c>
      <c r="I196" t="s">
        <v>268</v>
      </c>
      <c r="J196" t="s">
        <v>21</v>
      </c>
      <c r="K196" t="s">
        <v>63</v>
      </c>
      <c r="L196" s="2" t="s">
        <v>37</v>
      </c>
      <c r="M196" t="str">
        <f>TEXT(Table13[[#This Row],[Order Date]],"MMM")</f>
        <v>Oct</v>
      </c>
      <c r="N196">
        <f>YEAR(Table13[[#This Row],[Order Date]])</f>
        <v>2021</v>
      </c>
      <c r="O196" t="str">
        <f>"Q"&amp;ROUNDUP(MONTH(Table13[[#This Row],[Order Date]])/3,0)</f>
        <v>Q4</v>
      </c>
      <c r="P196" s="5">
        <f>Table13[[#This Row],[Profit]]/Table13[[#This Row],[Amount]]</f>
        <v>0.22744721689059502</v>
      </c>
      <c r="Q196" s="6">
        <f>Table13[[#This Row],[Amount]]/Table13[[#This Row],[Quantity]]</f>
        <v>744.28571428571433</v>
      </c>
    </row>
    <row r="197" spans="1:17" x14ac:dyDescent="0.3">
      <c r="A197" t="s">
        <v>269</v>
      </c>
      <c r="B197">
        <v>3574</v>
      </c>
      <c r="C197">
        <v>851</v>
      </c>
      <c r="D197">
        <v>4</v>
      </c>
      <c r="E197" t="s">
        <v>13</v>
      </c>
      <c r="F197" t="s">
        <v>28</v>
      </c>
      <c r="G197" t="s">
        <v>47</v>
      </c>
      <c r="H197" s="1">
        <v>44615</v>
      </c>
      <c r="I197" t="s">
        <v>270</v>
      </c>
      <c r="J197" t="s">
        <v>42</v>
      </c>
      <c r="K197" t="s">
        <v>43</v>
      </c>
      <c r="L197" s="2" t="s">
        <v>137</v>
      </c>
      <c r="M197" t="str">
        <f>TEXT(Table13[[#This Row],[Order Date]],"MMM")</f>
        <v>Feb</v>
      </c>
      <c r="N197">
        <f>YEAR(Table13[[#This Row],[Order Date]])</f>
        <v>2022</v>
      </c>
      <c r="O197" t="str">
        <f>"Q"&amp;ROUNDUP(MONTH(Table13[[#This Row],[Order Date]])/3,0)</f>
        <v>Q1</v>
      </c>
      <c r="P197" s="5">
        <f>Table13[[#This Row],[Profit]]/Table13[[#This Row],[Amount]]</f>
        <v>0.23810856183547846</v>
      </c>
      <c r="Q197" s="6">
        <f>Table13[[#This Row],[Amount]]/Table13[[#This Row],[Quantity]]</f>
        <v>893.5</v>
      </c>
    </row>
    <row r="198" spans="1:17" x14ac:dyDescent="0.3">
      <c r="A198" t="s">
        <v>269</v>
      </c>
      <c r="B198">
        <v>576</v>
      </c>
      <c r="C198">
        <v>76</v>
      </c>
      <c r="D198">
        <v>13</v>
      </c>
      <c r="E198" t="s">
        <v>45</v>
      </c>
      <c r="F198" t="s">
        <v>60</v>
      </c>
      <c r="G198" t="s">
        <v>15</v>
      </c>
      <c r="H198" s="1">
        <v>44615</v>
      </c>
      <c r="I198" t="s">
        <v>270</v>
      </c>
      <c r="J198" t="s">
        <v>42</v>
      </c>
      <c r="K198" t="s">
        <v>43</v>
      </c>
      <c r="L198" s="2" t="s">
        <v>137</v>
      </c>
      <c r="M198" t="str">
        <f>TEXT(Table13[[#This Row],[Order Date]],"MMM")</f>
        <v>Feb</v>
      </c>
      <c r="N198">
        <f>YEAR(Table13[[#This Row],[Order Date]])</f>
        <v>2022</v>
      </c>
      <c r="O198" t="str">
        <f>"Q"&amp;ROUNDUP(MONTH(Table13[[#This Row],[Order Date]])/3,0)</f>
        <v>Q1</v>
      </c>
      <c r="P198" s="5">
        <f>Table13[[#This Row],[Profit]]/Table13[[#This Row],[Amount]]</f>
        <v>0.13194444444444445</v>
      </c>
      <c r="Q198" s="6">
        <f>Table13[[#This Row],[Amount]]/Table13[[#This Row],[Quantity]]</f>
        <v>44.307692307692307</v>
      </c>
    </row>
    <row r="199" spans="1:17" x14ac:dyDescent="0.3">
      <c r="A199" t="s">
        <v>271</v>
      </c>
      <c r="B199">
        <v>1860</v>
      </c>
      <c r="C199">
        <v>457</v>
      </c>
      <c r="D199">
        <v>13</v>
      </c>
      <c r="E199" t="s">
        <v>13</v>
      </c>
      <c r="F199" t="s">
        <v>28</v>
      </c>
      <c r="G199" t="s">
        <v>40</v>
      </c>
      <c r="H199" s="1">
        <v>45189</v>
      </c>
      <c r="I199" t="s">
        <v>272</v>
      </c>
      <c r="J199" t="s">
        <v>98</v>
      </c>
      <c r="K199" t="s">
        <v>117</v>
      </c>
      <c r="L199" s="2" t="s">
        <v>273</v>
      </c>
      <c r="M199" t="str">
        <f>TEXT(Table13[[#This Row],[Order Date]],"MMM")</f>
        <v>Sep</v>
      </c>
      <c r="N199">
        <f>YEAR(Table13[[#This Row],[Order Date]])</f>
        <v>2023</v>
      </c>
      <c r="O199" t="str">
        <f>"Q"&amp;ROUNDUP(MONTH(Table13[[#This Row],[Order Date]])/3,0)</f>
        <v>Q3</v>
      </c>
      <c r="P199" s="5">
        <f>Table13[[#This Row],[Profit]]/Table13[[#This Row],[Amount]]</f>
        <v>0.24569892473118279</v>
      </c>
      <c r="Q199" s="6">
        <f>Table13[[#This Row],[Amount]]/Table13[[#This Row],[Quantity]]</f>
        <v>143.07692307692307</v>
      </c>
    </row>
    <row r="200" spans="1:17" x14ac:dyDescent="0.3">
      <c r="A200" t="s">
        <v>274</v>
      </c>
      <c r="B200">
        <v>782</v>
      </c>
      <c r="C200">
        <v>374</v>
      </c>
      <c r="D200">
        <v>8</v>
      </c>
      <c r="E200" t="s">
        <v>30</v>
      </c>
      <c r="F200" t="s">
        <v>31</v>
      </c>
      <c r="G200" t="s">
        <v>40</v>
      </c>
      <c r="H200" s="1">
        <v>44215</v>
      </c>
      <c r="I200" t="s">
        <v>275</v>
      </c>
      <c r="J200" t="s">
        <v>21</v>
      </c>
      <c r="K200" t="s">
        <v>172</v>
      </c>
      <c r="L200" s="2" t="s">
        <v>276</v>
      </c>
      <c r="M200" t="str">
        <f>TEXT(Table13[[#This Row],[Order Date]],"MMM")</f>
        <v>Jan</v>
      </c>
      <c r="N200">
        <f>YEAR(Table13[[#This Row],[Order Date]])</f>
        <v>2021</v>
      </c>
      <c r="O200" t="str">
        <f>"Q"&amp;ROUNDUP(MONTH(Table13[[#This Row],[Order Date]])/3,0)</f>
        <v>Q1</v>
      </c>
      <c r="P200" s="5">
        <f>Table13[[#This Row],[Profit]]/Table13[[#This Row],[Amount]]</f>
        <v>0.47826086956521741</v>
      </c>
      <c r="Q200" s="6">
        <f>Table13[[#This Row],[Amount]]/Table13[[#This Row],[Quantity]]</f>
        <v>97.75</v>
      </c>
    </row>
    <row r="201" spans="1:17" x14ac:dyDescent="0.3">
      <c r="A201" t="s">
        <v>274</v>
      </c>
      <c r="B201">
        <v>4371</v>
      </c>
      <c r="C201">
        <v>1852</v>
      </c>
      <c r="D201">
        <v>1</v>
      </c>
      <c r="E201" t="s">
        <v>13</v>
      </c>
      <c r="F201" t="s">
        <v>39</v>
      </c>
      <c r="G201" t="s">
        <v>15</v>
      </c>
      <c r="H201" s="1">
        <v>44215</v>
      </c>
      <c r="I201" t="s">
        <v>275</v>
      </c>
      <c r="J201" t="s">
        <v>21</v>
      </c>
      <c r="K201" t="s">
        <v>172</v>
      </c>
      <c r="L201" s="2" t="s">
        <v>276</v>
      </c>
      <c r="M201" t="str">
        <f>TEXT(Table13[[#This Row],[Order Date]],"MMM")</f>
        <v>Jan</v>
      </c>
      <c r="N201">
        <f>YEAR(Table13[[#This Row],[Order Date]])</f>
        <v>2021</v>
      </c>
      <c r="O201" t="str">
        <f>"Q"&amp;ROUNDUP(MONTH(Table13[[#This Row],[Order Date]])/3,0)</f>
        <v>Q1</v>
      </c>
      <c r="P201" s="5">
        <f>Table13[[#This Row],[Profit]]/Table13[[#This Row],[Amount]]</f>
        <v>0.42370167009837567</v>
      </c>
      <c r="Q201" s="6">
        <f>Table13[[#This Row],[Amount]]/Table13[[#This Row],[Quantity]]</f>
        <v>4371</v>
      </c>
    </row>
    <row r="202" spans="1:17" x14ac:dyDescent="0.3">
      <c r="A202" t="s">
        <v>277</v>
      </c>
      <c r="B202">
        <v>8346</v>
      </c>
      <c r="C202">
        <v>1176</v>
      </c>
      <c r="D202">
        <v>1</v>
      </c>
      <c r="E202" t="s">
        <v>13</v>
      </c>
      <c r="F202" t="s">
        <v>82</v>
      </c>
      <c r="G202" t="s">
        <v>65</v>
      </c>
      <c r="H202" s="1">
        <v>44064</v>
      </c>
      <c r="I202" t="s">
        <v>278</v>
      </c>
      <c r="J202" t="s">
        <v>71</v>
      </c>
      <c r="K202" t="s">
        <v>138</v>
      </c>
      <c r="L202" s="2" t="s">
        <v>185</v>
      </c>
      <c r="M202" t="str">
        <f>TEXT(Table13[[#This Row],[Order Date]],"MMM")</f>
        <v>Aug</v>
      </c>
      <c r="N202">
        <f>YEAR(Table13[[#This Row],[Order Date]])</f>
        <v>2020</v>
      </c>
      <c r="O202" t="str">
        <f>"Q"&amp;ROUNDUP(MONTH(Table13[[#This Row],[Order Date]])/3,0)</f>
        <v>Q3</v>
      </c>
      <c r="P202" s="5">
        <f>Table13[[#This Row],[Profit]]/Table13[[#This Row],[Amount]]</f>
        <v>0.14090582314881381</v>
      </c>
      <c r="Q202" s="6">
        <f>Table13[[#This Row],[Amount]]/Table13[[#This Row],[Quantity]]</f>
        <v>8346</v>
      </c>
    </row>
    <row r="203" spans="1:17" x14ac:dyDescent="0.3">
      <c r="A203" t="s">
        <v>277</v>
      </c>
      <c r="B203">
        <v>8346</v>
      </c>
      <c r="C203">
        <v>1176</v>
      </c>
      <c r="D203">
        <v>1</v>
      </c>
      <c r="E203" t="s">
        <v>13</v>
      </c>
      <c r="F203" t="s">
        <v>82</v>
      </c>
      <c r="G203" t="s">
        <v>65</v>
      </c>
      <c r="H203" s="1">
        <v>45033</v>
      </c>
      <c r="I203" t="s">
        <v>279</v>
      </c>
      <c r="J203" t="s">
        <v>21</v>
      </c>
      <c r="K203" t="s">
        <v>22</v>
      </c>
      <c r="L203" s="2" t="s">
        <v>145</v>
      </c>
      <c r="M203" t="str">
        <f>TEXT(Table13[[#This Row],[Order Date]],"MMM")</f>
        <v>Apr</v>
      </c>
      <c r="N203">
        <f>YEAR(Table13[[#This Row],[Order Date]])</f>
        <v>2023</v>
      </c>
      <c r="O203" t="str">
        <f>"Q"&amp;ROUNDUP(MONTH(Table13[[#This Row],[Order Date]])/3,0)</f>
        <v>Q2</v>
      </c>
      <c r="P203" s="5">
        <f>Table13[[#This Row],[Profit]]/Table13[[#This Row],[Amount]]</f>
        <v>0.14090582314881381</v>
      </c>
      <c r="Q203" s="6">
        <f>Table13[[#This Row],[Amount]]/Table13[[#This Row],[Quantity]]</f>
        <v>8346</v>
      </c>
    </row>
    <row r="204" spans="1:17" x14ac:dyDescent="0.3">
      <c r="A204" t="s">
        <v>277</v>
      </c>
      <c r="B204">
        <v>8346</v>
      </c>
      <c r="C204">
        <v>1176</v>
      </c>
      <c r="D204">
        <v>1</v>
      </c>
      <c r="E204" t="s">
        <v>13</v>
      </c>
      <c r="F204" t="s">
        <v>82</v>
      </c>
      <c r="G204" t="s">
        <v>65</v>
      </c>
      <c r="H204" s="1">
        <v>45284</v>
      </c>
      <c r="I204" t="s">
        <v>280</v>
      </c>
      <c r="J204" t="s">
        <v>42</v>
      </c>
      <c r="K204" t="s">
        <v>92</v>
      </c>
      <c r="L204" s="2" t="s">
        <v>102</v>
      </c>
      <c r="M204" t="str">
        <f>TEXT(Table13[[#This Row],[Order Date]],"MMM")</f>
        <v>Dec</v>
      </c>
      <c r="N204">
        <f>YEAR(Table13[[#This Row],[Order Date]])</f>
        <v>2023</v>
      </c>
      <c r="O204" t="str">
        <f>"Q"&amp;ROUNDUP(MONTH(Table13[[#This Row],[Order Date]])/3,0)</f>
        <v>Q4</v>
      </c>
      <c r="P204" s="5">
        <f>Table13[[#This Row],[Profit]]/Table13[[#This Row],[Amount]]</f>
        <v>0.14090582314881381</v>
      </c>
      <c r="Q204" s="6">
        <f>Table13[[#This Row],[Amount]]/Table13[[#This Row],[Quantity]]</f>
        <v>8346</v>
      </c>
    </row>
    <row r="205" spans="1:17" x14ac:dyDescent="0.3">
      <c r="A205" t="s">
        <v>277</v>
      </c>
      <c r="B205">
        <v>6218</v>
      </c>
      <c r="C205">
        <v>1125</v>
      </c>
      <c r="D205">
        <v>5</v>
      </c>
      <c r="E205" t="s">
        <v>45</v>
      </c>
      <c r="F205" t="s">
        <v>46</v>
      </c>
      <c r="G205" t="s">
        <v>32</v>
      </c>
      <c r="H205" s="1">
        <v>44064</v>
      </c>
      <c r="I205" t="s">
        <v>278</v>
      </c>
      <c r="J205" t="s">
        <v>71</v>
      </c>
      <c r="K205" t="s">
        <v>138</v>
      </c>
      <c r="L205" s="2" t="s">
        <v>185</v>
      </c>
      <c r="M205" t="str">
        <f>TEXT(Table13[[#This Row],[Order Date]],"MMM")</f>
        <v>Aug</v>
      </c>
      <c r="N205">
        <f>YEAR(Table13[[#This Row],[Order Date]])</f>
        <v>2020</v>
      </c>
      <c r="O205" t="str">
        <f>"Q"&amp;ROUNDUP(MONTH(Table13[[#This Row],[Order Date]])/3,0)</f>
        <v>Q3</v>
      </c>
      <c r="P205" s="5">
        <f>Table13[[#This Row],[Profit]]/Table13[[#This Row],[Amount]]</f>
        <v>0.18092634287552267</v>
      </c>
      <c r="Q205" s="6">
        <f>Table13[[#This Row],[Amount]]/Table13[[#This Row],[Quantity]]</f>
        <v>1243.5999999999999</v>
      </c>
    </row>
    <row r="206" spans="1:17" x14ac:dyDescent="0.3">
      <c r="A206" t="s">
        <v>277</v>
      </c>
      <c r="B206">
        <v>6218</v>
      </c>
      <c r="C206">
        <v>1125</v>
      </c>
      <c r="D206">
        <v>5</v>
      </c>
      <c r="E206" t="s">
        <v>45</v>
      </c>
      <c r="F206" t="s">
        <v>46</v>
      </c>
      <c r="G206" t="s">
        <v>32</v>
      </c>
      <c r="H206" s="1">
        <v>45033</v>
      </c>
      <c r="I206" t="s">
        <v>279</v>
      </c>
      <c r="J206" t="s">
        <v>21</v>
      </c>
      <c r="K206" t="s">
        <v>22</v>
      </c>
      <c r="L206" s="2" t="s">
        <v>145</v>
      </c>
      <c r="M206" t="str">
        <f>TEXT(Table13[[#This Row],[Order Date]],"MMM")</f>
        <v>Apr</v>
      </c>
      <c r="N206">
        <f>YEAR(Table13[[#This Row],[Order Date]])</f>
        <v>2023</v>
      </c>
      <c r="O206" t="str">
        <f>"Q"&amp;ROUNDUP(MONTH(Table13[[#This Row],[Order Date]])/3,0)</f>
        <v>Q2</v>
      </c>
      <c r="P206" s="5">
        <f>Table13[[#This Row],[Profit]]/Table13[[#This Row],[Amount]]</f>
        <v>0.18092634287552267</v>
      </c>
      <c r="Q206" s="6">
        <f>Table13[[#This Row],[Amount]]/Table13[[#This Row],[Quantity]]</f>
        <v>1243.5999999999999</v>
      </c>
    </row>
    <row r="207" spans="1:17" x14ac:dyDescent="0.3">
      <c r="A207" t="s">
        <v>277</v>
      </c>
      <c r="B207">
        <v>6218</v>
      </c>
      <c r="C207">
        <v>1125</v>
      </c>
      <c r="D207">
        <v>5</v>
      </c>
      <c r="E207" t="s">
        <v>45</v>
      </c>
      <c r="F207" t="s">
        <v>46</v>
      </c>
      <c r="G207" t="s">
        <v>32</v>
      </c>
      <c r="H207" s="1">
        <v>45284</v>
      </c>
      <c r="I207" t="s">
        <v>280</v>
      </c>
      <c r="J207" t="s">
        <v>42</v>
      </c>
      <c r="K207" t="s">
        <v>92</v>
      </c>
      <c r="L207" s="2" t="s">
        <v>102</v>
      </c>
      <c r="M207" t="str">
        <f>TEXT(Table13[[#This Row],[Order Date]],"MMM")</f>
        <v>Dec</v>
      </c>
      <c r="N207">
        <f>YEAR(Table13[[#This Row],[Order Date]])</f>
        <v>2023</v>
      </c>
      <c r="O207" t="str">
        <f>"Q"&amp;ROUNDUP(MONTH(Table13[[#This Row],[Order Date]])/3,0)</f>
        <v>Q4</v>
      </c>
      <c r="P207" s="5">
        <f>Table13[[#This Row],[Profit]]/Table13[[#This Row],[Amount]]</f>
        <v>0.18092634287552267</v>
      </c>
      <c r="Q207" s="6">
        <f>Table13[[#This Row],[Amount]]/Table13[[#This Row],[Quantity]]</f>
        <v>1243.5999999999999</v>
      </c>
    </row>
    <row r="208" spans="1:17" x14ac:dyDescent="0.3">
      <c r="A208" t="s">
        <v>277</v>
      </c>
      <c r="B208">
        <v>5167</v>
      </c>
      <c r="C208">
        <v>253</v>
      </c>
      <c r="D208">
        <v>14</v>
      </c>
      <c r="E208" t="s">
        <v>13</v>
      </c>
      <c r="F208" t="s">
        <v>28</v>
      </c>
      <c r="G208" t="s">
        <v>47</v>
      </c>
      <c r="H208" s="1">
        <v>44064</v>
      </c>
      <c r="I208" t="s">
        <v>278</v>
      </c>
      <c r="J208" t="s">
        <v>71</v>
      </c>
      <c r="K208" t="s">
        <v>138</v>
      </c>
      <c r="L208" s="2" t="s">
        <v>185</v>
      </c>
      <c r="M208" t="str">
        <f>TEXT(Table13[[#This Row],[Order Date]],"MMM")</f>
        <v>Aug</v>
      </c>
      <c r="N208">
        <f>YEAR(Table13[[#This Row],[Order Date]])</f>
        <v>2020</v>
      </c>
      <c r="O208" t="str">
        <f>"Q"&amp;ROUNDUP(MONTH(Table13[[#This Row],[Order Date]])/3,0)</f>
        <v>Q3</v>
      </c>
      <c r="P208" s="5">
        <f>Table13[[#This Row],[Profit]]/Table13[[#This Row],[Amount]]</f>
        <v>4.8964582930133539E-2</v>
      </c>
      <c r="Q208" s="6">
        <f>Table13[[#This Row],[Amount]]/Table13[[#This Row],[Quantity]]</f>
        <v>369.07142857142856</v>
      </c>
    </row>
    <row r="209" spans="1:17" x14ac:dyDescent="0.3">
      <c r="A209" t="s">
        <v>277</v>
      </c>
      <c r="B209">
        <v>5167</v>
      </c>
      <c r="C209">
        <v>253</v>
      </c>
      <c r="D209">
        <v>14</v>
      </c>
      <c r="E209" t="s">
        <v>13</v>
      </c>
      <c r="F209" t="s">
        <v>28</v>
      </c>
      <c r="G209" t="s">
        <v>47</v>
      </c>
      <c r="H209" s="1">
        <v>45033</v>
      </c>
      <c r="I209" t="s">
        <v>279</v>
      </c>
      <c r="J209" t="s">
        <v>21</v>
      </c>
      <c r="K209" t="s">
        <v>22</v>
      </c>
      <c r="L209" s="2" t="s">
        <v>145</v>
      </c>
      <c r="M209" t="str">
        <f>TEXT(Table13[[#This Row],[Order Date]],"MMM")</f>
        <v>Apr</v>
      </c>
      <c r="N209">
        <f>YEAR(Table13[[#This Row],[Order Date]])</f>
        <v>2023</v>
      </c>
      <c r="O209" t="str">
        <f>"Q"&amp;ROUNDUP(MONTH(Table13[[#This Row],[Order Date]])/3,0)</f>
        <v>Q2</v>
      </c>
      <c r="P209" s="5">
        <f>Table13[[#This Row],[Profit]]/Table13[[#This Row],[Amount]]</f>
        <v>4.8964582930133539E-2</v>
      </c>
      <c r="Q209" s="6">
        <f>Table13[[#This Row],[Amount]]/Table13[[#This Row],[Quantity]]</f>
        <v>369.07142857142856</v>
      </c>
    </row>
    <row r="210" spans="1:17" x14ac:dyDescent="0.3">
      <c r="A210" t="s">
        <v>277</v>
      </c>
      <c r="B210">
        <v>5167</v>
      </c>
      <c r="C210">
        <v>253</v>
      </c>
      <c r="D210">
        <v>14</v>
      </c>
      <c r="E210" t="s">
        <v>13</v>
      </c>
      <c r="F210" t="s">
        <v>28</v>
      </c>
      <c r="G210" t="s">
        <v>47</v>
      </c>
      <c r="H210" s="1">
        <v>45284</v>
      </c>
      <c r="I210" t="s">
        <v>280</v>
      </c>
      <c r="J210" t="s">
        <v>42</v>
      </c>
      <c r="K210" t="s">
        <v>92</v>
      </c>
      <c r="L210" s="2" t="s">
        <v>102</v>
      </c>
      <c r="M210" t="str">
        <f>TEXT(Table13[[#This Row],[Order Date]],"MMM")</f>
        <v>Dec</v>
      </c>
      <c r="N210">
        <f>YEAR(Table13[[#This Row],[Order Date]])</f>
        <v>2023</v>
      </c>
      <c r="O210" t="str">
        <f>"Q"&amp;ROUNDUP(MONTH(Table13[[#This Row],[Order Date]])/3,0)</f>
        <v>Q4</v>
      </c>
      <c r="P210" s="5">
        <f>Table13[[#This Row],[Profit]]/Table13[[#This Row],[Amount]]</f>
        <v>4.8964582930133539E-2</v>
      </c>
      <c r="Q210" s="6">
        <f>Table13[[#This Row],[Amount]]/Table13[[#This Row],[Quantity]]</f>
        <v>369.07142857142856</v>
      </c>
    </row>
    <row r="211" spans="1:17" x14ac:dyDescent="0.3">
      <c r="A211" t="s">
        <v>277</v>
      </c>
      <c r="B211">
        <v>2799</v>
      </c>
      <c r="C211">
        <v>1239</v>
      </c>
      <c r="D211">
        <v>5</v>
      </c>
      <c r="E211" t="s">
        <v>45</v>
      </c>
      <c r="F211" t="s">
        <v>60</v>
      </c>
      <c r="G211" t="s">
        <v>32</v>
      </c>
      <c r="H211" s="1">
        <v>44064</v>
      </c>
      <c r="I211" t="s">
        <v>278</v>
      </c>
      <c r="J211" t="s">
        <v>71</v>
      </c>
      <c r="K211" t="s">
        <v>138</v>
      </c>
      <c r="L211" s="2" t="s">
        <v>185</v>
      </c>
      <c r="M211" t="str">
        <f>TEXT(Table13[[#This Row],[Order Date]],"MMM")</f>
        <v>Aug</v>
      </c>
      <c r="N211">
        <f>YEAR(Table13[[#This Row],[Order Date]])</f>
        <v>2020</v>
      </c>
      <c r="O211" t="str">
        <f>"Q"&amp;ROUNDUP(MONTH(Table13[[#This Row],[Order Date]])/3,0)</f>
        <v>Q3</v>
      </c>
      <c r="P211" s="5">
        <f>Table13[[#This Row],[Profit]]/Table13[[#This Row],[Amount]]</f>
        <v>0.44265809217577706</v>
      </c>
      <c r="Q211" s="6">
        <f>Table13[[#This Row],[Amount]]/Table13[[#This Row],[Quantity]]</f>
        <v>559.79999999999995</v>
      </c>
    </row>
    <row r="212" spans="1:17" x14ac:dyDescent="0.3">
      <c r="A212" t="s">
        <v>277</v>
      </c>
      <c r="B212">
        <v>2799</v>
      </c>
      <c r="C212">
        <v>1239</v>
      </c>
      <c r="D212">
        <v>5</v>
      </c>
      <c r="E212" t="s">
        <v>45</v>
      </c>
      <c r="F212" t="s">
        <v>60</v>
      </c>
      <c r="G212" t="s">
        <v>32</v>
      </c>
      <c r="H212" s="1">
        <v>45033</v>
      </c>
      <c r="I212" t="s">
        <v>279</v>
      </c>
      <c r="J212" t="s">
        <v>21</v>
      </c>
      <c r="K212" t="s">
        <v>22</v>
      </c>
      <c r="L212" s="2" t="s">
        <v>145</v>
      </c>
      <c r="M212" t="str">
        <f>TEXT(Table13[[#This Row],[Order Date]],"MMM")</f>
        <v>Apr</v>
      </c>
      <c r="N212">
        <f>YEAR(Table13[[#This Row],[Order Date]])</f>
        <v>2023</v>
      </c>
      <c r="O212" t="str">
        <f>"Q"&amp;ROUNDUP(MONTH(Table13[[#This Row],[Order Date]])/3,0)</f>
        <v>Q2</v>
      </c>
      <c r="P212" s="5">
        <f>Table13[[#This Row],[Profit]]/Table13[[#This Row],[Amount]]</f>
        <v>0.44265809217577706</v>
      </c>
      <c r="Q212" s="6">
        <f>Table13[[#This Row],[Amount]]/Table13[[#This Row],[Quantity]]</f>
        <v>559.79999999999995</v>
      </c>
    </row>
    <row r="213" spans="1:17" x14ac:dyDescent="0.3">
      <c r="A213" t="s">
        <v>277</v>
      </c>
      <c r="B213">
        <v>2799</v>
      </c>
      <c r="C213">
        <v>1239</v>
      </c>
      <c r="D213">
        <v>5</v>
      </c>
      <c r="E213" t="s">
        <v>45</v>
      </c>
      <c r="F213" t="s">
        <v>60</v>
      </c>
      <c r="G213" t="s">
        <v>32</v>
      </c>
      <c r="H213" s="1">
        <v>45284</v>
      </c>
      <c r="I213" t="s">
        <v>280</v>
      </c>
      <c r="J213" t="s">
        <v>42</v>
      </c>
      <c r="K213" t="s">
        <v>92</v>
      </c>
      <c r="L213" s="2" t="s">
        <v>102</v>
      </c>
      <c r="M213" t="str">
        <f>TEXT(Table13[[#This Row],[Order Date]],"MMM")</f>
        <v>Dec</v>
      </c>
      <c r="N213">
        <f>YEAR(Table13[[#This Row],[Order Date]])</f>
        <v>2023</v>
      </c>
      <c r="O213" t="str">
        <f>"Q"&amp;ROUNDUP(MONTH(Table13[[#This Row],[Order Date]])/3,0)</f>
        <v>Q4</v>
      </c>
      <c r="P213" s="5">
        <f>Table13[[#This Row],[Profit]]/Table13[[#This Row],[Amount]]</f>
        <v>0.44265809217577706</v>
      </c>
      <c r="Q213" s="6">
        <f>Table13[[#This Row],[Amount]]/Table13[[#This Row],[Quantity]]</f>
        <v>559.79999999999995</v>
      </c>
    </row>
    <row r="214" spans="1:17" x14ac:dyDescent="0.3">
      <c r="A214" t="s">
        <v>281</v>
      </c>
      <c r="B214">
        <v>3234</v>
      </c>
      <c r="C214">
        <v>1029</v>
      </c>
      <c r="D214">
        <v>20</v>
      </c>
      <c r="E214" t="s">
        <v>30</v>
      </c>
      <c r="F214" t="s">
        <v>57</v>
      </c>
      <c r="G214" t="s">
        <v>47</v>
      </c>
      <c r="H214" s="1">
        <v>44640</v>
      </c>
      <c r="I214" t="s">
        <v>282</v>
      </c>
      <c r="J214" t="s">
        <v>17</v>
      </c>
      <c r="K214" t="s">
        <v>18</v>
      </c>
      <c r="L214" s="2" t="s">
        <v>134</v>
      </c>
      <c r="M214" t="str">
        <f>TEXT(Table13[[#This Row],[Order Date]],"MMM")</f>
        <v>Mar</v>
      </c>
      <c r="N214">
        <f>YEAR(Table13[[#This Row],[Order Date]])</f>
        <v>2022</v>
      </c>
      <c r="O214" t="str">
        <f>"Q"&amp;ROUNDUP(MONTH(Table13[[#This Row],[Order Date]])/3,0)</f>
        <v>Q1</v>
      </c>
      <c r="P214" s="5">
        <f>Table13[[#This Row],[Profit]]/Table13[[#This Row],[Amount]]</f>
        <v>0.31818181818181818</v>
      </c>
      <c r="Q214" s="6">
        <f>Table13[[#This Row],[Amount]]/Table13[[#This Row],[Quantity]]</f>
        <v>161.69999999999999</v>
      </c>
    </row>
    <row r="215" spans="1:17" x14ac:dyDescent="0.3">
      <c r="A215" t="s">
        <v>283</v>
      </c>
      <c r="B215">
        <v>4920</v>
      </c>
      <c r="C215">
        <v>775</v>
      </c>
      <c r="D215">
        <v>12</v>
      </c>
      <c r="E215" t="s">
        <v>45</v>
      </c>
      <c r="F215" t="s">
        <v>46</v>
      </c>
      <c r="G215" t="s">
        <v>32</v>
      </c>
      <c r="H215" s="1">
        <v>44420</v>
      </c>
      <c r="I215" t="s">
        <v>284</v>
      </c>
      <c r="J215" t="s">
        <v>21</v>
      </c>
      <c r="K215" t="s">
        <v>63</v>
      </c>
      <c r="L215" s="2" t="s">
        <v>178</v>
      </c>
      <c r="M215" t="str">
        <f>TEXT(Table13[[#This Row],[Order Date]],"MMM")</f>
        <v>Aug</v>
      </c>
      <c r="N215">
        <f>YEAR(Table13[[#This Row],[Order Date]])</f>
        <v>2021</v>
      </c>
      <c r="O215" t="str">
        <f>"Q"&amp;ROUNDUP(MONTH(Table13[[#This Row],[Order Date]])/3,0)</f>
        <v>Q3</v>
      </c>
      <c r="P215" s="5">
        <f>Table13[[#This Row],[Profit]]/Table13[[#This Row],[Amount]]</f>
        <v>0.15752032520325204</v>
      </c>
      <c r="Q215" s="6">
        <f>Table13[[#This Row],[Amount]]/Table13[[#This Row],[Quantity]]</f>
        <v>410</v>
      </c>
    </row>
    <row r="216" spans="1:17" x14ac:dyDescent="0.3">
      <c r="A216" t="s">
        <v>283</v>
      </c>
      <c r="B216">
        <v>9078</v>
      </c>
      <c r="C216">
        <v>2213</v>
      </c>
      <c r="D216">
        <v>15</v>
      </c>
      <c r="E216" t="s">
        <v>45</v>
      </c>
      <c r="F216" t="s">
        <v>109</v>
      </c>
      <c r="G216" t="s">
        <v>40</v>
      </c>
      <c r="H216" s="1">
        <v>44420</v>
      </c>
      <c r="I216" t="s">
        <v>284</v>
      </c>
      <c r="J216" t="s">
        <v>21</v>
      </c>
      <c r="K216" t="s">
        <v>63</v>
      </c>
      <c r="L216" s="2" t="s">
        <v>178</v>
      </c>
      <c r="M216" t="str">
        <f>TEXT(Table13[[#This Row],[Order Date]],"MMM")</f>
        <v>Aug</v>
      </c>
      <c r="N216">
        <f>YEAR(Table13[[#This Row],[Order Date]])</f>
        <v>2021</v>
      </c>
      <c r="O216" t="str">
        <f>"Q"&amp;ROUNDUP(MONTH(Table13[[#This Row],[Order Date]])/3,0)</f>
        <v>Q3</v>
      </c>
      <c r="P216" s="5">
        <f>Table13[[#This Row],[Profit]]/Table13[[#This Row],[Amount]]</f>
        <v>0.24377616215025336</v>
      </c>
      <c r="Q216" s="6">
        <f>Table13[[#This Row],[Amount]]/Table13[[#This Row],[Quantity]]</f>
        <v>605.20000000000005</v>
      </c>
    </row>
    <row r="217" spans="1:17" x14ac:dyDescent="0.3">
      <c r="A217" t="s">
        <v>285</v>
      </c>
      <c r="B217">
        <v>8586</v>
      </c>
      <c r="C217">
        <v>3826</v>
      </c>
      <c r="D217">
        <v>7</v>
      </c>
      <c r="E217" t="s">
        <v>45</v>
      </c>
      <c r="F217" t="s">
        <v>109</v>
      </c>
      <c r="G217" t="s">
        <v>15</v>
      </c>
      <c r="H217" s="1">
        <v>44186</v>
      </c>
      <c r="I217" t="s">
        <v>286</v>
      </c>
      <c r="J217" t="s">
        <v>17</v>
      </c>
      <c r="K217" t="s">
        <v>18</v>
      </c>
      <c r="L217" s="2" t="s">
        <v>287</v>
      </c>
      <c r="M217" t="str">
        <f>TEXT(Table13[[#This Row],[Order Date]],"MMM")</f>
        <v>Dec</v>
      </c>
      <c r="N217">
        <f>YEAR(Table13[[#This Row],[Order Date]])</f>
        <v>2020</v>
      </c>
      <c r="O217" t="str">
        <f>"Q"&amp;ROUNDUP(MONTH(Table13[[#This Row],[Order Date]])/3,0)</f>
        <v>Q4</v>
      </c>
      <c r="P217" s="5">
        <f>Table13[[#This Row],[Profit]]/Table13[[#This Row],[Amount]]</f>
        <v>0.44560913114372236</v>
      </c>
      <c r="Q217" s="6">
        <f>Table13[[#This Row],[Amount]]/Table13[[#This Row],[Quantity]]</f>
        <v>1226.5714285714287</v>
      </c>
    </row>
    <row r="218" spans="1:17" x14ac:dyDescent="0.3">
      <c r="A218" t="s">
        <v>285</v>
      </c>
      <c r="B218">
        <v>8586</v>
      </c>
      <c r="C218">
        <v>3826</v>
      </c>
      <c r="D218">
        <v>7</v>
      </c>
      <c r="E218" t="s">
        <v>45</v>
      </c>
      <c r="F218" t="s">
        <v>109</v>
      </c>
      <c r="G218" t="s">
        <v>15</v>
      </c>
      <c r="H218" s="1">
        <v>45114</v>
      </c>
      <c r="I218" t="s">
        <v>288</v>
      </c>
      <c r="J218" t="s">
        <v>17</v>
      </c>
      <c r="K218" t="s">
        <v>150</v>
      </c>
      <c r="L218" s="2" t="s">
        <v>105</v>
      </c>
      <c r="M218" t="str">
        <f>TEXT(Table13[[#This Row],[Order Date]],"MMM")</f>
        <v>Jul</v>
      </c>
      <c r="N218">
        <f>YEAR(Table13[[#This Row],[Order Date]])</f>
        <v>2023</v>
      </c>
      <c r="O218" t="str">
        <f>"Q"&amp;ROUNDUP(MONTH(Table13[[#This Row],[Order Date]])/3,0)</f>
        <v>Q3</v>
      </c>
      <c r="P218" s="5">
        <f>Table13[[#This Row],[Profit]]/Table13[[#This Row],[Amount]]</f>
        <v>0.44560913114372236</v>
      </c>
      <c r="Q218" s="6">
        <f>Table13[[#This Row],[Amount]]/Table13[[#This Row],[Quantity]]</f>
        <v>1226.5714285714287</v>
      </c>
    </row>
    <row r="219" spans="1:17" x14ac:dyDescent="0.3">
      <c r="A219" t="s">
        <v>289</v>
      </c>
      <c r="B219">
        <v>5047</v>
      </c>
      <c r="C219">
        <v>2211</v>
      </c>
      <c r="D219">
        <v>13</v>
      </c>
      <c r="E219" t="s">
        <v>45</v>
      </c>
      <c r="F219" t="s">
        <v>60</v>
      </c>
      <c r="G219" t="s">
        <v>40</v>
      </c>
      <c r="H219" s="1">
        <v>45151</v>
      </c>
      <c r="I219" t="s">
        <v>290</v>
      </c>
      <c r="J219" t="s">
        <v>42</v>
      </c>
      <c r="K219" t="s">
        <v>92</v>
      </c>
      <c r="L219" s="2" t="s">
        <v>121</v>
      </c>
      <c r="M219" t="str">
        <f>TEXT(Table13[[#This Row],[Order Date]],"MMM")</f>
        <v>Aug</v>
      </c>
      <c r="N219">
        <f>YEAR(Table13[[#This Row],[Order Date]])</f>
        <v>2023</v>
      </c>
      <c r="O219" t="str">
        <f>"Q"&amp;ROUNDUP(MONTH(Table13[[#This Row],[Order Date]])/3,0)</f>
        <v>Q3</v>
      </c>
      <c r="P219" s="5">
        <f>Table13[[#This Row],[Profit]]/Table13[[#This Row],[Amount]]</f>
        <v>0.43808202892807607</v>
      </c>
      <c r="Q219" s="6">
        <f>Table13[[#This Row],[Amount]]/Table13[[#This Row],[Quantity]]</f>
        <v>388.23076923076923</v>
      </c>
    </row>
    <row r="220" spans="1:17" x14ac:dyDescent="0.3">
      <c r="A220" t="s">
        <v>289</v>
      </c>
      <c r="B220">
        <v>5047</v>
      </c>
      <c r="C220">
        <v>2211</v>
      </c>
      <c r="D220">
        <v>13</v>
      </c>
      <c r="E220" t="s">
        <v>45</v>
      </c>
      <c r="F220" t="s">
        <v>60</v>
      </c>
      <c r="G220" t="s">
        <v>40</v>
      </c>
      <c r="H220" s="1">
        <v>44231</v>
      </c>
      <c r="I220" t="s">
        <v>291</v>
      </c>
      <c r="J220" t="s">
        <v>21</v>
      </c>
      <c r="K220" t="s">
        <v>22</v>
      </c>
      <c r="L220" s="2" t="s">
        <v>292</v>
      </c>
      <c r="M220" t="str">
        <f>TEXT(Table13[[#This Row],[Order Date]],"MMM")</f>
        <v>Feb</v>
      </c>
      <c r="N220">
        <f>YEAR(Table13[[#This Row],[Order Date]])</f>
        <v>2021</v>
      </c>
      <c r="O220" t="str">
        <f>"Q"&amp;ROUNDUP(MONTH(Table13[[#This Row],[Order Date]])/3,0)</f>
        <v>Q1</v>
      </c>
      <c r="P220" s="5">
        <f>Table13[[#This Row],[Profit]]/Table13[[#This Row],[Amount]]</f>
        <v>0.43808202892807607</v>
      </c>
      <c r="Q220" s="6">
        <f>Table13[[#This Row],[Amount]]/Table13[[#This Row],[Quantity]]</f>
        <v>388.23076923076923</v>
      </c>
    </row>
    <row r="221" spans="1:17" x14ac:dyDescent="0.3">
      <c r="A221" t="s">
        <v>289</v>
      </c>
      <c r="B221">
        <v>5047</v>
      </c>
      <c r="C221">
        <v>2211</v>
      </c>
      <c r="D221">
        <v>13</v>
      </c>
      <c r="E221" t="s">
        <v>45</v>
      </c>
      <c r="F221" t="s">
        <v>60</v>
      </c>
      <c r="G221" t="s">
        <v>40</v>
      </c>
      <c r="H221" s="1">
        <v>44820</v>
      </c>
      <c r="I221" t="s">
        <v>293</v>
      </c>
      <c r="J221" t="s">
        <v>21</v>
      </c>
      <c r="K221" t="s">
        <v>172</v>
      </c>
      <c r="L221" s="2" t="s">
        <v>131</v>
      </c>
      <c r="M221" t="str">
        <f>TEXT(Table13[[#This Row],[Order Date]],"MMM")</f>
        <v>Sep</v>
      </c>
      <c r="N221">
        <f>YEAR(Table13[[#This Row],[Order Date]])</f>
        <v>2022</v>
      </c>
      <c r="O221" t="str">
        <f>"Q"&amp;ROUNDUP(MONTH(Table13[[#This Row],[Order Date]])/3,0)</f>
        <v>Q3</v>
      </c>
      <c r="P221" s="5">
        <f>Table13[[#This Row],[Profit]]/Table13[[#This Row],[Amount]]</f>
        <v>0.43808202892807607</v>
      </c>
      <c r="Q221" s="6">
        <f>Table13[[#This Row],[Amount]]/Table13[[#This Row],[Quantity]]</f>
        <v>388.23076923076923</v>
      </c>
    </row>
    <row r="222" spans="1:17" x14ac:dyDescent="0.3">
      <c r="A222" t="s">
        <v>289</v>
      </c>
      <c r="B222">
        <v>5047</v>
      </c>
      <c r="C222">
        <v>2211</v>
      </c>
      <c r="D222">
        <v>13</v>
      </c>
      <c r="E222" t="s">
        <v>45</v>
      </c>
      <c r="F222" t="s">
        <v>60</v>
      </c>
      <c r="G222" t="s">
        <v>40</v>
      </c>
      <c r="H222" s="1">
        <v>44687</v>
      </c>
      <c r="I222" t="s">
        <v>294</v>
      </c>
      <c r="J222" t="s">
        <v>25</v>
      </c>
      <c r="K222" t="s">
        <v>26</v>
      </c>
      <c r="L222" s="2" t="s">
        <v>180</v>
      </c>
      <c r="M222" t="str">
        <f>TEXT(Table13[[#This Row],[Order Date]],"MMM")</f>
        <v>May</v>
      </c>
      <c r="N222">
        <f>YEAR(Table13[[#This Row],[Order Date]])</f>
        <v>2022</v>
      </c>
      <c r="O222" t="str">
        <f>"Q"&amp;ROUNDUP(MONTH(Table13[[#This Row],[Order Date]])/3,0)</f>
        <v>Q2</v>
      </c>
      <c r="P222" s="5">
        <f>Table13[[#This Row],[Profit]]/Table13[[#This Row],[Amount]]</f>
        <v>0.43808202892807607</v>
      </c>
      <c r="Q222" s="6">
        <f>Table13[[#This Row],[Amount]]/Table13[[#This Row],[Quantity]]</f>
        <v>388.23076923076923</v>
      </c>
    </row>
    <row r="223" spans="1:17" x14ac:dyDescent="0.3">
      <c r="A223" t="s">
        <v>295</v>
      </c>
      <c r="B223">
        <v>3657</v>
      </c>
      <c r="C223">
        <v>163</v>
      </c>
      <c r="D223">
        <v>1</v>
      </c>
      <c r="E223" t="s">
        <v>45</v>
      </c>
      <c r="F223" t="s">
        <v>60</v>
      </c>
      <c r="G223" t="s">
        <v>15</v>
      </c>
      <c r="H223" s="1">
        <v>44344</v>
      </c>
      <c r="I223" t="s">
        <v>296</v>
      </c>
      <c r="J223" t="s">
        <v>42</v>
      </c>
      <c r="K223" t="s">
        <v>92</v>
      </c>
      <c r="L223" s="2" t="s">
        <v>108</v>
      </c>
      <c r="M223" t="str">
        <f>TEXT(Table13[[#This Row],[Order Date]],"MMM")</f>
        <v>May</v>
      </c>
      <c r="N223">
        <f>YEAR(Table13[[#This Row],[Order Date]])</f>
        <v>2021</v>
      </c>
      <c r="O223" t="str">
        <f>"Q"&amp;ROUNDUP(MONTH(Table13[[#This Row],[Order Date]])/3,0)</f>
        <v>Q2</v>
      </c>
      <c r="P223" s="5">
        <f>Table13[[#This Row],[Profit]]/Table13[[#This Row],[Amount]]</f>
        <v>4.457205359584359E-2</v>
      </c>
      <c r="Q223" s="6">
        <f>Table13[[#This Row],[Amount]]/Table13[[#This Row],[Quantity]]</f>
        <v>3657</v>
      </c>
    </row>
    <row r="224" spans="1:17" x14ac:dyDescent="0.3">
      <c r="A224" t="s">
        <v>297</v>
      </c>
      <c r="B224">
        <v>6471</v>
      </c>
      <c r="C224">
        <v>2842</v>
      </c>
      <c r="D224">
        <v>18</v>
      </c>
      <c r="E224" t="s">
        <v>13</v>
      </c>
      <c r="F224" t="s">
        <v>14</v>
      </c>
      <c r="G224" t="s">
        <v>15</v>
      </c>
      <c r="H224" s="1">
        <v>45491</v>
      </c>
      <c r="I224" t="s">
        <v>298</v>
      </c>
      <c r="J224" t="s">
        <v>21</v>
      </c>
      <c r="K224" t="s">
        <v>172</v>
      </c>
      <c r="L224" s="2" t="s">
        <v>215</v>
      </c>
      <c r="M224" t="str">
        <f>TEXT(Table13[[#This Row],[Order Date]],"MMM")</f>
        <v>Jul</v>
      </c>
      <c r="N224">
        <f>YEAR(Table13[[#This Row],[Order Date]])</f>
        <v>2024</v>
      </c>
      <c r="O224" t="str">
        <f>"Q"&amp;ROUNDUP(MONTH(Table13[[#This Row],[Order Date]])/3,0)</f>
        <v>Q3</v>
      </c>
      <c r="P224" s="5">
        <f>Table13[[#This Row],[Profit]]/Table13[[#This Row],[Amount]]</f>
        <v>0.43919023334878687</v>
      </c>
      <c r="Q224" s="6">
        <f>Table13[[#This Row],[Amount]]/Table13[[#This Row],[Quantity]]</f>
        <v>359.5</v>
      </c>
    </row>
    <row r="225" spans="1:17" x14ac:dyDescent="0.3">
      <c r="A225" t="s">
        <v>299</v>
      </c>
      <c r="B225">
        <v>949</v>
      </c>
      <c r="C225">
        <v>301</v>
      </c>
      <c r="D225">
        <v>9</v>
      </c>
      <c r="E225" t="s">
        <v>30</v>
      </c>
      <c r="F225" t="s">
        <v>78</v>
      </c>
      <c r="G225" t="s">
        <v>15</v>
      </c>
      <c r="H225" s="1">
        <v>45632</v>
      </c>
      <c r="I225" t="s">
        <v>300</v>
      </c>
      <c r="J225" t="s">
        <v>98</v>
      </c>
      <c r="K225" t="s">
        <v>117</v>
      </c>
      <c r="L225" s="2" t="s">
        <v>23</v>
      </c>
      <c r="M225" t="str">
        <f>TEXT(Table13[[#This Row],[Order Date]],"MMM")</f>
        <v>Dec</v>
      </c>
      <c r="N225">
        <f>YEAR(Table13[[#This Row],[Order Date]])</f>
        <v>2024</v>
      </c>
      <c r="O225" t="str">
        <f>"Q"&amp;ROUNDUP(MONTH(Table13[[#This Row],[Order Date]])/3,0)</f>
        <v>Q4</v>
      </c>
      <c r="P225" s="5">
        <f>Table13[[#This Row],[Profit]]/Table13[[#This Row],[Amount]]</f>
        <v>0.3171759747102213</v>
      </c>
      <c r="Q225" s="6">
        <f>Table13[[#This Row],[Amount]]/Table13[[#This Row],[Quantity]]</f>
        <v>105.44444444444444</v>
      </c>
    </row>
    <row r="226" spans="1:17" x14ac:dyDescent="0.3">
      <c r="A226" t="s">
        <v>299</v>
      </c>
      <c r="B226">
        <v>6823</v>
      </c>
      <c r="C226">
        <v>771</v>
      </c>
      <c r="D226">
        <v>6</v>
      </c>
      <c r="E226" t="s">
        <v>30</v>
      </c>
      <c r="F226" t="s">
        <v>78</v>
      </c>
      <c r="G226" t="s">
        <v>40</v>
      </c>
      <c r="H226" s="1">
        <v>45632</v>
      </c>
      <c r="I226" t="s">
        <v>300</v>
      </c>
      <c r="J226" t="s">
        <v>98</v>
      </c>
      <c r="K226" t="s">
        <v>117</v>
      </c>
      <c r="L226" s="2" t="s">
        <v>23</v>
      </c>
      <c r="M226" t="str">
        <f>TEXT(Table13[[#This Row],[Order Date]],"MMM")</f>
        <v>Dec</v>
      </c>
      <c r="N226">
        <f>YEAR(Table13[[#This Row],[Order Date]])</f>
        <v>2024</v>
      </c>
      <c r="O226" t="str">
        <f>"Q"&amp;ROUNDUP(MONTH(Table13[[#This Row],[Order Date]])/3,0)</f>
        <v>Q4</v>
      </c>
      <c r="P226" s="5">
        <f>Table13[[#This Row],[Profit]]/Table13[[#This Row],[Amount]]</f>
        <v>0.11300014656309541</v>
      </c>
      <c r="Q226" s="6">
        <f>Table13[[#This Row],[Amount]]/Table13[[#This Row],[Quantity]]</f>
        <v>1137.1666666666667</v>
      </c>
    </row>
    <row r="227" spans="1:17" x14ac:dyDescent="0.3">
      <c r="A227" t="s">
        <v>299</v>
      </c>
      <c r="B227">
        <v>4364</v>
      </c>
      <c r="C227">
        <v>831</v>
      </c>
      <c r="D227">
        <v>2</v>
      </c>
      <c r="E227" t="s">
        <v>45</v>
      </c>
      <c r="F227" t="s">
        <v>46</v>
      </c>
      <c r="G227" t="s">
        <v>40</v>
      </c>
      <c r="H227" s="1">
        <v>45632</v>
      </c>
      <c r="I227" t="s">
        <v>300</v>
      </c>
      <c r="J227" t="s">
        <v>98</v>
      </c>
      <c r="K227" t="s">
        <v>117</v>
      </c>
      <c r="L227" s="2" t="s">
        <v>23</v>
      </c>
      <c r="M227" t="str">
        <f>TEXT(Table13[[#This Row],[Order Date]],"MMM")</f>
        <v>Dec</v>
      </c>
      <c r="N227">
        <f>YEAR(Table13[[#This Row],[Order Date]])</f>
        <v>2024</v>
      </c>
      <c r="O227" t="str">
        <f>"Q"&amp;ROUNDUP(MONTH(Table13[[#This Row],[Order Date]])/3,0)</f>
        <v>Q4</v>
      </c>
      <c r="P227" s="5">
        <f>Table13[[#This Row],[Profit]]/Table13[[#This Row],[Amount]]</f>
        <v>0.19042163153070576</v>
      </c>
      <c r="Q227" s="6">
        <f>Table13[[#This Row],[Amount]]/Table13[[#This Row],[Quantity]]</f>
        <v>2182</v>
      </c>
    </row>
    <row r="228" spans="1:17" x14ac:dyDescent="0.3">
      <c r="A228" t="s">
        <v>301</v>
      </c>
      <c r="B228">
        <v>6671</v>
      </c>
      <c r="C228">
        <v>2797</v>
      </c>
      <c r="D228">
        <v>10</v>
      </c>
      <c r="E228" t="s">
        <v>13</v>
      </c>
      <c r="F228" t="s">
        <v>82</v>
      </c>
      <c r="G228" t="s">
        <v>15</v>
      </c>
      <c r="H228" s="1">
        <v>44907</v>
      </c>
      <c r="I228" t="s">
        <v>302</v>
      </c>
      <c r="J228" t="s">
        <v>21</v>
      </c>
      <c r="K228" t="s">
        <v>172</v>
      </c>
      <c r="L228" s="2" t="s">
        <v>152</v>
      </c>
      <c r="M228" t="str">
        <f>TEXT(Table13[[#This Row],[Order Date]],"MMM")</f>
        <v>Dec</v>
      </c>
      <c r="N228">
        <f>YEAR(Table13[[#This Row],[Order Date]])</f>
        <v>2022</v>
      </c>
      <c r="O228" t="str">
        <f>"Q"&amp;ROUNDUP(MONTH(Table13[[#This Row],[Order Date]])/3,0)</f>
        <v>Q4</v>
      </c>
      <c r="P228" s="5">
        <f>Table13[[#This Row],[Profit]]/Table13[[#This Row],[Amount]]</f>
        <v>0.41927746964473095</v>
      </c>
      <c r="Q228" s="6">
        <f>Table13[[#This Row],[Amount]]/Table13[[#This Row],[Quantity]]</f>
        <v>667.1</v>
      </c>
    </row>
    <row r="229" spans="1:17" x14ac:dyDescent="0.3">
      <c r="A229" t="s">
        <v>303</v>
      </c>
      <c r="B229">
        <v>7472</v>
      </c>
      <c r="C229">
        <v>1037</v>
      </c>
      <c r="D229">
        <v>3</v>
      </c>
      <c r="E229" t="s">
        <v>30</v>
      </c>
      <c r="F229" t="s">
        <v>64</v>
      </c>
      <c r="G229" t="s">
        <v>65</v>
      </c>
      <c r="H229" s="1">
        <v>44854</v>
      </c>
      <c r="I229" t="s">
        <v>304</v>
      </c>
      <c r="J229" t="s">
        <v>21</v>
      </c>
      <c r="K229" t="s">
        <v>63</v>
      </c>
      <c r="L229" s="2" t="s">
        <v>96</v>
      </c>
      <c r="M229" t="str">
        <f>TEXT(Table13[[#This Row],[Order Date]],"MMM")</f>
        <v>Oct</v>
      </c>
      <c r="N229">
        <f>YEAR(Table13[[#This Row],[Order Date]])</f>
        <v>2022</v>
      </c>
      <c r="O229" t="str">
        <f>"Q"&amp;ROUNDUP(MONTH(Table13[[#This Row],[Order Date]])/3,0)</f>
        <v>Q4</v>
      </c>
      <c r="P229" s="5">
        <f>Table13[[#This Row],[Profit]]/Table13[[#This Row],[Amount]]</f>
        <v>0.1387847965738758</v>
      </c>
      <c r="Q229" s="6">
        <f>Table13[[#This Row],[Amount]]/Table13[[#This Row],[Quantity]]</f>
        <v>2490.6666666666665</v>
      </c>
    </row>
    <row r="230" spans="1:17" x14ac:dyDescent="0.3">
      <c r="A230" t="s">
        <v>303</v>
      </c>
      <c r="B230">
        <v>9548</v>
      </c>
      <c r="C230">
        <v>1806</v>
      </c>
      <c r="D230">
        <v>9</v>
      </c>
      <c r="E230" t="s">
        <v>13</v>
      </c>
      <c r="F230" t="s">
        <v>28</v>
      </c>
      <c r="G230" t="s">
        <v>65</v>
      </c>
      <c r="H230" s="1">
        <v>44854</v>
      </c>
      <c r="I230" t="s">
        <v>304</v>
      </c>
      <c r="J230" t="s">
        <v>21</v>
      </c>
      <c r="K230" t="s">
        <v>63</v>
      </c>
      <c r="L230" s="2" t="s">
        <v>96</v>
      </c>
      <c r="M230" t="str">
        <f>TEXT(Table13[[#This Row],[Order Date]],"MMM")</f>
        <v>Oct</v>
      </c>
      <c r="N230">
        <f>YEAR(Table13[[#This Row],[Order Date]])</f>
        <v>2022</v>
      </c>
      <c r="O230" t="str">
        <f>"Q"&amp;ROUNDUP(MONTH(Table13[[#This Row],[Order Date]])/3,0)</f>
        <v>Q4</v>
      </c>
      <c r="P230" s="5">
        <f>Table13[[#This Row],[Profit]]/Table13[[#This Row],[Amount]]</f>
        <v>0.18914956011730205</v>
      </c>
      <c r="Q230" s="6">
        <f>Table13[[#This Row],[Amount]]/Table13[[#This Row],[Quantity]]</f>
        <v>1060.8888888888889</v>
      </c>
    </row>
    <row r="231" spans="1:17" x14ac:dyDescent="0.3">
      <c r="A231" t="s">
        <v>305</v>
      </c>
      <c r="B231">
        <v>7759</v>
      </c>
      <c r="C231">
        <v>3741</v>
      </c>
      <c r="D231">
        <v>17</v>
      </c>
      <c r="E231" t="s">
        <v>13</v>
      </c>
      <c r="F231" t="s">
        <v>28</v>
      </c>
      <c r="G231" t="s">
        <v>15</v>
      </c>
      <c r="H231" s="1">
        <v>44279</v>
      </c>
      <c r="I231" t="s">
        <v>306</v>
      </c>
      <c r="J231" t="s">
        <v>17</v>
      </c>
      <c r="K231" t="s">
        <v>18</v>
      </c>
      <c r="L231" s="2" t="s">
        <v>167</v>
      </c>
      <c r="M231" t="str">
        <f>TEXT(Table13[[#This Row],[Order Date]],"MMM")</f>
        <v>Mar</v>
      </c>
      <c r="N231">
        <f>YEAR(Table13[[#This Row],[Order Date]])</f>
        <v>2021</v>
      </c>
      <c r="O231" t="str">
        <f>"Q"&amp;ROUNDUP(MONTH(Table13[[#This Row],[Order Date]])/3,0)</f>
        <v>Q1</v>
      </c>
      <c r="P231" s="5">
        <f>Table13[[#This Row],[Profit]]/Table13[[#This Row],[Amount]]</f>
        <v>0.48214976156721229</v>
      </c>
      <c r="Q231" s="6">
        <f>Table13[[#This Row],[Amount]]/Table13[[#This Row],[Quantity]]</f>
        <v>456.41176470588238</v>
      </c>
    </row>
    <row r="232" spans="1:17" x14ac:dyDescent="0.3">
      <c r="A232" t="s">
        <v>305</v>
      </c>
      <c r="B232">
        <v>7759</v>
      </c>
      <c r="C232">
        <v>3741</v>
      </c>
      <c r="D232">
        <v>17</v>
      </c>
      <c r="E232" t="s">
        <v>13</v>
      </c>
      <c r="F232" t="s">
        <v>28</v>
      </c>
      <c r="G232" t="s">
        <v>15</v>
      </c>
      <c r="H232" s="1">
        <v>45663</v>
      </c>
      <c r="I232" t="s">
        <v>307</v>
      </c>
      <c r="J232" t="s">
        <v>71</v>
      </c>
      <c r="K232" t="s">
        <v>72</v>
      </c>
      <c r="L232" s="2" t="s">
        <v>308</v>
      </c>
      <c r="M232" t="str">
        <f>TEXT(Table13[[#This Row],[Order Date]],"MMM")</f>
        <v>Jan</v>
      </c>
      <c r="N232">
        <f>YEAR(Table13[[#This Row],[Order Date]])</f>
        <v>2025</v>
      </c>
      <c r="O232" t="str">
        <f>"Q"&amp;ROUNDUP(MONTH(Table13[[#This Row],[Order Date]])/3,0)</f>
        <v>Q1</v>
      </c>
      <c r="P232" s="5">
        <f>Table13[[#This Row],[Profit]]/Table13[[#This Row],[Amount]]</f>
        <v>0.48214976156721229</v>
      </c>
      <c r="Q232" s="6">
        <f>Table13[[#This Row],[Amount]]/Table13[[#This Row],[Quantity]]</f>
        <v>456.41176470588238</v>
      </c>
    </row>
    <row r="233" spans="1:17" x14ac:dyDescent="0.3">
      <c r="A233" t="s">
        <v>305</v>
      </c>
      <c r="B233">
        <v>7521</v>
      </c>
      <c r="C233">
        <v>3457</v>
      </c>
      <c r="D233">
        <v>16</v>
      </c>
      <c r="E233" t="s">
        <v>30</v>
      </c>
      <c r="F233" t="s">
        <v>57</v>
      </c>
      <c r="G233" t="s">
        <v>32</v>
      </c>
      <c r="H233" s="1">
        <v>44279</v>
      </c>
      <c r="I233" t="s">
        <v>306</v>
      </c>
      <c r="J233" t="s">
        <v>17</v>
      </c>
      <c r="K233" t="s">
        <v>18</v>
      </c>
      <c r="L233" s="2" t="s">
        <v>167</v>
      </c>
      <c r="M233" t="str">
        <f>TEXT(Table13[[#This Row],[Order Date]],"MMM")</f>
        <v>Mar</v>
      </c>
      <c r="N233">
        <f>YEAR(Table13[[#This Row],[Order Date]])</f>
        <v>2021</v>
      </c>
      <c r="O233" t="str">
        <f>"Q"&amp;ROUNDUP(MONTH(Table13[[#This Row],[Order Date]])/3,0)</f>
        <v>Q1</v>
      </c>
      <c r="P233" s="5">
        <f>Table13[[#This Row],[Profit]]/Table13[[#This Row],[Amount]]</f>
        <v>0.45964632362717722</v>
      </c>
      <c r="Q233" s="6">
        <f>Table13[[#This Row],[Amount]]/Table13[[#This Row],[Quantity]]</f>
        <v>470.0625</v>
      </c>
    </row>
    <row r="234" spans="1:17" x14ac:dyDescent="0.3">
      <c r="A234" t="s">
        <v>305</v>
      </c>
      <c r="B234">
        <v>7521</v>
      </c>
      <c r="C234">
        <v>3457</v>
      </c>
      <c r="D234">
        <v>16</v>
      </c>
      <c r="E234" t="s">
        <v>30</v>
      </c>
      <c r="F234" t="s">
        <v>57</v>
      </c>
      <c r="G234" t="s">
        <v>32</v>
      </c>
      <c r="H234" s="1">
        <v>45663</v>
      </c>
      <c r="I234" t="s">
        <v>307</v>
      </c>
      <c r="J234" t="s">
        <v>71</v>
      </c>
      <c r="K234" t="s">
        <v>72</v>
      </c>
      <c r="L234" s="2" t="s">
        <v>308</v>
      </c>
      <c r="M234" t="str">
        <f>TEXT(Table13[[#This Row],[Order Date]],"MMM")</f>
        <v>Jan</v>
      </c>
      <c r="N234">
        <f>YEAR(Table13[[#This Row],[Order Date]])</f>
        <v>2025</v>
      </c>
      <c r="O234" t="str">
        <f>"Q"&amp;ROUNDUP(MONTH(Table13[[#This Row],[Order Date]])/3,0)</f>
        <v>Q1</v>
      </c>
      <c r="P234" s="5">
        <f>Table13[[#This Row],[Profit]]/Table13[[#This Row],[Amount]]</f>
        <v>0.45964632362717722</v>
      </c>
      <c r="Q234" s="6">
        <f>Table13[[#This Row],[Amount]]/Table13[[#This Row],[Quantity]]</f>
        <v>470.0625</v>
      </c>
    </row>
    <row r="235" spans="1:17" x14ac:dyDescent="0.3">
      <c r="A235" t="s">
        <v>309</v>
      </c>
      <c r="B235">
        <v>9704</v>
      </c>
      <c r="C235">
        <v>4339</v>
      </c>
      <c r="D235">
        <v>12</v>
      </c>
      <c r="E235" t="s">
        <v>30</v>
      </c>
      <c r="F235" t="s">
        <v>31</v>
      </c>
      <c r="G235" t="s">
        <v>65</v>
      </c>
      <c r="H235" s="1">
        <v>44261</v>
      </c>
      <c r="I235" t="s">
        <v>310</v>
      </c>
      <c r="J235" t="s">
        <v>71</v>
      </c>
      <c r="K235" t="s">
        <v>138</v>
      </c>
      <c r="L235" s="2" t="s">
        <v>167</v>
      </c>
      <c r="M235" t="str">
        <f>TEXT(Table13[[#This Row],[Order Date]],"MMM")</f>
        <v>Mar</v>
      </c>
      <c r="N235">
        <f>YEAR(Table13[[#This Row],[Order Date]])</f>
        <v>2021</v>
      </c>
      <c r="O235" t="str">
        <f>"Q"&amp;ROUNDUP(MONTH(Table13[[#This Row],[Order Date]])/3,0)</f>
        <v>Q1</v>
      </c>
      <c r="P235" s="5">
        <f>Table13[[#This Row],[Profit]]/Table13[[#This Row],[Amount]]</f>
        <v>0.44713520197856554</v>
      </c>
      <c r="Q235" s="6">
        <f>Table13[[#This Row],[Amount]]/Table13[[#This Row],[Quantity]]</f>
        <v>808.66666666666663</v>
      </c>
    </row>
    <row r="236" spans="1:17" x14ac:dyDescent="0.3">
      <c r="A236" t="s">
        <v>309</v>
      </c>
      <c r="B236">
        <v>4948</v>
      </c>
      <c r="C236">
        <v>2356</v>
      </c>
      <c r="D236">
        <v>18</v>
      </c>
      <c r="E236" t="s">
        <v>13</v>
      </c>
      <c r="F236" t="s">
        <v>28</v>
      </c>
      <c r="G236" t="s">
        <v>32</v>
      </c>
      <c r="H236" s="1">
        <v>44261</v>
      </c>
      <c r="I236" t="s">
        <v>310</v>
      </c>
      <c r="J236" t="s">
        <v>71</v>
      </c>
      <c r="K236" t="s">
        <v>138</v>
      </c>
      <c r="L236" s="2" t="s">
        <v>167</v>
      </c>
      <c r="M236" t="str">
        <f>TEXT(Table13[[#This Row],[Order Date]],"MMM")</f>
        <v>Mar</v>
      </c>
      <c r="N236">
        <f>YEAR(Table13[[#This Row],[Order Date]])</f>
        <v>2021</v>
      </c>
      <c r="O236" t="str">
        <f>"Q"&amp;ROUNDUP(MONTH(Table13[[#This Row],[Order Date]])/3,0)</f>
        <v>Q1</v>
      </c>
      <c r="P236" s="5">
        <f>Table13[[#This Row],[Profit]]/Table13[[#This Row],[Amount]]</f>
        <v>0.4761519805982215</v>
      </c>
      <c r="Q236" s="6">
        <f>Table13[[#This Row],[Amount]]/Table13[[#This Row],[Quantity]]</f>
        <v>274.88888888888891</v>
      </c>
    </row>
    <row r="237" spans="1:17" x14ac:dyDescent="0.3">
      <c r="A237" t="s">
        <v>309</v>
      </c>
      <c r="B237">
        <v>6435</v>
      </c>
      <c r="C237">
        <v>334</v>
      </c>
      <c r="D237">
        <v>10</v>
      </c>
      <c r="E237" t="s">
        <v>13</v>
      </c>
      <c r="F237" t="s">
        <v>14</v>
      </c>
      <c r="G237" t="s">
        <v>32</v>
      </c>
      <c r="H237" s="1">
        <v>44261</v>
      </c>
      <c r="I237" t="s">
        <v>310</v>
      </c>
      <c r="J237" t="s">
        <v>71</v>
      </c>
      <c r="K237" t="s">
        <v>138</v>
      </c>
      <c r="L237" s="2" t="s">
        <v>167</v>
      </c>
      <c r="M237" t="str">
        <f>TEXT(Table13[[#This Row],[Order Date]],"MMM")</f>
        <v>Mar</v>
      </c>
      <c r="N237">
        <f>YEAR(Table13[[#This Row],[Order Date]])</f>
        <v>2021</v>
      </c>
      <c r="O237" t="str">
        <f>"Q"&amp;ROUNDUP(MONTH(Table13[[#This Row],[Order Date]])/3,0)</f>
        <v>Q1</v>
      </c>
      <c r="P237" s="5">
        <f>Table13[[#This Row],[Profit]]/Table13[[#This Row],[Amount]]</f>
        <v>5.1903651903651905E-2</v>
      </c>
      <c r="Q237" s="6">
        <f>Table13[[#This Row],[Amount]]/Table13[[#This Row],[Quantity]]</f>
        <v>643.5</v>
      </c>
    </row>
    <row r="238" spans="1:17" x14ac:dyDescent="0.3">
      <c r="A238" t="s">
        <v>311</v>
      </c>
      <c r="B238">
        <v>9965</v>
      </c>
      <c r="C238">
        <v>3033</v>
      </c>
      <c r="D238">
        <v>16</v>
      </c>
      <c r="E238" t="s">
        <v>30</v>
      </c>
      <c r="F238" t="s">
        <v>57</v>
      </c>
      <c r="G238" t="s">
        <v>65</v>
      </c>
      <c r="H238" s="1">
        <v>43999</v>
      </c>
      <c r="I238" t="s">
        <v>312</v>
      </c>
      <c r="J238" t="s">
        <v>42</v>
      </c>
      <c r="K238" t="s">
        <v>92</v>
      </c>
      <c r="L238" s="2" t="s">
        <v>313</v>
      </c>
      <c r="M238" t="str">
        <f>TEXT(Table13[[#This Row],[Order Date]],"MMM")</f>
        <v>Jun</v>
      </c>
      <c r="N238">
        <f>YEAR(Table13[[#This Row],[Order Date]])</f>
        <v>2020</v>
      </c>
      <c r="O238" t="str">
        <f>"Q"&amp;ROUNDUP(MONTH(Table13[[#This Row],[Order Date]])/3,0)</f>
        <v>Q2</v>
      </c>
      <c r="P238" s="5">
        <f>Table13[[#This Row],[Profit]]/Table13[[#This Row],[Amount]]</f>
        <v>0.30436527847466133</v>
      </c>
      <c r="Q238" s="6">
        <f>Table13[[#This Row],[Amount]]/Table13[[#This Row],[Quantity]]</f>
        <v>622.8125</v>
      </c>
    </row>
    <row r="239" spans="1:17" x14ac:dyDescent="0.3">
      <c r="A239" t="s">
        <v>311</v>
      </c>
      <c r="B239">
        <v>9965</v>
      </c>
      <c r="C239">
        <v>3033</v>
      </c>
      <c r="D239">
        <v>16</v>
      </c>
      <c r="E239" t="s">
        <v>30</v>
      </c>
      <c r="F239" t="s">
        <v>57</v>
      </c>
      <c r="G239" t="s">
        <v>65</v>
      </c>
      <c r="H239" s="1">
        <v>45170</v>
      </c>
      <c r="I239" t="s">
        <v>314</v>
      </c>
      <c r="J239" t="s">
        <v>25</v>
      </c>
      <c r="K239" t="s">
        <v>26</v>
      </c>
      <c r="L239" s="2" t="s">
        <v>273</v>
      </c>
      <c r="M239" t="str">
        <f>TEXT(Table13[[#This Row],[Order Date]],"MMM")</f>
        <v>Sep</v>
      </c>
      <c r="N239">
        <f>YEAR(Table13[[#This Row],[Order Date]])</f>
        <v>2023</v>
      </c>
      <c r="O239" t="str">
        <f>"Q"&amp;ROUNDUP(MONTH(Table13[[#This Row],[Order Date]])/3,0)</f>
        <v>Q3</v>
      </c>
      <c r="P239" s="5">
        <f>Table13[[#This Row],[Profit]]/Table13[[#This Row],[Amount]]</f>
        <v>0.30436527847466133</v>
      </c>
      <c r="Q239" s="6">
        <f>Table13[[#This Row],[Amount]]/Table13[[#This Row],[Quantity]]</f>
        <v>622.8125</v>
      </c>
    </row>
    <row r="240" spans="1:17" x14ac:dyDescent="0.3">
      <c r="A240" t="s">
        <v>315</v>
      </c>
      <c r="B240">
        <v>1523</v>
      </c>
      <c r="C240">
        <v>234</v>
      </c>
      <c r="D240">
        <v>3</v>
      </c>
      <c r="E240" t="s">
        <v>45</v>
      </c>
      <c r="F240" t="s">
        <v>60</v>
      </c>
      <c r="G240" t="s">
        <v>15</v>
      </c>
      <c r="H240" s="1">
        <v>45085</v>
      </c>
      <c r="I240" t="s">
        <v>316</v>
      </c>
      <c r="J240" t="s">
        <v>25</v>
      </c>
      <c r="K240" t="s">
        <v>68</v>
      </c>
      <c r="L240" s="2" t="s">
        <v>19</v>
      </c>
      <c r="M240" t="str">
        <f>TEXT(Table13[[#This Row],[Order Date]],"MMM")</f>
        <v>Jun</v>
      </c>
      <c r="N240">
        <f>YEAR(Table13[[#This Row],[Order Date]])</f>
        <v>2023</v>
      </c>
      <c r="O240" t="str">
        <f>"Q"&amp;ROUNDUP(MONTH(Table13[[#This Row],[Order Date]])/3,0)</f>
        <v>Q2</v>
      </c>
      <c r="P240" s="5">
        <f>Table13[[#This Row],[Profit]]/Table13[[#This Row],[Amount]]</f>
        <v>0.15364412344057782</v>
      </c>
      <c r="Q240" s="6">
        <f>Table13[[#This Row],[Amount]]/Table13[[#This Row],[Quantity]]</f>
        <v>507.66666666666669</v>
      </c>
    </row>
    <row r="241" spans="1:17" x14ac:dyDescent="0.3">
      <c r="A241" t="s">
        <v>315</v>
      </c>
      <c r="B241">
        <v>9073</v>
      </c>
      <c r="C241">
        <v>424</v>
      </c>
      <c r="D241">
        <v>7</v>
      </c>
      <c r="E241" t="s">
        <v>13</v>
      </c>
      <c r="F241" t="s">
        <v>14</v>
      </c>
      <c r="G241" t="s">
        <v>32</v>
      </c>
      <c r="H241" s="1">
        <v>45085</v>
      </c>
      <c r="I241" t="s">
        <v>316</v>
      </c>
      <c r="J241" t="s">
        <v>25</v>
      </c>
      <c r="K241" t="s">
        <v>68</v>
      </c>
      <c r="L241" s="2" t="s">
        <v>19</v>
      </c>
      <c r="M241" t="str">
        <f>TEXT(Table13[[#This Row],[Order Date]],"MMM")</f>
        <v>Jun</v>
      </c>
      <c r="N241">
        <f>YEAR(Table13[[#This Row],[Order Date]])</f>
        <v>2023</v>
      </c>
      <c r="O241" t="str">
        <f>"Q"&amp;ROUNDUP(MONTH(Table13[[#This Row],[Order Date]])/3,0)</f>
        <v>Q2</v>
      </c>
      <c r="P241" s="5">
        <f>Table13[[#This Row],[Profit]]/Table13[[#This Row],[Amount]]</f>
        <v>4.6732062162460043E-2</v>
      </c>
      <c r="Q241" s="6">
        <f>Table13[[#This Row],[Amount]]/Table13[[#This Row],[Quantity]]</f>
        <v>1296.1428571428571</v>
      </c>
    </row>
    <row r="242" spans="1:17" x14ac:dyDescent="0.3">
      <c r="A242" t="s">
        <v>317</v>
      </c>
      <c r="B242">
        <v>6447</v>
      </c>
      <c r="C242">
        <v>3079</v>
      </c>
      <c r="D242">
        <v>20</v>
      </c>
      <c r="E242" t="s">
        <v>13</v>
      </c>
      <c r="F242" t="s">
        <v>39</v>
      </c>
      <c r="G242" t="s">
        <v>65</v>
      </c>
      <c r="H242" s="1">
        <v>44280</v>
      </c>
      <c r="I242" t="s">
        <v>318</v>
      </c>
      <c r="J242" t="s">
        <v>25</v>
      </c>
      <c r="K242" t="s">
        <v>68</v>
      </c>
      <c r="L242" s="2" t="s">
        <v>167</v>
      </c>
      <c r="M242" t="str">
        <f>TEXT(Table13[[#This Row],[Order Date]],"MMM")</f>
        <v>Mar</v>
      </c>
      <c r="N242">
        <f>YEAR(Table13[[#This Row],[Order Date]])</f>
        <v>2021</v>
      </c>
      <c r="O242" t="str">
        <f>"Q"&amp;ROUNDUP(MONTH(Table13[[#This Row],[Order Date]])/3,0)</f>
        <v>Q1</v>
      </c>
      <c r="P242" s="5">
        <f>Table13[[#This Row],[Profit]]/Table13[[#This Row],[Amount]]</f>
        <v>0.47758647432914536</v>
      </c>
      <c r="Q242" s="6">
        <f>Table13[[#This Row],[Amount]]/Table13[[#This Row],[Quantity]]</f>
        <v>322.35000000000002</v>
      </c>
    </row>
    <row r="243" spans="1:17" x14ac:dyDescent="0.3">
      <c r="A243" t="s">
        <v>317</v>
      </c>
      <c r="B243">
        <v>8947</v>
      </c>
      <c r="C243">
        <v>2807</v>
      </c>
      <c r="D243">
        <v>6</v>
      </c>
      <c r="E243" t="s">
        <v>13</v>
      </c>
      <c r="F243" t="s">
        <v>14</v>
      </c>
      <c r="G243" t="s">
        <v>47</v>
      </c>
      <c r="H243" s="1">
        <v>44280</v>
      </c>
      <c r="I243" t="s">
        <v>318</v>
      </c>
      <c r="J243" t="s">
        <v>25</v>
      </c>
      <c r="K243" t="s">
        <v>68</v>
      </c>
      <c r="L243" s="2" t="s">
        <v>167</v>
      </c>
      <c r="M243" t="str">
        <f>TEXT(Table13[[#This Row],[Order Date]],"MMM")</f>
        <v>Mar</v>
      </c>
      <c r="N243">
        <f>YEAR(Table13[[#This Row],[Order Date]])</f>
        <v>2021</v>
      </c>
      <c r="O243" t="str">
        <f>"Q"&amp;ROUNDUP(MONTH(Table13[[#This Row],[Order Date]])/3,0)</f>
        <v>Q1</v>
      </c>
      <c r="P243" s="5">
        <f>Table13[[#This Row],[Profit]]/Table13[[#This Row],[Amount]]</f>
        <v>0.31373644797138706</v>
      </c>
      <c r="Q243" s="6">
        <f>Table13[[#This Row],[Amount]]/Table13[[#This Row],[Quantity]]</f>
        <v>1491.1666666666667</v>
      </c>
    </row>
    <row r="244" spans="1:17" x14ac:dyDescent="0.3">
      <c r="A244" t="s">
        <v>319</v>
      </c>
      <c r="B244">
        <v>914</v>
      </c>
      <c r="C244">
        <v>400</v>
      </c>
      <c r="D244">
        <v>8</v>
      </c>
      <c r="E244" t="s">
        <v>30</v>
      </c>
      <c r="F244" t="s">
        <v>31</v>
      </c>
      <c r="G244" t="s">
        <v>32</v>
      </c>
      <c r="H244" s="1">
        <v>44199</v>
      </c>
      <c r="I244" t="s">
        <v>320</v>
      </c>
      <c r="J244" t="s">
        <v>42</v>
      </c>
      <c r="K244" t="s">
        <v>43</v>
      </c>
      <c r="L244" s="2" t="s">
        <v>276</v>
      </c>
      <c r="M244" t="str">
        <f>TEXT(Table13[[#This Row],[Order Date]],"MMM")</f>
        <v>Jan</v>
      </c>
      <c r="N244">
        <f>YEAR(Table13[[#This Row],[Order Date]])</f>
        <v>2021</v>
      </c>
      <c r="O244" t="str">
        <f>"Q"&amp;ROUNDUP(MONTH(Table13[[#This Row],[Order Date]])/3,0)</f>
        <v>Q1</v>
      </c>
      <c r="P244" s="5">
        <f>Table13[[#This Row],[Profit]]/Table13[[#This Row],[Amount]]</f>
        <v>0.43763676148796499</v>
      </c>
      <c r="Q244" s="6">
        <f>Table13[[#This Row],[Amount]]/Table13[[#This Row],[Quantity]]</f>
        <v>114.25</v>
      </c>
    </row>
    <row r="245" spans="1:17" x14ac:dyDescent="0.3">
      <c r="A245" t="s">
        <v>319</v>
      </c>
      <c r="B245">
        <v>1548</v>
      </c>
      <c r="C245">
        <v>666</v>
      </c>
      <c r="D245">
        <v>3</v>
      </c>
      <c r="E245" t="s">
        <v>30</v>
      </c>
      <c r="F245" t="s">
        <v>64</v>
      </c>
      <c r="G245" t="s">
        <v>47</v>
      </c>
      <c r="H245" s="1">
        <v>44199</v>
      </c>
      <c r="I245" t="s">
        <v>320</v>
      </c>
      <c r="J245" t="s">
        <v>42</v>
      </c>
      <c r="K245" t="s">
        <v>43</v>
      </c>
      <c r="L245" s="2" t="s">
        <v>276</v>
      </c>
      <c r="M245" t="str">
        <f>TEXT(Table13[[#This Row],[Order Date]],"MMM")</f>
        <v>Jan</v>
      </c>
      <c r="N245">
        <f>YEAR(Table13[[#This Row],[Order Date]])</f>
        <v>2021</v>
      </c>
      <c r="O245" t="str">
        <f>"Q"&amp;ROUNDUP(MONTH(Table13[[#This Row],[Order Date]])/3,0)</f>
        <v>Q1</v>
      </c>
      <c r="P245" s="5">
        <f>Table13[[#This Row],[Profit]]/Table13[[#This Row],[Amount]]</f>
        <v>0.43023255813953487</v>
      </c>
      <c r="Q245" s="6">
        <f>Table13[[#This Row],[Amount]]/Table13[[#This Row],[Quantity]]</f>
        <v>516</v>
      </c>
    </row>
    <row r="246" spans="1:17" x14ac:dyDescent="0.3">
      <c r="A246" t="s">
        <v>321</v>
      </c>
      <c r="B246">
        <v>2759</v>
      </c>
      <c r="C246">
        <v>1149</v>
      </c>
      <c r="D246">
        <v>6</v>
      </c>
      <c r="E246" t="s">
        <v>45</v>
      </c>
      <c r="F246" t="s">
        <v>46</v>
      </c>
      <c r="G246" t="s">
        <v>47</v>
      </c>
      <c r="H246" s="1">
        <v>45653</v>
      </c>
      <c r="I246" t="s">
        <v>322</v>
      </c>
      <c r="J246" t="s">
        <v>25</v>
      </c>
      <c r="K246" t="s">
        <v>51</v>
      </c>
      <c r="L246" s="2" t="s">
        <v>23</v>
      </c>
      <c r="M246" t="str">
        <f>TEXT(Table13[[#This Row],[Order Date]],"MMM")</f>
        <v>Dec</v>
      </c>
      <c r="N246">
        <f>YEAR(Table13[[#This Row],[Order Date]])</f>
        <v>2024</v>
      </c>
      <c r="O246" t="str">
        <f>"Q"&amp;ROUNDUP(MONTH(Table13[[#This Row],[Order Date]])/3,0)</f>
        <v>Q4</v>
      </c>
      <c r="P246" s="5">
        <f>Table13[[#This Row],[Profit]]/Table13[[#This Row],[Amount]]</f>
        <v>0.41645523740485685</v>
      </c>
      <c r="Q246" s="6">
        <f>Table13[[#This Row],[Amount]]/Table13[[#This Row],[Quantity]]</f>
        <v>459.83333333333331</v>
      </c>
    </row>
    <row r="247" spans="1:17" x14ac:dyDescent="0.3">
      <c r="A247" t="s">
        <v>323</v>
      </c>
      <c r="B247">
        <v>1341</v>
      </c>
      <c r="C247">
        <v>615</v>
      </c>
      <c r="D247">
        <v>4</v>
      </c>
      <c r="E247" t="s">
        <v>13</v>
      </c>
      <c r="F247" t="s">
        <v>39</v>
      </c>
      <c r="G247" t="s">
        <v>15</v>
      </c>
      <c r="H247" s="1">
        <v>44785</v>
      </c>
      <c r="I247" t="s">
        <v>324</v>
      </c>
      <c r="J247" t="s">
        <v>17</v>
      </c>
      <c r="K247" t="s">
        <v>34</v>
      </c>
      <c r="L247" s="2" t="s">
        <v>209</v>
      </c>
      <c r="M247" t="str">
        <f>TEXT(Table13[[#This Row],[Order Date]],"MMM")</f>
        <v>Aug</v>
      </c>
      <c r="N247">
        <f>YEAR(Table13[[#This Row],[Order Date]])</f>
        <v>2022</v>
      </c>
      <c r="O247" t="str">
        <f>"Q"&amp;ROUNDUP(MONTH(Table13[[#This Row],[Order Date]])/3,0)</f>
        <v>Q3</v>
      </c>
      <c r="P247" s="5">
        <f>Table13[[#This Row],[Profit]]/Table13[[#This Row],[Amount]]</f>
        <v>0.45861297539149887</v>
      </c>
      <c r="Q247" s="6">
        <f>Table13[[#This Row],[Amount]]/Table13[[#This Row],[Quantity]]</f>
        <v>335.25</v>
      </c>
    </row>
    <row r="248" spans="1:17" x14ac:dyDescent="0.3">
      <c r="A248" t="s">
        <v>325</v>
      </c>
      <c r="B248">
        <v>9851</v>
      </c>
      <c r="C248">
        <v>2669</v>
      </c>
      <c r="D248">
        <v>19</v>
      </c>
      <c r="E248" t="s">
        <v>13</v>
      </c>
      <c r="F248" t="s">
        <v>14</v>
      </c>
      <c r="G248" t="s">
        <v>32</v>
      </c>
      <c r="H248" s="1">
        <v>44648</v>
      </c>
      <c r="I248" t="s">
        <v>326</v>
      </c>
      <c r="J248" t="s">
        <v>98</v>
      </c>
      <c r="K248" t="s">
        <v>117</v>
      </c>
      <c r="L248" s="2" t="s">
        <v>134</v>
      </c>
      <c r="M248" t="str">
        <f>TEXT(Table13[[#This Row],[Order Date]],"MMM")</f>
        <v>Mar</v>
      </c>
      <c r="N248">
        <f>YEAR(Table13[[#This Row],[Order Date]])</f>
        <v>2022</v>
      </c>
      <c r="O248" t="str">
        <f>"Q"&amp;ROUNDUP(MONTH(Table13[[#This Row],[Order Date]])/3,0)</f>
        <v>Q1</v>
      </c>
      <c r="P248" s="5">
        <f>Table13[[#This Row],[Profit]]/Table13[[#This Row],[Amount]]</f>
        <v>0.27093696071464823</v>
      </c>
      <c r="Q248" s="6">
        <f>Table13[[#This Row],[Amount]]/Table13[[#This Row],[Quantity]]</f>
        <v>518.47368421052636</v>
      </c>
    </row>
    <row r="249" spans="1:17" x14ac:dyDescent="0.3">
      <c r="A249" t="s">
        <v>325</v>
      </c>
      <c r="B249">
        <v>9851</v>
      </c>
      <c r="C249">
        <v>2669</v>
      </c>
      <c r="D249">
        <v>19</v>
      </c>
      <c r="E249" t="s">
        <v>13</v>
      </c>
      <c r="F249" t="s">
        <v>14</v>
      </c>
      <c r="G249" t="s">
        <v>32</v>
      </c>
      <c r="H249" s="1">
        <v>45122</v>
      </c>
      <c r="I249" t="s">
        <v>327</v>
      </c>
      <c r="J249" t="s">
        <v>25</v>
      </c>
      <c r="K249" t="s">
        <v>26</v>
      </c>
      <c r="L249" s="2" t="s">
        <v>105</v>
      </c>
      <c r="M249" t="str">
        <f>TEXT(Table13[[#This Row],[Order Date]],"MMM")</f>
        <v>Jul</v>
      </c>
      <c r="N249">
        <f>YEAR(Table13[[#This Row],[Order Date]])</f>
        <v>2023</v>
      </c>
      <c r="O249" t="str">
        <f>"Q"&amp;ROUNDUP(MONTH(Table13[[#This Row],[Order Date]])/3,0)</f>
        <v>Q3</v>
      </c>
      <c r="P249" s="5">
        <f>Table13[[#This Row],[Profit]]/Table13[[#This Row],[Amount]]</f>
        <v>0.27093696071464823</v>
      </c>
      <c r="Q249" s="6">
        <f>Table13[[#This Row],[Amount]]/Table13[[#This Row],[Quantity]]</f>
        <v>518.47368421052636</v>
      </c>
    </row>
    <row r="250" spans="1:17" x14ac:dyDescent="0.3">
      <c r="A250" t="s">
        <v>325</v>
      </c>
      <c r="B250">
        <v>9851</v>
      </c>
      <c r="C250">
        <v>2669</v>
      </c>
      <c r="D250">
        <v>19</v>
      </c>
      <c r="E250" t="s">
        <v>13</v>
      </c>
      <c r="F250" t="s">
        <v>14</v>
      </c>
      <c r="G250" t="s">
        <v>32</v>
      </c>
      <c r="H250" s="1">
        <v>44826</v>
      </c>
      <c r="I250" t="s">
        <v>328</v>
      </c>
      <c r="J250" t="s">
        <v>17</v>
      </c>
      <c r="K250" t="s">
        <v>34</v>
      </c>
      <c r="L250" s="2" t="s">
        <v>131</v>
      </c>
      <c r="M250" t="str">
        <f>TEXT(Table13[[#This Row],[Order Date]],"MMM")</f>
        <v>Sep</v>
      </c>
      <c r="N250">
        <f>YEAR(Table13[[#This Row],[Order Date]])</f>
        <v>2022</v>
      </c>
      <c r="O250" t="str">
        <f>"Q"&amp;ROUNDUP(MONTH(Table13[[#This Row],[Order Date]])/3,0)</f>
        <v>Q3</v>
      </c>
      <c r="P250" s="5">
        <f>Table13[[#This Row],[Profit]]/Table13[[#This Row],[Amount]]</f>
        <v>0.27093696071464823</v>
      </c>
      <c r="Q250" s="6">
        <f>Table13[[#This Row],[Amount]]/Table13[[#This Row],[Quantity]]</f>
        <v>518.47368421052636</v>
      </c>
    </row>
    <row r="251" spans="1:17" x14ac:dyDescent="0.3">
      <c r="A251" t="s">
        <v>325</v>
      </c>
      <c r="B251">
        <v>9989</v>
      </c>
      <c r="C251">
        <v>3930</v>
      </c>
      <c r="D251">
        <v>14</v>
      </c>
      <c r="E251" t="s">
        <v>45</v>
      </c>
      <c r="F251" t="s">
        <v>46</v>
      </c>
      <c r="G251" t="s">
        <v>32</v>
      </c>
      <c r="H251" s="1">
        <v>44648</v>
      </c>
      <c r="I251" t="s">
        <v>326</v>
      </c>
      <c r="J251" t="s">
        <v>98</v>
      </c>
      <c r="K251" t="s">
        <v>117</v>
      </c>
      <c r="L251" s="2" t="s">
        <v>134</v>
      </c>
      <c r="M251" t="str">
        <f>TEXT(Table13[[#This Row],[Order Date]],"MMM")</f>
        <v>Mar</v>
      </c>
      <c r="N251">
        <f>YEAR(Table13[[#This Row],[Order Date]])</f>
        <v>2022</v>
      </c>
      <c r="O251" t="str">
        <f>"Q"&amp;ROUNDUP(MONTH(Table13[[#This Row],[Order Date]])/3,0)</f>
        <v>Q1</v>
      </c>
      <c r="P251" s="5">
        <f>Table13[[#This Row],[Profit]]/Table13[[#This Row],[Amount]]</f>
        <v>0.39343277605365901</v>
      </c>
      <c r="Q251" s="6">
        <f>Table13[[#This Row],[Amount]]/Table13[[#This Row],[Quantity]]</f>
        <v>713.5</v>
      </c>
    </row>
    <row r="252" spans="1:17" x14ac:dyDescent="0.3">
      <c r="A252" t="s">
        <v>325</v>
      </c>
      <c r="B252">
        <v>9989</v>
      </c>
      <c r="C252">
        <v>3930</v>
      </c>
      <c r="D252">
        <v>14</v>
      </c>
      <c r="E252" t="s">
        <v>45</v>
      </c>
      <c r="F252" t="s">
        <v>46</v>
      </c>
      <c r="G252" t="s">
        <v>32</v>
      </c>
      <c r="H252" s="1">
        <v>45122</v>
      </c>
      <c r="I252" t="s">
        <v>327</v>
      </c>
      <c r="J252" t="s">
        <v>25</v>
      </c>
      <c r="K252" t="s">
        <v>26</v>
      </c>
      <c r="L252" s="2" t="s">
        <v>105</v>
      </c>
      <c r="M252" t="str">
        <f>TEXT(Table13[[#This Row],[Order Date]],"MMM")</f>
        <v>Jul</v>
      </c>
      <c r="N252">
        <f>YEAR(Table13[[#This Row],[Order Date]])</f>
        <v>2023</v>
      </c>
      <c r="O252" t="str">
        <f>"Q"&amp;ROUNDUP(MONTH(Table13[[#This Row],[Order Date]])/3,0)</f>
        <v>Q3</v>
      </c>
      <c r="P252" s="5">
        <f>Table13[[#This Row],[Profit]]/Table13[[#This Row],[Amount]]</f>
        <v>0.39343277605365901</v>
      </c>
      <c r="Q252" s="6">
        <f>Table13[[#This Row],[Amount]]/Table13[[#This Row],[Quantity]]</f>
        <v>713.5</v>
      </c>
    </row>
    <row r="253" spans="1:17" x14ac:dyDescent="0.3">
      <c r="A253" t="s">
        <v>325</v>
      </c>
      <c r="B253">
        <v>9989</v>
      </c>
      <c r="C253">
        <v>3930</v>
      </c>
      <c r="D253">
        <v>14</v>
      </c>
      <c r="E253" t="s">
        <v>45</v>
      </c>
      <c r="F253" t="s">
        <v>46</v>
      </c>
      <c r="G253" t="s">
        <v>32</v>
      </c>
      <c r="H253" s="1">
        <v>44826</v>
      </c>
      <c r="I253" t="s">
        <v>328</v>
      </c>
      <c r="J253" t="s">
        <v>17</v>
      </c>
      <c r="K253" t="s">
        <v>34</v>
      </c>
      <c r="L253" s="2" t="s">
        <v>131</v>
      </c>
      <c r="M253" t="str">
        <f>TEXT(Table13[[#This Row],[Order Date]],"MMM")</f>
        <v>Sep</v>
      </c>
      <c r="N253">
        <f>YEAR(Table13[[#This Row],[Order Date]])</f>
        <v>2022</v>
      </c>
      <c r="O253" t="str">
        <f>"Q"&amp;ROUNDUP(MONTH(Table13[[#This Row],[Order Date]])/3,0)</f>
        <v>Q3</v>
      </c>
      <c r="P253" s="5">
        <f>Table13[[#This Row],[Profit]]/Table13[[#This Row],[Amount]]</f>
        <v>0.39343277605365901</v>
      </c>
      <c r="Q253" s="6">
        <f>Table13[[#This Row],[Amount]]/Table13[[#This Row],[Quantity]]</f>
        <v>713.5</v>
      </c>
    </row>
    <row r="254" spans="1:17" x14ac:dyDescent="0.3">
      <c r="A254" t="s">
        <v>329</v>
      </c>
      <c r="B254">
        <v>7421</v>
      </c>
      <c r="C254">
        <v>958</v>
      </c>
      <c r="D254">
        <v>10</v>
      </c>
      <c r="E254" t="s">
        <v>45</v>
      </c>
      <c r="F254" t="s">
        <v>46</v>
      </c>
      <c r="G254" t="s">
        <v>65</v>
      </c>
      <c r="H254" s="1">
        <v>44915</v>
      </c>
      <c r="I254" t="s">
        <v>330</v>
      </c>
      <c r="J254" t="s">
        <v>71</v>
      </c>
      <c r="K254" t="s">
        <v>138</v>
      </c>
      <c r="L254" s="2" t="s">
        <v>152</v>
      </c>
      <c r="M254" t="str">
        <f>TEXT(Table13[[#This Row],[Order Date]],"MMM")</f>
        <v>Dec</v>
      </c>
      <c r="N254">
        <f>YEAR(Table13[[#This Row],[Order Date]])</f>
        <v>2022</v>
      </c>
      <c r="O254" t="str">
        <f>"Q"&amp;ROUNDUP(MONTH(Table13[[#This Row],[Order Date]])/3,0)</f>
        <v>Q4</v>
      </c>
      <c r="P254" s="5">
        <f>Table13[[#This Row],[Profit]]/Table13[[#This Row],[Amount]]</f>
        <v>0.12909311413556124</v>
      </c>
      <c r="Q254" s="6">
        <f>Table13[[#This Row],[Amount]]/Table13[[#This Row],[Quantity]]</f>
        <v>742.1</v>
      </c>
    </row>
    <row r="255" spans="1:17" x14ac:dyDescent="0.3">
      <c r="A255" t="s">
        <v>329</v>
      </c>
      <c r="B255">
        <v>7421</v>
      </c>
      <c r="C255">
        <v>958</v>
      </c>
      <c r="D255">
        <v>10</v>
      </c>
      <c r="E255" t="s">
        <v>45</v>
      </c>
      <c r="F255" t="s">
        <v>46</v>
      </c>
      <c r="G255" t="s">
        <v>65</v>
      </c>
      <c r="H255" s="1">
        <v>44577</v>
      </c>
      <c r="I255" t="s">
        <v>331</v>
      </c>
      <c r="J255" t="s">
        <v>71</v>
      </c>
      <c r="K255" t="s">
        <v>138</v>
      </c>
      <c r="L255" s="2" t="s">
        <v>87</v>
      </c>
      <c r="M255" t="str">
        <f>TEXT(Table13[[#This Row],[Order Date]],"MMM")</f>
        <v>Jan</v>
      </c>
      <c r="N255">
        <f>YEAR(Table13[[#This Row],[Order Date]])</f>
        <v>2022</v>
      </c>
      <c r="O255" t="str">
        <f>"Q"&amp;ROUNDUP(MONTH(Table13[[#This Row],[Order Date]])/3,0)</f>
        <v>Q1</v>
      </c>
      <c r="P255" s="5">
        <f>Table13[[#This Row],[Profit]]/Table13[[#This Row],[Amount]]</f>
        <v>0.12909311413556124</v>
      </c>
      <c r="Q255" s="6">
        <f>Table13[[#This Row],[Amount]]/Table13[[#This Row],[Quantity]]</f>
        <v>742.1</v>
      </c>
    </row>
    <row r="256" spans="1:17" x14ac:dyDescent="0.3">
      <c r="A256" t="s">
        <v>329</v>
      </c>
      <c r="B256">
        <v>7421</v>
      </c>
      <c r="C256">
        <v>958</v>
      </c>
      <c r="D256">
        <v>10</v>
      </c>
      <c r="E256" t="s">
        <v>45</v>
      </c>
      <c r="F256" t="s">
        <v>46</v>
      </c>
      <c r="G256" t="s">
        <v>65</v>
      </c>
      <c r="H256" s="1">
        <v>44955</v>
      </c>
      <c r="I256" t="s">
        <v>332</v>
      </c>
      <c r="J256" t="s">
        <v>71</v>
      </c>
      <c r="K256" t="s">
        <v>72</v>
      </c>
      <c r="L256" s="2" t="s">
        <v>333</v>
      </c>
      <c r="M256" t="str">
        <f>TEXT(Table13[[#This Row],[Order Date]],"MMM")</f>
        <v>Jan</v>
      </c>
      <c r="N256">
        <f>YEAR(Table13[[#This Row],[Order Date]])</f>
        <v>2023</v>
      </c>
      <c r="O256" t="str">
        <f>"Q"&amp;ROUNDUP(MONTH(Table13[[#This Row],[Order Date]])/3,0)</f>
        <v>Q1</v>
      </c>
      <c r="P256" s="5">
        <f>Table13[[#This Row],[Profit]]/Table13[[#This Row],[Amount]]</f>
        <v>0.12909311413556124</v>
      </c>
      <c r="Q256" s="6">
        <f>Table13[[#This Row],[Amount]]/Table13[[#This Row],[Quantity]]</f>
        <v>742.1</v>
      </c>
    </row>
    <row r="257" spans="1:17" x14ac:dyDescent="0.3">
      <c r="A257" t="s">
        <v>334</v>
      </c>
      <c r="B257">
        <v>3099</v>
      </c>
      <c r="C257">
        <v>479</v>
      </c>
      <c r="D257">
        <v>1</v>
      </c>
      <c r="E257" t="s">
        <v>30</v>
      </c>
      <c r="F257" t="s">
        <v>64</v>
      </c>
      <c r="G257" t="s">
        <v>65</v>
      </c>
      <c r="H257" s="1">
        <v>44576</v>
      </c>
      <c r="I257" t="s">
        <v>335</v>
      </c>
      <c r="J257" t="s">
        <v>25</v>
      </c>
      <c r="K257" t="s">
        <v>26</v>
      </c>
      <c r="L257" s="2" t="s">
        <v>87</v>
      </c>
      <c r="M257" t="str">
        <f>TEXT(Table13[[#This Row],[Order Date]],"MMM")</f>
        <v>Jan</v>
      </c>
      <c r="N257">
        <f>YEAR(Table13[[#This Row],[Order Date]])</f>
        <v>2022</v>
      </c>
      <c r="O257" t="str">
        <f>"Q"&amp;ROUNDUP(MONTH(Table13[[#This Row],[Order Date]])/3,0)</f>
        <v>Q1</v>
      </c>
      <c r="P257" s="5">
        <f>Table13[[#This Row],[Profit]]/Table13[[#This Row],[Amount]]</f>
        <v>0.15456598902871893</v>
      </c>
      <c r="Q257" s="6">
        <f>Table13[[#This Row],[Amount]]/Table13[[#This Row],[Quantity]]</f>
        <v>3099</v>
      </c>
    </row>
    <row r="258" spans="1:17" x14ac:dyDescent="0.3">
      <c r="A258" t="s">
        <v>334</v>
      </c>
      <c r="B258">
        <v>2521</v>
      </c>
      <c r="C258">
        <v>906</v>
      </c>
      <c r="D258">
        <v>7</v>
      </c>
      <c r="E258" t="s">
        <v>13</v>
      </c>
      <c r="F258" t="s">
        <v>82</v>
      </c>
      <c r="G258" t="s">
        <v>65</v>
      </c>
      <c r="H258" s="1">
        <v>44576</v>
      </c>
      <c r="I258" t="s">
        <v>335</v>
      </c>
      <c r="J258" t="s">
        <v>25</v>
      </c>
      <c r="K258" t="s">
        <v>26</v>
      </c>
      <c r="L258" s="2" t="s">
        <v>87</v>
      </c>
      <c r="M258" t="str">
        <f>TEXT(Table13[[#This Row],[Order Date]],"MMM")</f>
        <v>Jan</v>
      </c>
      <c r="N258">
        <f>YEAR(Table13[[#This Row],[Order Date]])</f>
        <v>2022</v>
      </c>
      <c r="O258" t="str">
        <f>"Q"&amp;ROUNDUP(MONTH(Table13[[#This Row],[Order Date]])/3,0)</f>
        <v>Q1</v>
      </c>
      <c r="P258" s="5">
        <f>Table13[[#This Row],[Profit]]/Table13[[#This Row],[Amount]]</f>
        <v>0.35938119793732648</v>
      </c>
      <c r="Q258" s="6">
        <f>Table13[[#This Row],[Amount]]/Table13[[#This Row],[Quantity]]</f>
        <v>360.14285714285717</v>
      </c>
    </row>
    <row r="259" spans="1:17" x14ac:dyDescent="0.3">
      <c r="A259" t="s">
        <v>336</v>
      </c>
      <c r="B259">
        <v>6962</v>
      </c>
      <c r="C259">
        <v>3429</v>
      </c>
      <c r="D259">
        <v>12</v>
      </c>
      <c r="E259" t="s">
        <v>13</v>
      </c>
      <c r="F259" t="s">
        <v>14</v>
      </c>
      <c r="G259" t="s">
        <v>15</v>
      </c>
      <c r="H259" s="1">
        <v>45375</v>
      </c>
      <c r="I259" t="s">
        <v>337</v>
      </c>
      <c r="J259" t="s">
        <v>71</v>
      </c>
      <c r="K259" t="s">
        <v>72</v>
      </c>
      <c r="L259" s="2" t="s">
        <v>338</v>
      </c>
      <c r="M259" t="str">
        <f>TEXT(Table13[[#This Row],[Order Date]],"MMM")</f>
        <v>Mar</v>
      </c>
      <c r="N259">
        <f>YEAR(Table13[[#This Row],[Order Date]])</f>
        <v>2024</v>
      </c>
      <c r="O259" t="str">
        <f>"Q"&amp;ROUNDUP(MONTH(Table13[[#This Row],[Order Date]])/3,0)</f>
        <v>Q1</v>
      </c>
      <c r="P259" s="5">
        <f>Table13[[#This Row],[Profit]]/Table13[[#This Row],[Amount]]</f>
        <v>0.49253088193047972</v>
      </c>
      <c r="Q259" s="6">
        <f>Table13[[#This Row],[Amount]]/Table13[[#This Row],[Quantity]]</f>
        <v>580.16666666666663</v>
      </c>
    </row>
    <row r="260" spans="1:17" x14ac:dyDescent="0.3">
      <c r="A260" t="s">
        <v>336</v>
      </c>
      <c r="B260">
        <v>6962</v>
      </c>
      <c r="C260">
        <v>3429</v>
      </c>
      <c r="D260">
        <v>12</v>
      </c>
      <c r="E260" t="s">
        <v>13</v>
      </c>
      <c r="F260" t="s">
        <v>14</v>
      </c>
      <c r="G260" t="s">
        <v>15</v>
      </c>
      <c r="H260" s="1">
        <v>45707</v>
      </c>
      <c r="I260" t="s">
        <v>339</v>
      </c>
      <c r="J260" t="s">
        <v>17</v>
      </c>
      <c r="K260" t="s">
        <v>18</v>
      </c>
      <c r="L260" s="2" t="s">
        <v>73</v>
      </c>
      <c r="M260" t="str">
        <f>TEXT(Table13[[#This Row],[Order Date]],"MMM")</f>
        <v>Feb</v>
      </c>
      <c r="N260">
        <f>YEAR(Table13[[#This Row],[Order Date]])</f>
        <v>2025</v>
      </c>
      <c r="O260" t="str">
        <f>"Q"&amp;ROUNDUP(MONTH(Table13[[#This Row],[Order Date]])/3,0)</f>
        <v>Q1</v>
      </c>
      <c r="P260" s="5">
        <f>Table13[[#This Row],[Profit]]/Table13[[#This Row],[Amount]]</f>
        <v>0.49253088193047972</v>
      </c>
      <c r="Q260" s="6">
        <f>Table13[[#This Row],[Amount]]/Table13[[#This Row],[Quantity]]</f>
        <v>580.16666666666663</v>
      </c>
    </row>
    <row r="261" spans="1:17" x14ac:dyDescent="0.3">
      <c r="A261" t="s">
        <v>340</v>
      </c>
      <c r="B261">
        <v>1085</v>
      </c>
      <c r="C261">
        <v>301</v>
      </c>
      <c r="D261">
        <v>20</v>
      </c>
      <c r="E261" t="s">
        <v>45</v>
      </c>
      <c r="F261" t="s">
        <v>109</v>
      </c>
      <c r="G261" t="s">
        <v>15</v>
      </c>
      <c r="H261" s="1">
        <v>45486</v>
      </c>
      <c r="I261" t="s">
        <v>341</v>
      </c>
      <c r="J261" t="s">
        <v>25</v>
      </c>
      <c r="K261" t="s">
        <v>26</v>
      </c>
      <c r="L261" s="2" t="s">
        <v>215</v>
      </c>
      <c r="M261" t="str">
        <f>TEXT(Table13[[#This Row],[Order Date]],"MMM")</f>
        <v>Jul</v>
      </c>
      <c r="N261">
        <f>YEAR(Table13[[#This Row],[Order Date]])</f>
        <v>2024</v>
      </c>
      <c r="O261" t="str">
        <f>"Q"&amp;ROUNDUP(MONTH(Table13[[#This Row],[Order Date]])/3,0)</f>
        <v>Q3</v>
      </c>
      <c r="P261" s="5">
        <f>Table13[[#This Row],[Profit]]/Table13[[#This Row],[Amount]]</f>
        <v>0.27741935483870966</v>
      </c>
      <c r="Q261" s="6">
        <f>Table13[[#This Row],[Amount]]/Table13[[#This Row],[Quantity]]</f>
        <v>54.25</v>
      </c>
    </row>
    <row r="262" spans="1:17" x14ac:dyDescent="0.3">
      <c r="A262" t="s">
        <v>342</v>
      </c>
      <c r="B262">
        <v>738</v>
      </c>
      <c r="C262">
        <v>342</v>
      </c>
      <c r="D262">
        <v>2</v>
      </c>
      <c r="E262" t="s">
        <v>45</v>
      </c>
      <c r="F262" t="s">
        <v>49</v>
      </c>
      <c r="G262" t="s">
        <v>32</v>
      </c>
      <c r="H262" s="1">
        <v>45044</v>
      </c>
      <c r="I262" t="s">
        <v>343</v>
      </c>
      <c r="J262" t="s">
        <v>98</v>
      </c>
      <c r="K262" t="s">
        <v>107</v>
      </c>
      <c r="L262" s="2" t="s">
        <v>145</v>
      </c>
      <c r="M262" t="str">
        <f>TEXT(Table13[[#This Row],[Order Date]],"MMM")</f>
        <v>Apr</v>
      </c>
      <c r="N262">
        <f>YEAR(Table13[[#This Row],[Order Date]])</f>
        <v>2023</v>
      </c>
      <c r="O262" t="str">
        <f>"Q"&amp;ROUNDUP(MONTH(Table13[[#This Row],[Order Date]])/3,0)</f>
        <v>Q2</v>
      </c>
      <c r="P262" s="5">
        <f>Table13[[#This Row],[Profit]]/Table13[[#This Row],[Amount]]</f>
        <v>0.46341463414634149</v>
      </c>
      <c r="Q262" s="6">
        <f>Table13[[#This Row],[Amount]]/Table13[[#This Row],[Quantity]]</f>
        <v>369</v>
      </c>
    </row>
    <row r="263" spans="1:17" x14ac:dyDescent="0.3">
      <c r="A263" t="s">
        <v>342</v>
      </c>
      <c r="B263">
        <v>738</v>
      </c>
      <c r="C263">
        <v>342</v>
      </c>
      <c r="D263">
        <v>2</v>
      </c>
      <c r="E263" t="s">
        <v>45</v>
      </c>
      <c r="F263" t="s">
        <v>49</v>
      </c>
      <c r="G263" t="s">
        <v>32</v>
      </c>
      <c r="H263" s="1">
        <v>44170</v>
      </c>
      <c r="I263" t="s">
        <v>344</v>
      </c>
      <c r="J263" t="s">
        <v>25</v>
      </c>
      <c r="K263" t="s">
        <v>26</v>
      </c>
      <c r="L263" s="2" t="s">
        <v>287</v>
      </c>
      <c r="M263" t="str">
        <f>TEXT(Table13[[#This Row],[Order Date]],"MMM")</f>
        <v>Dec</v>
      </c>
      <c r="N263">
        <f>YEAR(Table13[[#This Row],[Order Date]])</f>
        <v>2020</v>
      </c>
      <c r="O263" t="str">
        <f>"Q"&amp;ROUNDUP(MONTH(Table13[[#This Row],[Order Date]])/3,0)</f>
        <v>Q4</v>
      </c>
      <c r="P263" s="5">
        <f>Table13[[#This Row],[Profit]]/Table13[[#This Row],[Amount]]</f>
        <v>0.46341463414634149</v>
      </c>
      <c r="Q263" s="6">
        <f>Table13[[#This Row],[Amount]]/Table13[[#This Row],[Quantity]]</f>
        <v>369</v>
      </c>
    </row>
    <row r="264" spans="1:17" x14ac:dyDescent="0.3">
      <c r="A264" t="s">
        <v>342</v>
      </c>
      <c r="B264">
        <v>738</v>
      </c>
      <c r="C264">
        <v>342</v>
      </c>
      <c r="D264">
        <v>2</v>
      </c>
      <c r="E264" t="s">
        <v>45</v>
      </c>
      <c r="F264" t="s">
        <v>49</v>
      </c>
      <c r="G264" t="s">
        <v>32</v>
      </c>
      <c r="H264" s="1">
        <v>45426</v>
      </c>
      <c r="I264" t="s">
        <v>345</v>
      </c>
      <c r="J264" t="s">
        <v>98</v>
      </c>
      <c r="K264" t="s">
        <v>107</v>
      </c>
      <c r="L264" s="2" t="s">
        <v>35</v>
      </c>
      <c r="M264" t="str">
        <f>TEXT(Table13[[#This Row],[Order Date]],"MMM")</f>
        <v>May</v>
      </c>
      <c r="N264">
        <f>YEAR(Table13[[#This Row],[Order Date]])</f>
        <v>2024</v>
      </c>
      <c r="O264" t="str">
        <f>"Q"&amp;ROUNDUP(MONTH(Table13[[#This Row],[Order Date]])/3,0)</f>
        <v>Q2</v>
      </c>
      <c r="P264" s="5">
        <f>Table13[[#This Row],[Profit]]/Table13[[#This Row],[Amount]]</f>
        <v>0.46341463414634149</v>
      </c>
      <c r="Q264" s="6">
        <f>Table13[[#This Row],[Amount]]/Table13[[#This Row],[Quantity]]</f>
        <v>369</v>
      </c>
    </row>
    <row r="265" spans="1:17" x14ac:dyDescent="0.3">
      <c r="A265" t="s">
        <v>342</v>
      </c>
      <c r="B265">
        <v>738</v>
      </c>
      <c r="C265">
        <v>342</v>
      </c>
      <c r="D265">
        <v>2</v>
      </c>
      <c r="E265" t="s">
        <v>45</v>
      </c>
      <c r="F265" t="s">
        <v>49</v>
      </c>
      <c r="G265" t="s">
        <v>32</v>
      </c>
      <c r="H265" s="1">
        <v>44579</v>
      </c>
      <c r="I265" t="s">
        <v>346</v>
      </c>
      <c r="J265" t="s">
        <v>25</v>
      </c>
      <c r="K265" t="s">
        <v>51</v>
      </c>
      <c r="L265" s="2" t="s">
        <v>87</v>
      </c>
      <c r="M265" t="str">
        <f>TEXT(Table13[[#This Row],[Order Date]],"MMM")</f>
        <v>Jan</v>
      </c>
      <c r="N265">
        <f>YEAR(Table13[[#This Row],[Order Date]])</f>
        <v>2022</v>
      </c>
      <c r="O265" t="str">
        <f>"Q"&amp;ROUNDUP(MONTH(Table13[[#This Row],[Order Date]])/3,0)</f>
        <v>Q1</v>
      </c>
      <c r="P265" s="5">
        <f>Table13[[#This Row],[Profit]]/Table13[[#This Row],[Amount]]</f>
        <v>0.46341463414634149</v>
      </c>
      <c r="Q265" s="6">
        <f>Table13[[#This Row],[Amount]]/Table13[[#This Row],[Quantity]]</f>
        <v>369</v>
      </c>
    </row>
    <row r="266" spans="1:17" x14ac:dyDescent="0.3">
      <c r="A266" t="s">
        <v>347</v>
      </c>
      <c r="B266">
        <v>1366</v>
      </c>
      <c r="C266">
        <v>242</v>
      </c>
      <c r="D266">
        <v>17</v>
      </c>
      <c r="E266" t="s">
        <v>13</v>
      </c>
      <c r="F266" t="s">
        <v>14</v>
      </c>
      <c r="G266" t="s">
        <v>40</v>
      </c>
      <c r="H266" s="1">
        <v>45187</v>
      </c>
      <c r="I266" t="s">
        <v>348</v>
      </c>
      <c r="J266" t="s">
        <v>98</v>
      </c>
      <c r="K266" t="s">
        <v>99</v>
      </c>
      <c r="L266" s="2" t="s">
        <v>273</v>
      </c>
      <c r="M266" t="str">
        <f>TEXT(Table13[[#This Row],[Order Date]],"MMM")</f>
        <v>Sep</v>
      </c>
      <c r="N266">
        <f>YEAR(Table13[[#This Row],[Order Date]])</f>
        <v>2023</v>
      </c>
      <c r="O266" t="str">
        <f>"Q"&amp;ROUNDUP(MONTH(Table13[[#This Row],[Order Date]])/3,0)</f>
        <v>Q3</v>
      </c>
      <c r="P266" s="5">
        <f>Table13[[#This Row],[Profit]]/Table13[[#This Row],[Amount]]</f>
        <v>0.17715959004392387</v>
      </c>
      <c r="Q266" s="6">
        <f>Table13[[#This Row],[Amount]]/Table13[[#This Row],[Quantity]]</f>
        <v>80.352941176470594</v>
      </c>
    </row>
    <row r="267" spans="1:17" x14ac:dyDescent="0.3">
      <c r="A267" t="s">
        <v>347</v>
      </c>
      <c r="B267">
        <v>1518</v>
      </c>
      <c r="C267">
        <v>155</v>
      </c>
      <c r="D267">
        <v>13</v>
      </c>
      <c r="E267" t="s">
        <v>30</v>
      </c>
      <c r="F267" t="s">
        <v>57</v>
      </c>
      <c r="G267" t="s">
        <v>47</v>
      </c>
      <c r="H267" s="1">
        <v>45187</v>
      </c>
      <c r="I267" t="s">
        <v>348</v>
      </c>
      <c r="J267" t="s">
        <v>98</v>
      </c>
      <c r="K267" t="s">
        <v>99</v>
      </c>
      <c r="L267" s="2" t="s">
        <v>273</v>
      </c>
      <c r="M267" t="str">
        <f>TEXT(Table13[[#This Row],[Order Date]],"MMM")</f>
        <v>Sep</v>
      </c>
      <c r="N267">
        <f>YEAR(Table13[[#This Row],[Order Date]])</f>
        <v>2023</v>
      </c>
      <c r="O267" t="str">
        <f>"Q"&amp;ROUNDUP(MONTH(Table13[[#This Row],[Order Date]])/3,0)</f>
        <v>Q3</v>
      </c>
      <c r="P267" s="5">
        <f>Table13[[#This Row],[Profit]]/Table13[[#This Row],[Amount]]</f>
        <v>0.10210803689064558</v>
      </c>
      <c r="Q267" s="6">
        <f>Table13[[#This Row],[Amount]]/Table13[[#This Row],[Quantity]]</f>
        <v>116.76923076923077</v>
      </c>
    </row>
    <row r="268" spans="1:17" x14ac:dyDescent="0.3">
      <c r="A268" t="s">
        <v>349</v>
      </c>
      <c r="B268">
        <v>2962</v>
      </c>
      <c r="C268">
        <v>1470</v>
      </c>
      <c r="D268">
        <v>1</v>
      </c>
      <c r="E268" t="s">
        <v>13</v>
      </c>
      <c r="F268" t="s">
        <v>82</v>
      </c>
      <c r="G268" t="s">
        <v>65</v>
      </c>
      <c r="H268" s="1">
        <v>44328</v>
      </c>
      <c r="I268" t="s">
        <v>350</v>
      </c>
      <c r="J268" t="s">
        <v>25</v>
      </c>
      <c r="K268" t="s">
        <v>26</v>
      </c>
      <c r="L268" s="2" t="s">
        <v>108</v>
      </c>
      <c r="M268" t="str">
        <f>TEXT(Table13[[#This Row],[Order Date]],"MMM")</f>
        <v>May</v>
      </c>
      <c r="N268">
        <f>YEAR(Table13[[#This Row],[Order Date]])</f>
        <v>2021</v>
      </c>
      <c r="O268" t="str">
        <f>"Q"&amp;ROUNDUP(MONTH(Table13[[#This Row],[Order Date]])/3,0)</f>
        <v>Q2</v>
      </c>
      <c r="P268" s="5">
        <f>Table13[[#This Row],[Profit]]/Table13[[#This Row],[Amount]]</f>
        <v>0.49628629304523969</v>
      </c>
      <c r="Q268" s="6">
        <f>Table13[[#This Row],[Amount]]/Table13[[#This Row],[Quantity]]</f>
        <v>2962</v>
      </c>
    </row>
    <row r="269" spans="1:17" x14ac:dyDescent="0.3">
      <c r="A269" t="s">
        <v>349</v>
      </c>
      <c r="B269">
        <v>2962</v>
      </c>
      <c r="C269">
        <v>1470</v>
      </c>
      <c r="D269">
        <v>1</v>
      </c>
      <c r="E269" t="s">
        <v>13</v>
      </c>
      <c r="F269" t="s">
        <v>82</v>
      </c>
      <c r="G269" t="s">
        <v>65</v>
      </c>
      <c r="H269" s="1">
        <v>45186</v>
      </c>
      <c r="I269" t="s">
        <v>351</v>
      </c>
      <c r="J269" t="s">
        <v>17</v>
      </c>
      <c r="K269" t="s">
        <v>150</v>
      </c>
      <c r="L269" s="2" t="s">
        <v>273</v>
      </c>
      <c r="M269" t="str">
        <f>TEXT(Table13[[#This Row],[Order Date]],"MMM")</f>
        <v>Sep</v>
      </c>
      <c r="N269">
        <f>YEAR(Table13[[#This Row],[Order Date]])</f>
        <v>2023</v>
      </c>
      <c r="O269" t="str">
        <f>"Q"&amp;ROUNDUP(MONTH(Table13[[#This Row],[Order Date]])/3,0)</f>
        <v>Q3</v>
      </c>
      <c r="P269" s="5">
        <f>Table13[[#This Row],[Profit]]/Table13[[#This Row],[Amount]]</f>
        <v>0.49628629304523969</v>
      </c>
      <c r="Q269" s="6">
        <f>Table13[[#This Row],[Amount]]/Table13[[#This Row],[Quantity]]</f>
        <v>2962</v>
      </c>
    </row>
    <row r="270" spans="1:17" x14ac:dyDescent="0.3">
      <c r="A270" t="s">
        <v>349</v>
      </c>
      <c r="B270">
        <v>7131</v>
      </c>
      <c r="C270">
        <v>718</v>
      </c>
      <c r="D270">
        <v>12</v>
      </c>
      <c r="E270" t="s">
        <v>13</v>
      </c>
      <c r="F270" t="s">
        <v>28</v>
      </c>
      <c r="G270" t="s">
        <v>15</v>
      </c>
      <c r="H270" s="1">
        <v>44328</v>
      </c>
      <c r="I270" t="s">
        <v>350</v>
      </c>
      <c r="J270" t="s">
        <v>25</v>
      </c>
      <c r="K270" t="s">
        <v>26</v>
      </c>
      <c r="L270" s="2" t="s">
        <v>108</v>
      </c>
      <c r="M270" t="str">
        <f>TEXT(Table13[[#This Row],[Order Date]],"MMM")</f>
        <v>May</v>
      </c>
      <c r="N270">
        <f>YEAR(Table13[[#This Row],[Order Date]])</f>
        <v>2021</v>
      </c>
      <c r="O270" t="str">
        <f>"Q"&amp;ROUNDUP(MONTH(Table13[[#This Row],[Order Date]])/3,0)</f>
        <v>Q2</v>
      </c>
      <c r="P270" s="5">
        <f>Table13[[#This Row],[Profit]]/Table13[[#This Row],[Amount]]</f>
        <v>0.10068714065348479</v>
      </c>
      <c r="Q270" s="6">
        <f>Table13[[#This Row],[Amount]]/Table13[[#This Row],[Quantity]]</f>
        <v>594.25</v>
      </c>
    </row>
    <row r="271" spans="1:17" x14ac:dyDescent="0.3">
      <c r="A271" t="s">
        <v>349</v>
      </c>
      <c r="B271">
        <v>7131</v>
      </c>
      <c r="C271">
        <v>718</v>
      </c>
      <c r="D271">
        <v>12</v>
      </c>
      <c r="E271" t="s">
        <v>13</v>
      </c>
      <c r="F271" t="s">
        <v>28</v>
      </c>
      <c r="G271" t="s">
        <v>15</v>
      </c>
      <c r="H271" s="1">
        <v>45186</v>
      </c>
      <c r="I271" t="s">
        <v>351</v>
      </c>
      <c r="J271" t="s">
        <v>17</v>
      </c>
      <c r="K271" t="s">
        <v>150</v>
      </c>
      <c r="L271" s="2" t="s">
        <v>273</v>
      </c>
      <c r="M271" t="str">
        <f>TEXT(Table13[[#This Row],[Order Date]],"MMM")</f>
        <v>Sep</v>
      </c>
      <c r="N271">
        <f>YEAR(Table13[[#This Row],[Order Date]])</f>
        <v>2023</v>
      </c>
      <c r="O271" t="str">
        <f>"Q"&amp;ROUNDUP(MONTH(Table13[[#This Row],[Order Date]])/3,0)</f>
        <v>Q3</v>
      </c>
      <c r="P271" s="5">
        <f>Table13[[#This Row],[Profit]]/Table13[[#This Row],[Amount]]</f>
        <v>0.10068714065348479</v>
      </c>
      <c r="Q271" s="6">
        <f>Table13[[#This Row],[Amount]]/Table13[[#This Row],[Quantity]]</f>
        <v>594.25</v>
      </c>
    </row>
    <row r="272" spans="1:17" x14ac:dyDescent="0.3">
      <c r="A272" t="s">
        <v>349</v>
      </c>
      <c r="B272">
        <v>4200</v>
      </c>
      <c r="C272">
        <v>855</v>
      </c>
      <c r="D272">
        <v>10</v>
      </c>
      <c r="E272" t="s">
        <v>30</v>
      </c>
      <c r="F272" t="s">
        <v>57</v>
      </c>
      <c r="G272" t="s">
        <v>40</v>
      </c>
      <c r="H272" s="1">
        <v>44328</v>
      </c>
      <c r="I272" t="s">
        <v>350</v>
      </c>
      <c r="J272" t="s">
        <v>25</v>
      </c>
      <c r="K272" t="s">
        <v>26</v>
      </c>
      <c r="L272" s="2" t="s">
        <v>108</v>
      </c>
      <c r="M272" t="str">
        <f>TEXT(Table13[[#This Row],[Order Date]],"MMM")</f>
        <v>May</v>
      </c>
      <c r="N272">
        <f>YEAR(Table13[[#This Row],[Order Date]])</f>
        <v>2021</v>
      </c>
      <c r="O272" t="str">
        <f>"Q"&amp;ROUNDUP(MONTH(Table13[[#This Row],[Order Date]])/3,0)</f>
        <v>Q2</v>
      </c>
      <c r="P272" s="5">
        <f>Table13[[#This Row],[Profit]]/Table13[[#This Row],[Amount]]</f>
        <v>0.20357142857142857</v>
      </c>
      <c r="Q272" s="6">
        <f>Table13[[#This Row],[Amount]]/Table13[[#This Row],[Quantity]]</f>
        <v>420</v>
      </c>
    </row>
    <row r="273" spans="1:17" x14ac:dyDescent="0.3">
      <c r="A273" t="s">
        <v>349</v>
      </c>
      <c r="B273">
        <v>4200</v>
      </c>
      <c r="C273">
        <v>855</v>
      </c>
      <c r="D273">
        <v>10</v>
      </c>
      <c r="E273" t="s">
        <v>30</v>
      </c>
      <c r="F273" t="s">
        <v>57</v>
      </c>
      <c r="G273" t="s">
        <v>40</v>
      </c>
      <c r="H273" s="1">
        <v>45186</v>
      </c>
      <c r="I273" t="s">
        <v>351</v>
      </c>
      <c r="J273" t="s">
        <v>17</v>
      </c>
      <c r="K273" t="s">
        <v>150</v>
      </c>
      <c r="L273" s="2" t="s">
        <v>273</v>
      </c>
      <c r="M273" t="str">
        <f>TEXT(Table13[[#This Row],[Order Date]],"MMM")</f>
        <v>Sep</v>
      </c>
      <c r="N273">
        <f>YEAR(Table13[[#This Row],[Order Date]])</f>
        <v>2023</v>
      </c>
      <c r="O273" t="str">
        <f>"Q"&amp;ROUNDUP(MONTH(Table13[[#This Row],[Order Date]])/3,0)</f>
        <v>Q3</v>
      </c>
      <c r="P273" s="5">
        <f>Table13[[#This Row],[Profit]]/Table13[[#This Row],[Amount]]</f>
        <v>0.20357142857142857</v>
      </c>
      <c r="Q273" s="6">
        <f>Table13[[#This Row],[Amount]]/Table13[[#This Row],[Quantity]]</f>
        <v>420</v>
      </c>
    </row>
    <row r="274" spans="1:17" x14ac:dyDescent="0.3">
      <c r="A274" t="s">
        <v>352</v>
      </c>
      <c r="B274">
        <v>5934</v>
      </c>
      <c r="C274">
        <v>1563</v>
      </c>
      <c r="D274">
        <v>2</v>
      </c>
      <c r="E274" t="s">
        <v>30</v>
      </c>
      <c r="F274" t="s">
        <v>57</v>
      </c>
      <c r="G274" t="s">
        <v>40</v>
      </c>
      <c r="H274" s="1">
        <v>45541</v>
      </c>
      <c r="I274" t="s">
        <v>353</v>
      </c>
      <c r="J274" t="s">
        <v>21</v>
      </c>
      <c r="K274" t="s">
        <v>172</v>
      </c>
      <c r="L274" s="2" t="s">
        <v>159</v>
      </c>
      <c r="M274" t="str">
        <f>TEXT(Table13[[#This Row],[Order Date]],"MMM")</f>
        <v>Sep</v>
      </c>
      <c r="N274">
        <f>YEAR(Table13[[#This Row],[Order Date]])</f>
        <v>2024</v>
      </c>
      <c r="O274" t="str">
        <f>"Q"&amp;ROUNDUP(MONTH(Table13[[#This Row],[Order Date]])/3,0)</f>
        <v>Q3</v>
      </c>
      <c r="P274" s="5">
        <f>Table13[[#This Row],[Profit]]/Table13[[#This Row],[Amount]]</f>
        <v>0.26339737108190092</v>
      </c>
      <c r="Q274" s="6">
        <f>Table13[[#This Row],[Amount]]/Table13[[#This Row],[Quantity]]</f>
        <v>2967</v>
      </c>
    </row>
    <row r="275" spans="1:17" x14ac:dyDescent="0.3">
      <c r="A275" t="s">
        <v>354</v>
      </c>
      <c r="B275">
        <v>2701</v>
      </c>
      <c r="C275">
        <v>322</v>
      </c>
      <c r="D275">
        <v>11</v>
      </c>
      <c r="E275" t="s">
        <v>13</v>
      </c>
      <c r="F275" t="s">
        <v>28</v>
      </c>
      <c r="G275" t="s">
        <v>15</v>
      </c>
      <c r="H275" s="1">
        <v>44730</v>
      </c>
      <c r="I275" t="s">
        <v>355</v>
      </c>
      <c r="J275" t="s">
        <v>25</v>
      </c>
      <c r="K275" t="s">
        <v>51</v>
      </c>
      <c r="L275" s="2" t="s">
        <v>165</v>
      </c>
      <c r="M275" t="str">
        <f>TEXT(Table13[[#This Row],[Order Date]],"MMM")</f>
        <v>Jun</v>
      </c>
      <c r="N275">
        <f>YEAR(Table13[[#This Row],[Order Date]])</f>
        <v>2022</v>
      </c>
      <c r="O275" t="str">
        <f>"Q"&amp;ROUNDUP(MONTH(Table13[[#This Row],[Order Date]])/3,0)</f>
        <v>Q2</v>
      </c>
      <c r="P275" s="5">
        <f>Table13[[#This Row],[Profit]]/Table13[[#This Row],[Amount]]</f>
        <v>0.11921510551647538</v>
      </c>
      <c r="Q275" s="6">
        <f>Table13[[#This Row],[Amount]]/Table13[[#This Row],[Quantity]]</f>
        <v>245.54545454545453</v>
      </c>
    </row>
    <row r="276" spans="1:17" x14ac:dyDescent="0.3">
      <c r="A276" t="s">
        <v>354</v>
      </c>
      <c r="B276">
        <v>7273</v>
      </c>
      <c r="C276">
        <v>2702</v>
      </c>
      <c r="D276">
        <v>18</v>
      </c>
      <c r="E276" t="s">
        <v>30</v>
      </c>
      <c r="F276" t="s">
        <v>64</v>
      </c>
      <c r="G276" t="s">
        <v>65</v>
      </c>
      <c r="H276" s="1">
        <v>44730</v>
      </c>
      <c r="I276" t="s">
        <v>355</v>
      </c>
      <c r="J276" t="s">
        <v>25</v>
      </c>
      <c r="K276" t="s">
        <v>51</v>
      </c>
      <c r="L276" s="2" t="s">
        <v>165</v>
      </c>
      <c r="M276" t="str">
        <f>TEXT(Table13[[#This Row],[Order Date]],"MMM")</f>
        <v>Jun</v>
      </c>
      <c r="N276">
        <f>YEAR(Table13[[#This Row],[Order Date]])</f>
        <v>2022</v>
      </c>
      <c r="O276" t="str">
        <f>"Q"&amp;ROUNDUP(MONTH(Table13[[#This Row],[Order Date]])/3,0)</f>
        <v>Q2</v>
      </c>
      <c r="P276" s="5">
        <f>Table13[[#This Row],[Profit]]/Table13[[#This Row],[Amount]]</f>
        <v>0.37151106833493747</v>
      </c>
      <c r="Q276" s="6">
        <f>Table13[[#This Row],[Amount]]/Table13[[#This Row],[Quantity]]</f>
        <v>404.05555555555554</v>
      </c>
    </row>
    <row r="277" spans="1:17" x14ac:dyDescent="0.3">
      <c r="A277" t="s">
        <v>356</v>
      </c>
      <c r="B277">
        <v>2465</v>
      </c>
      <c r="C277">
        <v>699</v>
      </c>
      <c r="D277">
        <v>18</v>
      </c>
      <c r="E277" t="s">
        <v>30</v>
      </c>
      <c r="F277" t="s">
        <v>57</v>
      </c>
      <c r="G277" t="s">
        <v>32</v>
      </c>
      <c r="H277" s="1">
        <v>43973</v>
      </c>
      <c r="I277" t="s">
        <v>357</v>
      </c>
      <c r="J277" t="s">
        <v>42</v>
      </c>
      <c r="K277" t="s">
        <v>92</v>
      </c>
      <c r="L277" s="2" t="s">
        <v>59</v>
      </c>
      <c r="M277" t="str">
        <f>TEXT(Table13[[#This Row],[Order Date]],"MMM")</f>
        <v>May</v>
      </c>
      <c r="N277">
        <f>YEAR(Table13[[#This Row],[Order Date]])</f>
        <v>2020</v>
      </c>
      <c r="O277" t="str">
        <f>"Q"&amp;ROUNDUP(MONTH(Table13[[#This Row],[Order Date]])/3,0)</f>
        <v>Q2</v>
      </c>
      <c r="P277" s="5">
        <f>Table13[[#This Row],[Profit]]/Table13[[#This Row],[Amount]]</f>
        <v>0.28356997971602432</v>
      </c>
      <c r="Q277" s="6">
        <f>Table13[[#This Row],[Amount]]/Table13[[#This Row],[Quantity]]</f>
        <v>136.94444444444446</v>
      </c>
    </row>
    <row r="278" spans="1:17" x14ac:dyDescent="0.3">
      <c r="A278" t="s">
        <v>358</v>
      </c>
      <c r="B278">
        <v>3479</v>
      </c>
      <c r="C278">
        <v>1087</v>
      </c>
      <c r="D278">
        <v>2</v>
      </c>
      <c r="E278" t="s">
        <v>30</v>
      </c>
      <c r="F278" t="s">
        <v>57</v>
      </c>
      <c r="G278" t="s">
        <v>40</v>
      </c>
      <c r="H278" s="1">
        <v>45582</v>
      </c>
      <c r="I278" t="s">
        <v>359</v>
      </c>
      <c r="J278" t="s">
        <v>71</v>
      </c>
      <c r="K278" t="s">
        <v>72</v>
      </c>
      <c r="L278" s="2" t="s">
        <v>360</v>
      </c>
      <c r="M278" t="str">
        <f>TEXT(Table13[[#This Row],[Order Date]],"MMM")</f>
        <v>Oct</v>
      </c>
      <c r="N278">
        <f>YEAR(Table13[[#This Row],[Order Date]])</f>
        <v>2024</v>
      </c>
      <c r="O278" t="str">
        <f>"Q"&amp;ROUNDUP(MONTH(Table13[[#This Row],[Order Date]])/3,0)</f>
        <v>Q4</v>
      </c>
      <c r="P278" s="5">
        <f>Table13[[#This Row],[Profit]]/Table13[[#This Row],[Amount]]</f>
        <v>0.31244610520264443</v>
      </c>
      <c r="Q278" s="6">
        <f>Table13[[#This Row],[Amount]]/Table13[[#This Row],[Quantity]]</f>
        <v>1739.5</v>
      </c>
    </row>
    <row r="279" spans="1:17" x14ac:dyDescent="0.3">
      <c r="A279" t="s">
        <v>358</v>
      </c>
      <c r="B279">
        <v>5457</v>
      </c>
      <c r="C279">
        <v>1765</v>
      </c>
      <c r="D279">
        <v>7</v>
      </c>
      <c r="E279" t="s">
        <v>13</v>
      </c>
      <c r="F279" t="s">
        <v>28</v>
      </c>
      <c r="G279" t="s">
        <v>40</v>
      </c>
      <c r="H279" s="1">
        <v>45582</v>
      </c>
      <c r="I279" t="s">
        <v>359</v>
      </c>
      <c r="J279" t="s">
        <v>71</v>
      </c>
      <c r="K279" t="s">
        <v>72</v>
      </c>
      <c r="L279" s="2" t="s">
        <v>360</v>
      </c>
      <c r="M279" t="str">
        <f>TEXT(Table13[[#This Row],[Order Date]],"MMM")</f>
        <v>Oct</v>
      </c>
      <c r="N279">
        <f>YEAR(Table13[[#This Row],[Order Date]])</f>
        <v>2024</v>
      </c>
      <c r="O279" t="str">
        <f>"Q"&amp;ROUNDUP(MONTH(Table13[[#This Row],[Order Date]])/3,0)</f>
        <v>Q4</v>
      </c>
      <c r="P279" s="5">
        <f>Table13[[#This Row],[Profit]]/Table13[[#This Row],[Amount]]</f>
        <v>0.32343778632948506</v>
      </c>
      <c r="Q279" s="6">
        <f>Table13[[#This Row],[Amount]]/Table13[[#This Row],[Quantity]]</f>
        <v>779.57142857142856</v>
      </c>
    </row>
    <row r="280" spans="1:17" x14ac:dyDescent="0.3">
      <c r="A280" t="s">
        <v>361</v>
      </c>
      <c r="B280">
        <v>4957</v>
      </c>
      <c r="C280">
        <v>1152</v>
      </c>
      <c r="D280">
        <v>8</v>
      </c>
      <c r="E280" t="s">
        <v>30</v>
      </c>
      <c r="F280" t="s">
        <v>57</v>
      </c>
      <c r="G280" t="s">
        <v>47</v>
      </c>
      <c r="H280" s="1">
        <v>44642</v>
      </c>
      <c r="I280" t="s">
        <v>362</v>
      </c>
      <c r="J280" t="s">
        <v>98</v>
      </c>
      <c r="K280" t="s">
        <v>117</v>
      </c>
      <c r="L280" s="2" t="s">
        <v>134</v>
      </c>
      <c r="M280" t="str">
        <f>TEXT(Table13[[#This Row],[Order Date]],"MMM")</f>
        <v>Mar</v>
      </c>
      <c r="N280">
        <f>YEAR(Table13[[#This Row],[Order Date]])</f>
        <v>2022</v>
      </c>
      <c r="O280" t="str">
        <f>"Q"&amp;ROUNDUP(MONTH(Table13[[#This Row],[Order Date]])/3,0)</f>
        <v>Q1</v>
      </c>
      <c r="P280" s="5">
        <f>Table13[[#This Row],[Profit]]/Table13[[#This Row],[Amount]]</f>
        <v>0.23239862820254187</v>
      </c>
      <c r="Q280" s="6">
        <f>Table13[[#This Row],[Amount]]/Table13[[#This Row],[Quantity]]</f>
        <v>619.625</v>
      </c>
    </row>
    <row r="281" spans="1:17" x14ac:dyDescent="0.3">
      <c r="A281" t="s">
        <v>363</v>
      </c>
      <c r="B281">
        <v>4404</v>
      </c>
      <c r="C281">
        <v>858</v>
      </c>
      <c r="D281">
        <v>17</v>
      </c>
      <c r="E281" t="s">
        <v>30</v>
      </c>
      <c r="F281" t="s">
        <v>31</v>
      </c>
      <c r="G281" t="s">
        <v>32</v>
      </c>
      <c r="H281" s="1">
        <v>45368</v>
      </c>
      <c r="I281" t="s">
        <v>364</v>
      </c>
      <c r="J281" t="s">
        <v>98</v>
      </c>
      <c r="K281" t="s">
        <v>99</v>
      </c>
      <c r="L281" s="2" t="s">
        <v>338</v>
      </c>
      <c r="M281" t="str">
        <f>TEXT(Table13[[#This Row],[Order Date]],"MMM")</f>
        <v>Mar</v>
      </c>
      <c r="N281">
        <f>YEAR(Table13[[#This Row],[Order Date]])</f>
        <v>2024</v>
      </c>
      <c r="O281" t="str">
        <f>"Q"&amp;ROUNDUP(MONTH(Table13[[#This Row],[Order Date]])/3,0)</f>
        <v>Q1</v>
      </c>
      <c r="P281" s="5">
        <f>Table13[[#This Row],[Profit]]/Table13[[#This Row],[Amount]]</f>
        <v>0.19482288828337874</v>
      </c>
      <c r="Q281" s="6">
        <f>Table13[[#This Row],[Amount]]/Table13[[#This Row],[Quantity]]</f>
        <v>259.05882352941177</v>
      </c>
    </row>
    <row r="282" spans="1:17" x14ac:dyDescent="0.3">
      <c r="A282" t="s">
        <v>363</v>
      </c>
      <c r="B282">
        <v>8776</v>
      </c>
      <c r="C282">
        <v>2529</v>
      </c>
      <c r="D282">
        <v>15</v>
      </c>
      <c r="E282" t="s">
        <v>45</v>
      </c>
      <c r="F282" t="s">
        <v>60</v>
      </c>
      <c r="G282" t="s">
        <v>47</v>
      </c>
      <c r="H282" s="1">
        <v>45368</v>
      </c>
      <c r="I282" t="s">
        <v>364</v>
      </c>
      <c r="J282" t="s">
        <v>98</v>
      </c>
      <c r="K282" t="s">
        <v>99</v>
      </c>
      <c r="L282" s="2" t="s">
        <v>338</v>
      </c>
      <c r="M282" t="str">
        <f>TEXT(Table13[[#This Row],[Order Date]],"MMM")</f>
        <v>Mar</v>
      </c>
      <c r="N282">
        <f>YEAR(Table13[[#This Row],[Order Date]])</f>
        <v>2024</v>
      </c>
      <c r="O282" t="str">
        <f>"Q"&amp;ROUNDUP(MONTH(Table13[[#This Row],[Order Date]])/3,0)</f>
        <v>Q1</v>
      </c>
      <c r="P282" s="5">
        <f>Table13[[#This Row],[Profit]]/Table13[[#This Row],[Amount]]</f>
        <v>0.28817228805834094</v>
      </c>
      <c r="Q282" s="6">
        <f>Table13[[#This Row],[Amount]]/Table13[[#This Row],[Quantity]]</f>
        <v>585.06666666666672</v>
      </c>
    </row>
    <row r="283" spans="1:17" x14ac:dyDescent="0.3">
      <c r="A283" t="s">
        <v>365</v>
      </c>
      <c r="B283">
        <v>9536</v>
      </c>
      <c r="C283">
        <v>1437</v>
      </c>
      <c r="D283">
        <v>9</v>
      </c>
      <c r="E283" t="s">
        <v>13</v>
      </c>
      <c r="F283" t="s">
        <v>82</v>
      </c>
      <c r="G283" t="s">
        <v>15</v>
      </c>
      <c r="H283" s="1">
        <v>43923</v>
      </c>
      <c r="I283" t="s">
        <v>366</v>
      </c>
      <c r="J283" t="s">
        <v>17</v>
      </c>
      <c r="K283" t="s">
        <v>34</v>
      </c>
      <c r="L283" s="2" t="s">
        <v>162</v>
      </c>
      <c r="M283" t="str">
        <f>TEXT(Table13[[#This Row],[Order Date]],"MMM")</f>
        <v>Apr</v>
      </c>
      <c r="N283">
        <f>YEAR(Table13[[#This Row],[Order Date]])</f>
        <v>2020</v>
      </c>
      <c r="O283" t="str">
        <f>"Q"&amp;ROUNDUP(MONTH(Table13[[#This Row],[Order Date]])/3,0)</f>
        <v>Q2</v>
      </c>
      <c r="P283" s="5">
        <f>Table13[[#This Row],[Profit]]/Table13[[#This Row],[Amount]]</f>
        <v>0.15069211409395974</v>
      </c>
      <c r="Q283" s="6">
        <f>Table13[[#This Row],[Amount]]/Table13[[#This Row],[Quantity]]</f>
        <v>1059.5555555555557</v>
      </c>
    </row>
    <row r="284" spans="1:17" x14ac:dyDescent="0.3">
      <c r="A284" t="s">
        <v>365</v>
      </c>
      <c r="B284">
        <v>2225</v>
      </c>
      <c r="C284">
        <v>589</v>
      </c>
      <c r="D284">
        <v>7</v>
      </c>
      <c r="E284" t="s">
        <v>45</v>
      </c>
      <c r="F284" t="s">
        <v>60</v>
      </c>
      <c r="G284" t="s">
        <v>47</v>
      </c>
      <c r="H284" s="1">
        <v>43923</v>
      </c>
      <c r="I284" t="s">
        <v>366</v>
      </c>
      <c r="J284" t="s">
        <v>17</v>
      </c>
      <c r="K284" t="s">
        <v>34</v>
      </c>
      <c r="L284" s="2" t="s">
        <v>162</v>
      </c>
      <c r="M284" t="str">
        <f>TEXT(Table13[[#This Row],[Order Date]],"MMM")</f>
        <v>Apr</v>
      </c>
      <c r="N284">
        <f>YEAR(Table13[[#This Row],[Order Date]])</f>
        <v>2020</v>
      </c>
      <c r="O284" t="str">
        <f>"Q"&amp;ROUNDUP(MONTH(Table13[[#This Row],[Order Date]])/3,0)</f>
        <v>Q2</v>
      </c>
      <c r="P284" s="5">
        <f>Table13[[#This Row],[Profit]]/Table13[[#This Row],[Amount]]</f>
        <v>0.26471910112359548</v>
      </c>
      <c r="Q284" s="6">
        <f>Table13[[#This Row],[Amount]]/Table13[[#This Row],[Quantity]]</f>
        <v>317.85714285714283</v>
      </c>
    </row>
    <row r="285" spans="1:17" x14ac:dyDescent="0.3">
      <c r="A285" t="s">
        <v>367</v>
      </c>
      <c r="B285">
        <v>9574</v>
      </c>
      <c r="C285">
        <v>4045</v>
      </c>
      <c r="D285">
        <v>19</v>
      </c>
      <c r="E285" t="s">
        <v>45</v>
      </c>
      <c r="F285" t="s">
        <v>109</v>
      </c>
      <c r="G285" t="s">
        <v>15</v>
      </c>
      <c r="H285" s="1">
        <v>45364</v>
      </c>
      <c r="I285" t="s">
        <v>368</v>
      </c>
      <c r="J285" t="s">
        <v>42</v>
      </c>
      <c r="K285" t="s">
        <v>92</v>
      </c>
      <c r="L285" s="2" t="s">
        <v>338</v>
      </c>
      <c r="M285" t="str">
        <f>TEXT(Table13[[#This Row],[Order Date]],"MMM")</f>
        <v>Mar</v>
      </c>
      <c r="N285">
        <f>YEAR(Table13[[#This Row],[Order Date]])</f>
        <v>2024</v>
      </c>
      <c r="O285" t="str">
        <f>"Q"&amp;ROUNDUP(MONTH(Table13[[#This Row],[Order Date]])/3,0)</f>
        <v>Q1</v>
      </c>
      <c r="P285" s="5">
        <f>Table13[[#This Row],[Profit]]/Table13[[#This Row],[Amount]]</f>
        <v>0.42249843325673697</v>
      </c>
      <c r="Q285" s="6">
        <f>Table13[[#This Row],[Amount]]/Table13[[#This Row],[Quantity]]</f>
        <v>503.89473684210526</v>
      </c>
    </row>
    <row r="286" spans="1:17" x14ac:dyDescent="0.3">
      <c r="A286" t="s">
        <v>367</v>
      </c>
      <c r="B286">
        <v>4382</v>
      </c>
      <c r="C286">
        <v>482</v>
      </c>
      <c r="D286">
        <v>17</v>
      </c>
      <c r="E286" t="s">
        <v>13</v>
      </c>
      <c r="F286" t="s">
        <v>14</v>
      </c>
      <c r="G286" t="s">
        <v>65</v>
      </c>
      <c r="H286" s="1">
        <v>45364</v>
      </c>
      <c r="I286" t="s">
        <v>368</v>
      </c>
      <c r="J286" t="s">
        <v>42</v>
      </c>
      <c r="K286" t="s">
        <v>92</v>
      </c>
      <c r="L286" s="2" t="s">
        <v>338</v>
      </c>
      <c r="M286" t="str">
        <f>TEXT(Table13[[#This Row],[Order Date]],"MMM")</f>
        <v>Mar</v>
      </c>
      <c r="N286">
        <f>YEAR(Table13[[#This Row],[Order Date]])</f>
        <v>2024</v>
      </c>
      <c r="O286" t="str">
        <f>"Q"&amp;ROUNDUP(MONTH(Table13[[#This Row],[Order Date]])/3,0)</f>
        <v>Q1</v>
      </c>
      <c r="P286" s="5">
        <f>Table13[[#This Row],[Profit]]/Table13[[#This Row],[Amount]]</f>
        <v>0.10999543587403013</v>
      </c>
      <c r="Q286" s="6">
        <f>Table13[[#This Row],[Amount]]/Table13[[#This Row],[Quantity]]</f>
        <v>257.76470588235293</v>
      </c>
    </row>
    <row r="287" spans="1:17" x14ac:dyDescent="0.3">
      <c r="A287" t="s">
        <v>369</v>
      </c>
      <c r="B287">
        <v>8200</v>
      </c>
      <c r="C287">
        <v>257</v>
      </c>
      <c r="D287">
        <v>19</v>
      </c>
      <c r="E287" t="s">
        <v>13</v>
      </c>
      <c r="F287" t="s">
        <v>39</v>
      </c>
      <c r="G287" t="s">
        <v>65</v>
      </c>
      <c r="H287" s="1">
        <v>45006</v>
      </c>
      <c r="I287" t="s">
        <v>370</v>
      </c>
      <c r="J287" t="s">
        <v>98</v>
      </c>
      <c r="K287" t="s">
        <v>107</v>
      </c>
      <c r="L287" s="2" t="s">
        <v>245</v>
      </c>
      <c r="M287" t="str">
        <f>TEXT(Table13[[#This Row],[Order Date]],"MMM")</f>
        <v>Mar</v>
      </c>
      <c r="N287">
        <f>YEAR(Table13[[#This Row],[Order Date]])</f>
        <v>2023</v>
      </c>
      <c r="O287" t="str">
        <f>"Q"&amp;ROUNDUP(MONTH(Table13[[#This Row],[Order Date]])/3,0)</f>
        <v>Q1</v>
      </c>
      <c r="P287" s="5">
        <f>Table13[[#This Row],[Profit]]/Table13[[#This Row],[Amount]]</f>
        <v>3.1341463414634146E-2</v>
      </c>
      <c r="Q287" s="6">
        <f>Table13[[#This Row],[Amount]]/Table13[[#This Row],[Quantity]]</f>
        <v>431.57894736842104</v>
      </c>
    </row>
    <row r="288" spans="1:17" x14ac:dyDescent="0.3">
      <c r="A288" t="s">
        <v>369</v>
      </c>
      <c r="B288">
        <v>9316</v>
      </c>
      <c r="C288">
        <v>3003</v>
      </c>
      <c r="D288">
        <v>13</v>
      </c>
      <c r="E288" t="s">
        <v>45</v>
      </c>
      <c r="F288" t="s">
        <v>60</v>
      </c>
      <c r="G288" t="s">
        <v>47</v>
      </c>
      <c r="H288" s="1">
        <v>45006</v>
      </c>
      <c r="I288" t="s">
        <v>370</v>
      </c>
      <c r="J288" t="s">
        <v>98</v>
      </c>
      <c r="K288" t="s">
        <v>107</v>
      </c>
      <c r="L288" s="2" t="s">
        <v>245</v>
      </c>
      <c r="M288" t="str">
        <f>TEXT(Table13[[#This Row],[Order Date]],"MMM")</f>
        <v>Mar</v>
      </c>
      <c r="N288">
        <f>YEAR(Table13[[#This Row],[Order Date]])</f>
        <v>2023</v>
      </c>
      <c r="O288" t="str">
        <f>"Q"&amp;ROUNDUP(MONTH(Table13[[#This Row],[Order Date]])/3,0)</f>
        <v>Q1</v>
      </c>
      <c r="P288" s="5">
        <f>Table13[[#This Row],[Profit]]/Table13[[#This Row],[Amount]]</f>
        <v>0.32234864748819236</v>
      </c>
      <c r="Q288" s="6">
        <f>Table13[[#This Row],[Amount]]/Table13[[#This Row],[Quantity]]</f>
        <v>716.61538461538464</v>
      </c>
    </row>
    <row r="289" spans="1:17" x14ac:dyDescent="0.3">
      <c r="A289" t="s">
        <v>369</v>
      </c>
      <c r="B289">
        <v>6379</v>
      </c>
      <c r="C289">
        <v>3128</v>
      </c>
      <c r="D289">
        <v>15</v>
      </c>
      <c r="E289" t="s">
        <v>13</v>
      </c>
      <c r="F289" t="s">
        <v>14</v>
      </c>
      <c r="G289" t="s">
        <v>65</v>
      </c>
      <c r="H289" s="1">
        <v>45006</v>
      </c>
      <c r="I289" t="s">
        <v>370</v>
      </c>
      <c r="J289" t="s">
        <v>98</v>
      </c>
      <c r="K289" t="s">
        <v>107</v>
      </c>
      <c r="L289" s="2" t="s">
        <v>245</v>
      </c>
      <c r="M289" t="str">
        <f>TEXT(Table13[[#This Row],[Order Date]],"MMM")</f>
        <v>Mar</v>
      </c>
      <c r="N289">
        <f>YEAR(Table13[[#This Row],[Order Date]])</f>
        <v>2023</v>
      </c>
      <c r="O289" t="str">
        <f>"Q"&amp;ROUNDUP(MONTH(Table13[[#This Row],[Order Date]])/3,0)</f>
        <v>Q1</v>
      </c>
      <c r="P289" s="5">
        <f>Table13[[#This Row],[Profit]]/Table13[[#This Row],[Amount]]</f>
        <v>0.49035899043737263</v>
      </c>
      <c r="Q289" s="6">
        <f>Table13[[#This Row],[Amount]]/Table13[[#This Row],[Quantity]]</f>
        <v>425.26666666666665</v>
      </c>
    </row>
    <row r="290" spans="1:17" x14ac:dyDescent="0.3">
      <c r="A290" t="s">
        <v>371</v>
      </c>
      <c r="B290">
        <v>3348</v>
      </c>
      <c r="C290">
        <v>568</v>
      </c>
      <c r="D290">
        <v>5</v>
      </c>
      <c r="E290" t="s">
        <v>30</v>
      </c>
      <c r="F290" t="s">
        <v>57</v>
      </c>
      <c r="G290" t="s">
        <v>47</v>
      </c>
      <c r="H290" s="1">
        <v>45353</v>
      </c>
      <c r="I290" t="s">
        <v>372</v>
      </c>
      <c r="J290" t="s">
        <v>98</v>
      </c>
      <c r="K290" t="s">
        <v>117</v>
      </c>
      <c r="L290" s="2" t="s">
        <v>338</v>
      </c>
      <c r="M290" t="str">
        <f>TEXT(Table13[[#This Row],[Order Date]],"MMM")</f>
        <v>Mar</v>
      </c>
      <c r="N290">
        <f>YEAR(Table13[[#This Row],[Order Date]])</f>
        <v>2024</v>
      </c>
      <c r="O290" t="str">
        <f>"Q"&amp;ROUNDUP(MONTH(Table13[[#This Row],[Order Date]])/3,0)</f>
        <v>Q1</v>
      </c>
      <c r="P290" s="5">
        <f>Table13[[#This Row],[Profit]]/Table13[[#This Row],[Amount]]</f>
        <v>0.16965352449223417</v>
      </c>
      <c r="Q290" s="6">
        <f>Table13[[#This Row],[Amount]]/Table13[[#This Row],[Quantity]]</f>
        <v>669.6</v>
      </c>
    </row>
    <row r="291" spans="1:17" x14ac:dyDescent="0.3">
      <c r="A291" t="s">
        <v>371</v>
      </c>
      <c r="B291">
        <v>3348</v>
      </c>
      <c r="C291">
        <v>568</v>
      </c>
      <c r="D291">
        <v>5</v>
      </c>
      <c r="E291" t="s">
        <v>30</v>
      </c>
      <c r="F291" t="s">
        <v>57</v>
      </c>
      <c r="G291" t="s">
        <v>47</v>
      </c>
      <c r="H291" s="1">
        <v>44316</v>
      </c>
      <c r="I291" t="s">
        <v>373</v>
      </c>
      <c r="J291" t="s">
        <v>25</v>
      </c>
      <c r="K291" t="s">
        <v>68</v>
      </c>
      <c r="L291" s="2" t="s">
        <v>139</v>
      </c>
      <c r="M291" t="str">
        <f>TEXT(Table13[[#This Row],[Order Date]],"MMM")</f>
        <v>Apr</v>
      </c>
      <c r="N291">
        <f>YEAR(Table13[[#This Row],[Order Date]])</f>
        <v>2021</v>
      </c>
      <c r="O291" t="str">
        <f>"Q"&amp;ROUNDUP(MONTH(Table13[[#This Row],[Order Date]])/3,0)</f>
        <v>Q2</v>
      </c>
      <c r="P291" s="5">
        <f>Table13[[#This Row],[Profit]]/Table13[[#This Row],[Amount]]</f>
        <v>0.16965352449223417</v>
      </c>
      <c r="Q291" s="6">
        <f>Table13[[#This Row],[Amount]]/Table13[[#This Row],[Quantity]]</f>
        <v>669.6</v>
      </c>
    </row>
    <row r="292" spans="1:17" x14ac:dyDescent="0.3">
      <c r="A292" t="s">
        <v>371</v>
      </c>
      <c r="B292">
        <v>8856</v>
      </c>
      <c r="C292">
        <v>2020</v>
      </c>
      <c r="D292">
        <v>9</v>
      </c>
      <c r="E292" t="s">
        <v>30</v>
      </c>
      <c r="F292" t="s">
        <v>31</v>
      </c>
      <c r="G292" t="s">
        <v>32</v>
      </c>
      <c r="H292" s="1">
        <v>45353</v>
      </c>
      <c r="I292" t="s">
        <v>372</v>
      </c>
      <c r="J292" t="s">
        <v>98</v>
      </c>
      <c r="K292" t="s">
        <v>117</v>
      </c>
      <c r="L292" s="2" t="s">
        <v>338</v>
      </c>
      <c r="M292" t="str">
        <f>TEXT(Table13[[#This Row],[Order Date]],"MMM")</f>
        <v>Mar</v>
      </c>
      <c r="N292">
        <f>YEAR(Table13[[#This Row],[Order Date]])</f>
        <v>2024</v>
      </c>
      <c r="O292" t="str">
        <f>"Q"&amp;ROUNDUP(MONTH(Table13[[#This Row],[Order Date]])/3,0)</f>
        <v>Q1</v>
      </c>
      <c r="P292" s="5">
        <f>Table13[[#This Row],[Profit]]/Table13[[#This Row],[Amount]]</f>
        <v>0.22809394760614274</v>
      </c>
      <c r="Q292" s="6">
        <f>Table13[[#This Row],[Amount]]/Table13[[#This Row],[Quantity]]</f>
        <v>984</v>
      </c>
    </row>
    <row r="293" spans="1:17" x14ac:dyDescent="0.3">
      <c r="A293" t="s">
        <v>371</v>
      </c>
      <c r="B293">
        <v>8856</v>
      </c>
      <c r="C293">
        <v>2020</v>
      </c>
      <c r="D293">
        <v>9</v>
      </c>
      <c r="E293" t="s">
        <v>30</v>
      </c>
      <c r="F293" t="s">
        <v>31</v>
      </c>
      <c r="G293" t="s">
        <v>32</v>
      </c>
      <c r="H293" s="1">
        <v>44316</v>
      </c>
      <c r="I293" t="s">
        <v>373</v>
      </c>
      <c r="J293" t="s">
        <v>25</v>
      </c>
      <c r="K293" t="s">
        <v>68</v>
      </c>
      <c r="L293" s="2" t="s">
        <v>139</v>
      </c>
      <c r="M293" t="str">
        <f>TEXT(Table13[[#This Row],[Order Date]],"MMM")</f>
        <v>Apr</v>
      </c>
      <c r="N293">
        <f>YEAR(Table13[[#This Row],[Order Date]])</f>
        <v>2021</v>
      </c>
      <c r="O293" t="str">
        <f>"Q"&amp;ROUNDUP(MONTH(Table13[[#This Row],[Order Date]])/3,0)</f>
        <v>Q2</v>
      </c>
      <c r="P293" s="5">
        <f>Table13[[#This Row],[Profit]]/Table13[[#This Row],[Amount]]</f>
        <v>0.22809394760614274</v>
      </c>
      <c r="Q293" s="6">
        <f>Table13[[#This Row],[Amount]]/Table13[[#This Row],[Quantity]]</f>
        <v>984</v>
      </c>
    </row>
    <row r="294" spans="1:17" x14ac:dyDescent="0.3">
      <c r="A294" t="s">
        <v>374</v>
      </c>
      <c r="B294">
        <v>1760</v>
      </c>
      <c r="C294">
        <v>619</v>
      </c>
      <c r="D294">
        <v>16</v>
      </c>
      <c r="E294" t="s">
        <v>45</v>
      </c>
      <c r="F294" t="s">
        <v>60</v>
      </c>
      <c r="G294" t="s">
        <v>32</v>
      </c>
      <c r="H294" s="1">
        <v>44454</v>
      </c>
      <c r="I294" t="s">
        <v>375</v>
      </c>
      <c r="J294" t="s">
        <v>98</v>
      </c>
      <c r="K294" t="s">
        <v>99</v>
      </c>
      <c r="L294" s="2" t="s">
        <v>224</v>
      </c>
      <c r="M294" t="str">
        <f>TEXT(Table13[[#This Row],[Order Date]],"MMM")</f>
        <v>Sep</v>
      </c>
      <c r="N294">
        <f>YEAR(Table13[[#This Row],[Order Date]])</f>
        <v>2021</v>
      </c>
      <c r="O294" t="str">
        <f>"Q"&amp;ROUNDUP(MONTH(Table13[[#This Row],[Order Date]])/3,0)</f>
        <v>Q3</v>
      </c>
      <c r="P294" s="5">
        <f>Table13[[#This Row],[Profit]]/Table13[[#This Row],[Amount]]</f>
        <v>0.35170454545454544</v>
      </c>
      <c r="Q294" s="6">
        <f>Table13[[#This Row],[Amount]]/Table13[[#This Row],[Quantity]]</f>
        <v>110</v>
      </c>
    </row>
    <row r="295" spans="1:17" x14ac:dyDescent="0.3">
      <c r="A295" t="s">
        <v>374</v>
      </c>
      <c r="B295">
        <v>1760</v>
      </c>
      <c r="C295">
        <v>619</v>
      </c>
      <c r="D295">
        <v>16</v>
      </c>
      <c r="E295" t="s">
        <v>45</v>
      </c>
      <c r="F295" t="s">
        <v>60</v>
      </c>
      <c r="G295" t="s">
        <v>32</v>
      </c>
      <c r="H295" s="1">
        <v>44954</v>
      </c>
      <c r="I295" t="s">
        <v>376</v>
      </c>
      <c r="J295" t="s">
        <v>71</v>
      </c>
      <c r="K295" t="s">
        <v>138</v>
      </c>
      <c r="L295" s="2" t="s">
        <v>333</v>
      </c>
      <c r="M295" t="str">
        <f>TEXT(Table13[[#This Row],[Order Date]],"MMM")</f>
        <v>Jan</v>
      </c>
      <c r="N295">
        <f>YEAR(Table13[[#This Row],[Order Date]])</f>
        <v>2023</v>
      </c>
      <c r="O295" t="str">
        <f>"Q"&amp;ROUNDUP(MONTH(Table13[[#This Row],[Order Date]])/3,0)</f>
        <v>Q1</v>
      </c>
      <c r="P295" s="5">
        <f>Table13[[#This Row],[Profit]]/Table13[[#This Row],[Amount]]</f>
        <v>0.35170454545454544</v>
      </c>
      <c r="Q295" s="6">
        <f>Table13[[#This Row],[Amount]]/Table13[[#This Row],[Quantity]]</f>
        <v>110</v>
      </c>
    </row>
    <row r="296" spans="1:17" x14ac:dyDescent="0.3">
      <c r="A296" t="s">
        <v>374</v>
      </c>
      <c r="B296">
        <v>6351</v>
      </c>
      <c r="C296">
        <v>986</v>
      </c>
      <c r="D296">
        <v>15</v>
      </c>
      <c r="E296" t="s">
        <v>13</v>
      </c>
      <c r="F296" t="s">
        <v>28</v>
      </c>
      <c r="G296" t="s">
        <v>15</v>
      </c>
      <c r="H296" s="1">
        <v>44454</v>
      </c>
      <c r="I296" t="s">
        <v>375</v>
      </c>
      <c r="J296" t="s">
        <v>98</v>
      </c>
      <c r="K296" t="s">
        <v>99</v>
      </c>
      <c r="L296" s="2" t="s">
        <v>224</v>
      </c>
      <c r="M296" t="str">
        <f>TEXT(Table13[[#This Row],[Order Date]],"MMM")</f>
        <v>Sep</v>
      </c>
      <c r="N296">
        <f>YEAR(Table13[[#This Row],[Order Date]])</f>
        <v>2021</v>
      </c>
      <c r="O296" t="str">
        <f>"Q"&amp;ROUNDUP(MONTH(Table13[[#This Row],[Order Date]])/3,0)</f>
        <v>Q3</v>
      </c>
      <c r="P296" s="5">
        <f>Table13[[#This Row],[Profit]]/Table13[[#This Row],[Amount]]</f>
        <v>0.15525114155251141</v>
      </c>
      <c r="Q296" s="6">
        <f>Table13[[#This Row],[Amount]]/Table13[[#This Row],[Quantity]]</f>
        <v>423.4</v>
      </c>
    </row>
    <row r="297" spans="1:17" x14ac:dyDescent="0.3">
      <c r="A297" t="s">
        <v>374</v>
      </c>
      <c r="B297">
        <v>6351</v>
      </c>
      <c r="C297">
        <v>986</v>
      </c>
      <c r="D297">
        <v>15</v>
      </c>
      <c r="E297" t="s">
        <v>13</v>
      </c>
      <c r="F297" t="s">
        <v>28</v>
      </c>
      <c r="G297" t="s">
        <v>15</v>
      </c>
      <c r="H297" s="1">
        <v>44954</v>
      </c>
      <c r="I297" t="s">
        <v>376</v>
      </c>
      <c r="J297" t="s">
        <v>71</v>
      </c>
      <c r="K297" t="s">
        <v>138</v>
      </c>
      <c r="L297" s="2" t="s">
        <v>333</v>
      </c>
      <c r="M297" t="str">
        <f>TEXT(Table13[[#This Row],[Order Date]],"MMM")</f>
        <v>Jan</v>
      </c>
      <c r="N297">
        <f>YEAR(Table13[[#This Row],[Order Date]])</f>
        <v>2023</v>
      </c>
      <c r="O297" t="str">
        <f>"Q"&amp;ROUNDUP(MONTH(Table13[[#This Row],[Order Date]])/3,0)</f>
        <v>Q1</v>
      </c>
      <c r="P297" s="5">
        <f>Table13[[#This Row],[Profit]]/Table13[[#This Row],[Amount]]</f>
        <v>0.15525114155251141</v>
      </c>
      <c r="Q297" s="6">
        <f>Table13[[#This Row],[Amount]]/Table13[[#This Row],[Quantity]]</f>
        <v>423.4</v>
      </c>
    </row>
    <row r="298" spans="1:17" x14ac:dyDescent="0.3">
      <c r="A298" t="s">
        <v>377</v>
      </c>
      <c r="B298">
        <v>869</v>
      </c>
      <c r="C298">
        <v>373</v>
      </c>
      <c r="D298">
        <v>14</v>
      </c>
      <c r="E298" t="s">
        <v>30</v>
      </c>
      <c r="F298" t="s">
        <v>64</v>
      </c>
      <c r="G298" t="s">
        <v>47</v>
      </c>
      <c r="H298" s="1">
        <v>44385</v>
      </c>
      <c r="I298" t="s">
        <v>378</v>
      </c>
      <c r="J298" t="s">
        <v>25</v>
      </c>
      <c r="K298" t="s">
        <v>51</v>
      </c>
      <c r="L298" s="2" t="s">
        <v>27</v>
      </c>
      <c r="M298" t="str">
        <f>TEXT(Table13[[#This Row],[Order Date]],"MMM")</f>
        <v>Jul</v>
      </c>
      <c r="N298">
        <f>YEAR(Table13[[#This Row],[Order Date]])</f>
        <v>2021</v>
      </c>
      <c r="O298" t="str">
        <f>"Q"&amp;ROUNDUP(MONTH(Table13[[#This Row],[Order Date]])/3,0)</f>
        <v>Q3</v>
      </c>
      <c r="P298" s="5">
        <f>Table13[[#This Row],[Profit]]/Table13[[#This Row],[Amount]]</f>
        <v>0.42922899884925203</v>
      </c>
      <c r="Q298" s="6">
        <f>Table13[[#This Row],[Amount]]/Table13[[#This Row],[Quantity]]</f>
        <v>62.071428571428569</v>
      </c>
    </row>
    <row r="299" spans="1:17" x14ac:dyDescent="0.3">
      <c r="A299" t="s">
        <v>377</v>
      </c>
      <c r="B299">
        <v>869</v>
      </c>
      <c r="C299">
        <v>373</v>
      </c>
      <c r="D299">
        <v>14</v>
      </c>
      <c r="E299" t="s">
        <v>30</v>
      </c>
      <c r="F299" t="s">
        <v>64</v>
      </c>
      <c r="G299" t="s">
        <v>47</v>
      </c>
      <c r="H299" s="1">
        <v>43929</v>
      </c>
      <c r="I299" t="s">
        <v>379</v>
      </c>
      <c r="J299" t="s">
        <v>98</v>
      </c>
      <c r="K299" t="s">
        <v>117</v>
      </c>
      <c r="L299" s="2" t="s">
        <v>162</v>
      </c>
      <c r="M299" t="str">
        <f>TEXT(Table13[[#This Row],[Order Date]],"MMM")</f>
        <v>Apr</v>
      </c>
      <c r="N299">
        <f>YEAR(Table13[[#This Row],[Order Date]])</f>
        <v>2020</v>
      </c>
      <c r="O299" t="str">
        <f>"Q"&amp;ROUNDUP(MONTH(Table13[[#This Row],[Order Date]])/3,0)</f>
        <v>Q2</v>
      </c>
      <c r="P299" s="5">
        <f>Table13[[#This Row],[Profit]]/Table13[[#This Row],[Amount]]</f>
        <v>0.42922899884925203</v>
      </c>
      <c r="Q299" s="6">
        <f>Table13[[#This Row],[Amount]]/Table13[[#This Row],[Quantity]]</f>
        <v>62.071428571428569</v>
      </c>
    </row>
    <row r="300" spans="1:17" x14ac:dyDescent="0.3">
      <c r="A300" t="s">
        <v>377</v>
      </c>
      <c r="B300">
        <v>1486</v>
      </c>
      <c r="C300">
        <v>114</v>
      </c>
      <c r="D300">
        <v>7</v>
      </c>
      <c r="E300" t="s">
        <v>45</v>
      </c>
      <c r="F300" t="s">
        <v>109</v>
      </c>
      <c r="G300" t="s">
        <v>15</v>
      </c>
      <c r="H300" s="1">
        <v>44385</v>
      </c>
      <c r="I300" t="s">
        <v>378</v>
      </c>
      <c r="J300" t="s">
        <v>25</v>
      </c>
      <c r="K300" t="s">
        <v>51</v>
      </c>
      <c r="L300" s="2" t="s">
        <v>27</v>
      </c>
      <c r="M300" t="str">
        <f>TEXT(Table13[[#This Row],[Order Date]],"MMM")</f>
        <v>Jul</v>
      </c>
      <c r="N300">
        <f>YEAR(Table13[[#This Row],[Order Date]])</f>
        <v>2021</v>
      </c>
      <c r="O300" t="str">
        <f>"Q"&amp;ROUNDUP(MONTH(Table13[[#This Row],[Order Date]])/3,0)</f>
        <v>Q3</v>
      </c>
      <c r="P300" s="5">
        <f>Table13[[#This Row],[Profit]]/Table13[[#This Row],[Amount]]</f>
        <v>7.6716016150740238E-2</v>
      </c>
      <c r="Q300" s="6">
        <f>Table13[[#This Row],[Amount]]/Table13[[#This Row],[Quantity]]</f>
        <v>212.28571428571428</v>
      </c>
    </row>
    <row r="301" spans="1:17" x14ac:dyDescent="0.3">
      <c r="A301" t="s">
        <v>377</v>
      </c>
      <c r="B301">
        <v>1486</v>
      </c>
      <c r="C301">
        <v>114</v>
      </c>
      <c r="D301">
        <v>7</v>
      </c>
      <c r="E301" t="s">
        <v>45</v>
      </c>
      <c r="F301" t="s">
        <v>109</v>
      </c>
      <c r="G301" t="s">
        <v>15</v>
      </c>
      <c r="H301" s="1">
        <v>43929</v>
      </c>
      <c r="I301" t="s">
        <v>379</v>
      </c>
      <c r="J301" t="s">
        <v>98</v>
      </c>
      <c r="K301" t="s">
        <v>117</v>
      </c>
      <c r="L301" s="2" t="s">
        <v>162</v>
      </c>
      <c r="M301" t="str">
        <f>TEXT(Table13[[#This Row],[Order Date]],"MMM")</f>
        <v>Apr</v>
      </c>
      <c r="N301">
        <f>YEAR(Table13[[#This Row],[Order Date]])</f>
        <v>2020</v>
      </c>
      <c r="O301" t="str">
        <f>"Q"&amp;ROUNDUP(MONTH(Table13[[#This Row],[Order Date]])/3,0)</f>
        <v>Q2</v>
      </c>
      <c r="P301" s="5">
        <f>Table13[[#This Row],[Profit]]/Table13[[#This Row],[Amount]]</f>
        <v>7.6716016150740238E-2</v>
      </c>
      <c r="Q301" s="6">
        <f>Table13[[#This Row],[Amount]]/Table13[[#This Row],[Quantity]]</f>
        <v>212.28571428571428</v>
      </c>
    </row>
    <row r="302" spans="1:17" x14ac:dyDescent="0.3">
      <c r="A302" t="s">
        <v>380</v>
      </c>
      <c r="B302">
        <v>2999</v>
      </c>
      <c r="C302">
        <v>145</v>
      </c>
      <c r="D302">
        <v>13</v>
      </c>
      <c r="E302" t="s">
        <v>30</v>
      </c>
      <c r="F302" t="s">
        <v>78</v>
      </c>
      <c r="G302" t="s">
        <v>65</v>
      </c>
      <c r="H302" s="1">
        <v>44796</v>
      </c>
      <c r="I302" t="s">
        <v>381</v>
      </c>
      <c r="J302" t="s">
        <v>21</v>
      </c>
      <c r="K302" t="s">
        <v>22</v>
      </c>
      <c r="L302" s="2" t="s">
        <v>209</v>
      </c>
      <c r="M302" t="str">
        <f>TEXT(Table13[[#This Row],[Order Date]],"MMM")</f>
        <v>Aug</v>
      </c>
      <c r="N302">
        <f>YEAR(Table13[[#This Row],[Order Date]])</f>
        <v>2022</v>
      </c>
      <c r="O302" t="str">
        <f>"Q"&amp;ROUNDUP(MONTH(Table13[[#This Row],[Order Date]])/3,0)</f>
        <v>Q3</v>
      </c>
      <c r="P302" s="5">
        <f>Table13[[#This Row],[Profit]]/Table13[[#This Row],[Amount]]</f>
        <v>4.8349449816605536E-2</v>
      </c>
      <c r="Q302" s="6">
        <f>Table13[[#This Row],[Amount]]/Table13[[#This Row],[Quantity]]</f>
        <v>230.69230769230768</v>
      </c>
    </row>
    <row r="303" spans="1:17" x14ac:dyDescent="0.3">
      <c r="A303" t="s">
        <v>380</v>
      </c>
      <c r="B303">
        <v>5142</v>
      </c>
      <c r="C303">
        <v>1916</v>
      </c>
      <c r="D303">
        <v>20</v>
      </c>
      <c r="E303" t="s">
        <v>30</v>
      </c>
      <c r="F303" t="s">
        <v>64</v>
      </c>
      <c r="G303" t="s">
        <v>40</v>
      </c>
      <c r="H303" s="1">
        <v>44796</v>
      </c>
      <c r="I303" t="s">
        <v>381</v>
      </c>
      <c r="J303" t="s">
        <v>21</v>
      </c>
      <c r="K303" t="s">
        <v>22</v>
      </c>
      <c r="L303" s="2" t="s">
        <v>209</v>
      </c>
      <c r="M303" t="str">
        <f>TEXT(Table13[[#This Row],[Order Date]],"MMM")</f>
        <v>Aug</v>
      </c>
      <c r="N303">
        <f>YEAR(Table13[[#This Row],[Order Date]])</f>
        <v>2022</v>
      </c>
      <c r="O303" t="str">
        <f>"Q"&amp;ROUNDUP(MONTH(Table13[[#This Row],[Order Date]])/3,0)</f>
        <v>Q3</v>
      </c>
      <c r="P303" s="5">
        <f>Table13[[#This Row],[Profit]]/Table13[[#This Row],[Amount]]</f>
        <v>0.37261765849863865</v>
      </c>
      <c r="Q303" s="6">
        <f>Table13[[#This Row],[Amount]]/Table13[[#This Row],[Quantity]]</f>
        <v>257.10000000000002</v>
      </c>
    </row>
    <row r="304" spans="1:17" x14ac:dyDescent="0.3">
      <c r="A304" t="s">
        <v>382</v>
      </c>
      <c r="B304">
        <v>1239</v>
      </c>
      <c r="C304">
        <v>575</v>
      </c>
      <c r="D304">
        <v>17</v>
      </c>
      <c r="E304" t="s">
        <v>13</v>
      </c>
      <c r="F304" t="s">
        <v>39</v>
      </c>
      <c r="G304" t="s">
        <v>15</v>
      </c>
      <c r="H304" s="1">
        <v>44912</v>
      </c>
      <c r="I304" t="s">
        <v>383</v>
      </c>
      <c r="J304" t="s">
        <v>25</v>
      </c>
      <c r="K304" t="s">
        <v>68</v>
      </c>
      <c r="L304" s="2" t="s">
        <v>152</v>
      </c>
      <c r="M304" t="str">
        <f>TEXT(Table13[[#This Row],[Order Date]],"MMM")</f>
        <v>Dec</v>
      </c>
      <c r="N304">
        <f>YEAR(Table13[[#This Row],[Order Date]])</f>
        <v>2022</v>
      </c>
      <c r="O304" t="str">
        <f>"Q"&amp;ROUNDUP(MONTH(Table13[[#This Row],[Order Date]])/3,0)</f>
        <v>Q4</v>
      </c>
      <c r="P304" s="5">
        <f>Table13[[#This Row],[Profit]]/Table13[[#This Row],[Amount]]</f>
        <v>0.46408393866020986</v>
      </c>
      <c r="Q304" s="6">
        <f>Table13[[#This Row],[Amount]]/Table13[[#This Row],[Quantity]]</f>
        <v>72.882352941176464</v>
      </c>
    </row>
    <row r="305" spans="1:17" x14ac:dyDescent="0.3">
      <c r="A305" t="s">
        <v>382</v>
      </c>
      <c r="B305">
        <v>1239</v>
      </c>
      <c r="C305">
        <v>575</v>
      </c>
      <c r="D305">
        <v>17</v>
      </c>
      <c r="E305" t="s">
        <v>13</v>
      </c>
      <c r="F305" t="s">
        <v>39</v>
      </c>
      <c r="G305" t="s">
        <v>15</v>
      </c>
      <c r="H305" s="1">
        <v>44720</v>
      </c>
      <c r="I305" t="s">
        <v>384</v>
      </c>
      <c r="J305" t="s">
        <v>21</v>
      </c>
      <c r="K305" t="s">
        <v>63</v>
      </c>
      <c r="L305" s="2" t="s">
        <v>165</v>
      </c>
      <c r="M305" t="str">
        <f>TEXT(Table13[[#This Row],[Order Date]],"MMM")</f>
        <v>Jun</v>
      </c>
      <c r="N305">
        <f>YEAR(Table13[[#This Row],[Order Date]])</f>
        <v>2022</v>
      </c>
      <c r="O305" t="str">
        <f>"Q"&amp;ROUNDUP(MONTH(Table13[[#This Row],[Order Date]])/3,0)</f>
        <v>Q2</v>
      </c>
      <c r="P305" s="5">
        <f>Table13[[#This Row],[Profit]]/Table13[[#This Row],[Amount]]</f>
        <v>0.46408393866020986</v>
      </c>
      <c r="Q305" s="6">
        <f>Table13[[#This Row],[Amount]]/Table13[[#This Row],[Quantity]]</f>
        <v>72.882352941176464</v>
      </c>
    </row>
    <row r="306" spans="1:17" x14ac:dyDescent="0.3">
      <c r="A306" t="s">
        <v>382</v>
      </c>
      <c r="B306">
        <v>1262</v>
      </c>
      <c r="C306">
        <v>515</v>
      </c>
      <c r="D306">
        <v>16</v>
      </c>
      <c r="E306" t="s">
        <v>13</v>
      </c>
      <c r="F306" t="s">
        <v>14</v>
      </c>
      <c r="G306" t="s">
        <v>40</v>
      </c>
      <c r="H306" s="1">
        <v>44912</v>
      </c>
      <c r="I306" t="s">
        <v>383</v>
      </c>
      <c r="J306" t="s">
        <v>25</v>
      </c>
      <c r="K306" t="s">
        <v>68</v>
      </c>
      <c r="L306" s="2" t="s">
        <v>152</v>
      </c>
      <c r="M306" t="str">
        <f>TEXT(Table13[[#This Row],[Order Date]],"MMM")</f>
        <v>Dec</v>
      </c>
      <c r="N306">
        <f>YEAR(Table13[[#This Row],[Order Date]])</f>
        <v>2022</v>
      </c>
      <c r="O306" t="str">
        <f>"Q"&amp;ROUNDUP(MONTH(Table13[[#This Row],[Order Date]])/3,0)</f>
        <v>Q4</v>
      </c>
      <c r="P306" s="5">
        <f>Table13[[#This Row],[Profit]]/Table13[[#This Row],[Amount]]</f>
        <v>0.40808240887480191</v>
      </c>
      <c r="Q306" s="6">
        <f>Table13[[#This Row],[Amount]]/Table13[[#This Row],[Quantity]]</f>
        <v>78.875</v>
      </c>
    </row>
    <row r="307" spans="1:17" x14ac:dyDescent="0.3">
      <c r="A307" t="s">
        <v>382</v>
      </c>
      <c r="B307">
        <v>1262</v>
      </c>
      <c r="C307">
        <v>515</v>
      </c>
      <c r="D307">
        <v>16</v>
      </c>
      <c r="E307" t="s">
        <v>13</v>
      </c>
      <c r="F307" t="s">
        <v>14</v>
      </c>
      <c r="G307" t="s">
        <v>40</v>
      </c>
      <c r="H307" s="1">
        <v>44720</v>
      </c>
      <c r="I307" t="s">
        <v>384</v>
      </c>
      <c r="J307" t="s">
        <v>21</v>
      </c>
      <c r="K307" t="s">
        <v>63</v>
      </c>
      <c r="L307" s="2" t="s">
        <v>165</v>
      </c>
      <c r="M307" t="str">
        <f>TEXT(Table13[[#This Row],[Order Date]],"MMM")</f>
        <v>Jun</v>
      </c>
      <c r="N307">
        <f>YEAR(Table13[[#This Row],[Order Date]])</f>
        <v>2022</v>
      </c>
      <c r="O307" t="str">
        <f>"Q"&amp;ROUNDUP(MONTH(Table13[[#This Row],[Order Date]])/3,0)</f>
        <v>Q2</v>
      </c>
      <c r="P307" s="5">
        <f>Table13[[#This Row],[Profit]]/Table13[[#This Row],[Amount]]</f>
        <v>0.40808240887480191</v>
      </c>
      <c r="Q307" s="6">
        <f>Table13[[#This Row],[Amount]]/Table13[[#This Row],[Quantity]]</f>
        <v>78.875</v>
      </c>
    </row>
    <row r="308" spans="1:17" x14ac:dyDescent="0.3">
      <c r="A308" t="s">
        <v>385</v>
      </c>
      <c r="B308">
        <v>1033</v>
      </c>
      <c r="C308">
        <v>254</v>
      </c>
      <c r="D308">
        <v>5</v>
      </c>
      <c r="E308" t="s">
        <v>45</v>
      </c>
      <c r="F308" t="s">
        <v>109</v>
      </c>
      <c r="G308" t="s">
        <v>65</v>
      </c>
      <c r="H308" s="1">
        <v>44071</v>
      </c>
      <c r="I308" t="s">
        <v>386</v>
      </c>
      <c r="J308" t="s">
        <v>25</v>
      </c>
      <c r="K308" t="s">
        <v>68</v>
      </c>
      <c r="L308" s="2" t="s">
        <v>185</v>
      </c>
      <c r="M308" t="str">
        <f>TEXT(Table13[[#This Row],[Order Date]],"MMM")</f>
        <v>Aug</v>
      </c>
      <c r="N308">
        <f>YEAR(Table13[[#This Row],[Order Date]])</f>
        <v>2020</v>
      </c>
      <c r="O308" t="str">
        <f>"Q"&amp;ROUNDUP(MONTH(Table13[[#This Row],[Order Date]])/3,0)</f>
        <v>Q3</v>
      </c>
      <c r="P308" s="5">
        <f>Table13[[#This Row],[Profit]]/Table13[[#This Row],[Amount]]</f>
        <v>0.24588576960309777</v>
      </c>
      <c r="Q308" s="6">
        <f>Table13[[#This Row],[Amount]]/Table13[[#This Row],[Quantity]]</f>
        <v>206.6</v>
      </c>
    </row>
    <row r="309" spans="1:17" x14ac:dyDescent="0.3">
      <c r="A309" t="s">
        <v>387</v>
      </c>
      <c r="B309">
        <v>1518</v>
      </c>
      <c r="C309">
        <v>159</v>
      </c>
      <c r="D309">
        <v>19</v>
      </c>
      <c r="E309" t="s">
        <v>13</v>
      </c>
      <c r="F309" t="s">
        <v>28</v>
      </c>
      <c r="G309" t="s">
        <v>15</v>
      </c>
      <c r="H309" s="1">
        <v>44100</v>
      </c>
      <c r="I309" t="s">
        <v>388</v>
      </c>
      <c r="J309" t="s">
        <v>42</v>
      </c>
      <c r="K309" t="s">
        <v>75</v>
      </c>
      <c r="L309" s="2" t="s">
        <v>389</v>
      </c>
      <c r="M309" t="str">
        <f>TEXT(Table13[[#This Row],[Order Date]],"MMM")</f>
        <v>Sep</v>
      </c>
      <c r="N309">
        <f>YEAR(Table13[[#This Row],[Order Date]])</f>
        <v>2020</v>
      </c>
      <c r="O309" t="str">
        <f>"Q"&amp;ROUNDUP(MONTH(Table13[[#This Row],[Order Date]])/3,0)</f>
        <v>Q3</v>
      </c>
      <c r="P309" s="5">
        <f>Table13[[#This Row],[Profit]]/Table13[[#This Row],[Amount]]</f>
        <v>0.10474308300395258</v>
      </c>
      <c r="Q309" s="6">
        <f>Table13[[#This Row],[Amount]]/Table13[[#This Row],[Quantity]]</f>
        <v>79.89473684210526</v>
      </c>
    </row>
    <row r="310" spans="1:17" x14ac:dyDescent="0.3">
      <c r="A310" t="s">
        <v>390</v>
      </c>
      <c r="B310">
        <v>8581</v>
      </c>
      <c r="C310">
        <v>2444</v>
      </c>
      <c r="D310">
        <v>2</v>
      </c>
      <c r="E310" t="s">
        <v>30</v>
      </c>
      <c r="F310" t="s">
        <v>64</v>
      </c>
      <c r="G310" t="s">
        <v>32</v>
      </c>
      <c r="H310" s="1">
        <v>44178</v>
      </c>
      <c r="I310" t="s">
        <v>391</v>
      </c>
      <c r="J310" t="s">
        <v>21</v>
      </c>
      <c r="K310" t="s">
        <v>172</v>
      </c>
      <c r="L310" s="2" t="s">
        <v>287</v>
      </c>
      <c r="M310" t="str">
        <f>TEXT(Table13[[#This Row],[Order Date]],"MMM")</f>
        <v>Dec</v>
      </c>
      <c r="N310">
        <f>YEAR(Table13[[#This Row],[Order Date]])</f>
        <v>2020</v>
      </c>
      <c r="O310" t="str">
        <f>"Q"&amp;ROUNDUP(MONTH(Table13[[#This Row],[Order Date]])/3,0)</f>
        <v>Q4</v>
      </c>
      <c r="P310" s="5">
        <f>Table13[[#This Row],[Profit]]/Table13[[#This Row],[Amount]]</f>
        <v>0.2848152895932875</v>
      </c>
      <c r="Q310" s="6">
        <f>Table13[[#This Row],[Amount]]/Table13[[#This Row],[Quantity]]</f>
        <v>4290.5</v>
      </c>
    </row>
    <row r="311" spans="1:17" x14ac:dyDescent="0.3">
      <c r="A311" t="s">
        <v>390</v>
      </c>
      <c r="B311">
        <v>8581</v>
      </c>
      <c r="C311">
        <v>2444</v>
      </c>
      <c r="D311">
        <v>2</v>
      </c>
      <c r="E311" t="s">
        <v>30</v>
      </c>
      <c r="F311" t="s">
        <v>64</v>
      </c>
      <c r="G311" t="s">
        <v>32</v>
      </c>
      <c r="H311" s="1">
        <v>44154</v>
      </c>
      <c r="I311" t="s">
        <v>392</v>
      </c>
      <c r="J311" t="s">
        <v>17</v>
      </c>
      <c r="K311" t="s">
        <v>34</v>
      </c>
      <c r="L311" s="2" t="s">
        <v>80</v>
      </c>
      <c r="M311" t="str">
        <f>TEXT(Table13[[#This Row],[Order Date]],"MMM")</f>
        <v>Nov</v>
      </c>
      <c r="N311">
        <f>YEAR(Table13[[#This Row],[Order Date]])</f>
        <v>2020</v>
      </c>
      <c r="O311" t="str">
        <f>"Q"&amp;ROUNDUP(MONTH(Table13[[#This Row],[Order Date]])/3,0)</f>
        <v>Q4</v>
      </c>
      <c r="P311" s="5">
        <f>Table13[[#This Row],[Profit]]/Table13[[#This Row],[Amount]]</f>
        <v>0.2848152895932875</v>
      </c>
      <c r="Q311" s="6">
        <f>Table13[[#This Row],[Amount]]/Table13[[#This Row],[Quantity]]</f>
        <v>4290.5</v>
      </c>
    </row>
    <row r="312" spans="1:17" x14ac:dyDescent="0.3">
      <c r="A312" t="s">
        <v>393</v>
      </c>
      <c r="B312">
        <v>1167</v>
      </c>
      <c r="C312">
        <v>463</v>
      </c>
      <c r="D312">
        <v>5</v>
      </c>
      <c r="E312" t="s">
        <v>30</v>
      </c>
      <c r="F312" t="s">
        <v>31</v>
      </c>
      <c r="G312" t="s">
        <v>15</v>
      </c>
      <c r="H312" s="1">
        <v>45182</v>
      </c>
      <c r="I312" t="s">
        <v>394</v>
      </c>
      <c r="J312" t="s">
        <v>71</v>
      </c>
      <c r="K312" t="s">
        <v>86</v>
      </c>
      <c r="L312" s="2" t="s">
        <v>273</v>
      </c>
      <c r="M312" t="str">
        <f>TEXT(Table13[[#This Row],[Order Date]],"MMM")</f>
        <v>Sep</v>
      </c>
      <c r="N312">
        <f>YEAR(Table13[[#This Row],[Order Date]])</f>
        <v>2023</v>
      </c>
      <c r="O312" t="str">
        <f>"Q"&amp;ROUNDUP(MONTH(Table13[[#This Row],[Order Date]])/3,0)</f>
        <v>Q3</v>
      </c>
      <c r="P312" s="5">
        <f>Table13[[#This Row],[Profit]]/Table13[[#This Row],[Amount]]</f>
        <v>0.39674378748928879</v>
      </c>
      <c r="Q312" s="6">
        <f>Table13[[#This Row],[Amount]]/Table13[[#This Row],[Quantity]]</f>
        <v>233.4</v>
      </c>
    </row>
    <row r="313" spans="1:17" x14ac:dyDescent="0.3">
      <c r="A313" t="s">
        <v>393</v>
      </c>
      <c r="B313">
        <v>2841</v>
      </c>
      <c r="C313">
        <v>803</v>
      </c>
      <c r="D313">
        <v>20</v>
      </c>
      <c r="E313" t="s">
        <v>13</v>
      </c>
      <c r="F313" t="s">
        <v>39</v>
      </c>
      <c r="G313" t="s">
        <v>47</v>
      </c>
      <c r="H313" s="1">
        <v>45182</v>
      </c>
      <c r="I313" t="s">
        <v>394</v>
      </c>
      <c r="J313" t="s">
        <v>71</v>
      </c>
      <c r="K313" t="s">
        <v>86</v>
      </c>
      <c r="L313" s="2" t="s">
        <v>273</v>
      </c>
      <c r="M313" t="str">
        <f>TEXT(Table13[[#This Row],[Order Date]],"MMM")</f>
        <v>Sep</v>
      </c>
      <c r="N313">
        <f>YEAR(Table13[[#This Row],[Order Date]])</f>
        <v>2023</v>
      </c>
      <c r="O313" t="str">
        <f>"Q"&amp;ROUNDUP(MONTH(Table13[[#This Row],[Order Date]])/3,0)</f>
        <v>Q3</v>
      </c>
      <c r="P313" s="5">
        <f>Table13[[#This Row],[Profit]]/Table13[[#This Row],[Amount]]</f>
        <v>0.2826469552974305</v>
      </c>
      <c r="Q313" s="6">
        <f>Table13[[#This Row],[Amount]]/Table13[[#This Row],[Quantity]]</f>
        <v>142.05000000000001</v>
      </c>
    </row>
    <row r="314" spans="1:17" x14ac:dyDescent="0.3">
      <c r="A314" t="s">
        <v>393</v>
      </c>
      <c r="B314">
        <v>5680</v>
      </c>
      <c r="C314">
        <v>2159</v>
      </c>
      <c r="D314">
        <v>19</v>
      </c>
      <c r="E314" t="s">
        <v>45</v>
      </c>
      <c r="F314" t="s">
        <v>46</v>
      </c>
      <c r="G314" t="s">
        <v>15</v>
      </c>
      <c r="H314" s="1">
        <v>45182</v>
      </c>
      <c r="I314" t="s">
        <v>394</v>
      </c>
      <c r="J314" t="s">
        <v>71</v>
      </c>
      <c r="K314" t="s">
        <v>86</v>
      </c>
      <c r="L314" s="2" t="s">
        <v>273</v>
      </c>
      <c r="M314" t="str">
        <f>TEXT(Table13[[#This Row],[Order Date]],"MMM")</f>
        <v>Sep</v>
      </c>
      <c r="N314">
        <f>YEAR(Table13[[#This Row],[Order Date]])</f>
        <v>2023</v>
      </c>
      <c r="O314" t="str">
        <f>"Q"&amp;ROUNDUP(MONTH(Table13[[#This Row],[Order Date]])/3,0)</f>
        <v>Q3</v>
      </c>
      <c r="P314" s="5">
        <f>Table13[[#This Row],[Profit]]/Table13[[#This Row],[Amount]]</f>
        <v>0.38010563380281692</v>
      </c>
      <c r="Q314" s="6">
        <f>Table13[[#This Row],[Amount]]/Table13[[#This Row],[Quantity]]</f>
        <v>298.94736842105266</v>
      </c>
    </row>
    <row r="315" spans="1:17" x14ac:dyDescent="0.3">
      <c r="A315" t="s">
        <v>395</v>
      </c>
      <c r="B315">
        <v>8204</v>
      </c>
      <c r="C315">
        <v>2382</v>
      </c>
      <c r="D315">
        <v>6</v>
      </c>
      <c r="E315" t="s">
        <v>30</v>
      </c>
      <c r="F315" t="s">
        <v>31</v>
      </c>
      <c r="G315" t="s">
        <v>15</v>
      </c>
      <c r="H315" s="1">
        <v>43921</v>
      </c>
      <c r="I315" t="s">
        <v>396</v>
      </c>
      <c r="J315" t="s">
        <v>21</v>
      </c>
      <c r="K315" t="s">
        <v>22</v>
      </c>
      <c r="L315" s="2" t="s">
        <v>55</v>
      </c>
      <c r="M315" t="str">
        <f>TEXT(Table13[[#This Row],[Order Date]],"MMM")</f>
        <v>Mar</v>
      </c>
      <c r="N315">
        <f>YEAR(Table13[[#This Row],[Order Date]])</f>
        <v>2020</v>
      </c>
      <c r="O315" t="str">
        <f>"Q"&amp;ROUNDUP(MONTH(Table13[[#This Row],[Order Date]])/3,0)</f>
        <v>Q1</v>
      </c>
      <c r="P315" s="5">
        <f>Table13[[#This Row],[Profit]]/Table13[[#This Row],[Amount]]</f>
        <v>0.2903461725987323</v>
      </c>
      <c r="Q315" s="6">
        <f>Table13[[#This Row],[Amount]]/Table13[[#This Row],[Quantity]]</f>
        <v>1367.3333333333333</v>
      </c>
    </row>
    <row r="316" spans="1:17" x14ac:dyDescent="0.3">
      <c r="A316" t="s">
        <v>395</v>
      </c>
      <c r="B316">
        <v>8204</v>
      </c>
      <c r="C316">
        <v>2382</v>
      </c>
      <c r="D316">
        <v>6</v>
      </c>
      <c r="E316" t="s">
        <v>30</v>
      </c>
      <c r="F316" t="s">
        <v>31</v>
      </c>
      <c r="G316" t="s">
        <v>15</v>
      </c>
      <c r="H316" s="1">
        <v>44124</v>
      </c>
      <c r="I316" t="s">
        <v>397</v>
      </c>
      <c r="J316" t="s">
        <v>25</v>
      </c>
      <c r="K316" t="s">
        <v>26</v>
      </c>
      <c r="L316" s="2" t="s">
        <v>119</v>
      </c>
      <c r="M316" t="str">
        <f>TEXT(Table13[[#This Row],[Order Date]],"MMM")</f>
        <v>Oct</v>
      </c>
      <c r="N316">
        <f>YEAR(Table13[[#This Row],[Order Date]])</f>
        <v>2020</v>
      </c>
      <c r="O316" t="str">
        <f>"Q"&amp;ROUNDUP(MONTH(Table13[[#This Row],[Order Date]])/3,0)</f>
        <v>Q4</v>
      </c>
      <c r="P316" s="5">
        <f>Table13[[#This Row],[Profit]]/Table13[[#This Row],[Amount]]</f>
        <v>0.2903461725987323</v>
      </c>
      <c r="Q316" s="6">
        <f>Table13[[#This Row],[Amount]]/Table13[[#This Row],[Quantity]]</f>
        <v>1367.3333333333333</v>
      </c>
    </row>
    <row r="317" spans="1:17" x14ac:dyDescent="0.3">
      <c r="A317" t="s">
        <v>395</v>
      </c>
      <c r="B317">
        <v>2850</v>
      </c>
      <c r="C317">
        <v>904</v>
      </c>
      <c r="D317">
        <v>6</v>
      </c>
      <c r="E317" t="s">
        <v>13</v>
      </c>
      <c r="F317" t="s">
        <v>82</v>
      </c>
      <c r="G317" t="s">
        <v>40</v>
      </c>
      <c r="H317" s="1">
        <v>43921</v>
      </c>
      <c r="I317" t="s">
        <v>396</v>
      </c>
      <c r="J317" t="s">
        <v>21</v>
      </c>
      <c r="K317" t="s">
        <v>22</v>
      </c>
      <c r="L317" s="2" t="s">
        <v>55</v>
      </c>
      <c r="M317" t="str">
        <f>TEXT(Table13[[#This Row],[Order Date]],"MMM")</f>
        <v>Mar</v>
      </c>
      <c r="N317">
        <f>YEAR(Table13[[#This Row],[Order Date]])</f>
        <v>2020</v>
      </c>
      <c r="O317" t="str">
        <f>"Q"&amp;ROUNDUP(MONTH(Table13[[#This Row],[Order Date]])/3,0)</f>
        <v>Q1</v>
      </c>
      <c r="P317" s="5">
        <f>Table13[[#This Row],[Profit]]/Table13[[#This Row],[Amount]]</f>
        <v>0.31719298245614036</v>
      </c>
      <c r="Q317" s="6">
        <f>Table13[[#This Row],[Amount]]/Table13[[#This Row],[Quantity]]</f>
        <v>475</v>
      </c>
    </row>
    <row r="318" spans="1:17" x14ac:dyDescent="0.3">
      <c r="A318" t="s">
        <v>395</v>
      </c>
      <c r="B318">
        <v>2850</v>
      </c>
      <c r="C318">
        <v>904</v>
      </c>
      <c r="D318">
        <v>6</v>
      </c>
      <c r="E318" t="s">
        <v>13</v>
      </c>
      <c r="F318" t="s">
        <v>82</v>
      </c>
      <c r="G318" t="s">
        <v>40</v>
      </c>
      <c r="H318" s="1">
        <v>44124</v>
      </c>
      <c r="I318" t="s">
        <v>397</v>
      </c>
      <c r="J318" t="s">
        <v>25</v>
      </c>
      <c r="K318" t="s">
        <v>26</v>
      </c>
      <c r="L318" s="2" t="s">
        <v>119</v>
      </c>
      <c r="M318" t="str">
        <f>TEXT(Table13[[#This Row],[Order Date]],"MMM")</f>
        <v>Oct</v>
      </c>
      <c r="N318">
        <f>YEAR(Table13[[#This Row],[Order Date]])</f>
        <v>2020</v>
      </c>
      <c r="O318" t="str">
        <f>"Q"&amp;ROUNDUP(MONTH(Table13[[#This Row],[Order Date]])/3,0)</f>
        <v>Q4</v>
      </c>
      <c r="P318" s="5">
        <f>Table13[[#This Row],[Profit]]/Table13[[#This Row],[Amount]]</f>
        <v>0.31719298245614036</v>
      </c>
      <c r="Q318" s="6">
        <f>Table13[[#This Row],[Amount]]/Table13[[#This Row],[Quantity]]</f>
        <v>475</v>
      </c>
    </row>
    <row r="319" spans="1:17" x14ac:dyDescent="0.3">
      <c r="A319" t="s">
        <v>398</v>
      </c>
      <c r="B319">
        <v>907</v>
      </c>
      <c r="C319">
        <v>391</v>
      </c>
      <c r="D319">
        <v>9</v>
      </c>
      <c r="E319" t="s">
        <v>30</v>
      </c>
      <c r="F319" t="s">
        <v>31</v>
      </c>
      <c r="G319" t="s">
        <v>47</v>
      </c>
      <c r="H319" s="1">
        <v>45142</v>
      </c>
      <c r="I319" t="s">
        <v>399</v>
      </c>
      <c r="J319" t="s">
        <v>25</v>
      </c>
      <c r="K319" t="s">
        <v>51</v>
      </c>
      <c r="L319" s="2" t="s">
        <v>121</v>
      </c>
      <c r="M319" t="str">
        <f>TEXT(Table13[[#This Row],[Order Date]],"MMM")</f>
        <v>Aug</v>
      </c>
      <c r="N319">
        <f>YEAR(Table13[[#This Row],[Order Date]])</f>
        <v>2023</v>
      </c>
      <c r="O319" t="str">
        <f>"Q"&amp;ROUNDUP(MONTH(Table13[[#This Row],[Order Date]])/3,0)</f>
        <v>Q3</v>
      </c>
      <c r="P319" s="5">
        <f>Table13[[#This Row],[Profit]]/Table13[[#This Row],[Amount]]</f>
        <v>0.43109151047409039</v>
      </c>
      <c r="Q319" s="6">
        <f>Table13[[#This Row],[Amount]]/Table13[[#This Row],[Quantity]]</f>
        <v>100.77777777777777</v>
      </c>
    </row>
    <row r="320" spans="1:17" x14ac:dyDescent="0.3">
      <c r="A320" t="s">
        <v>400</v>
      </c>
      <c r="B320">
        <v>2174</v>
      </c>
      <c r="C320">
        <v>265</v>
      </c>
      <c r="D320">
        <v>19</v>
      </c>
      <c r="E320" t="s">
        <v>30</v>
      </c>
      <c r="F320" t="s">
        <v>31</v>
      </c>
      <c r="G320" t="s">
        <v>47</v>
      </c>
      <c r="H320" s="1">
        <v>44662</v>
      </c>
      <c r="I320" t="s">
        <v>401</v>
      </c>
      <c r="J320" t="s">
        <v>98</v>
      </c>
      <c r="K320" t="s">
        <v>107</v>
      </c>
      <c r="L320" s="2" t="s">
        <v>187</v>
      </c>
      <c r="M320" t="str">
        <f>TEXT(Table13[[#This Row],[Order Date]],"MMM")</f>
        <v>Apr</v>
      </c>
      <c r="N320">
        <f>YEAR(Table13[[#This Row],[Order Date]])</f>
        <v>2022</v>
      </c>
      <c r="O320" t="str">
        <f>"Q"&amp;ROUNDUP(MONTH(Table13[[#This Row],[Order Date]])/3,0)</f>
        <v>Q2</v>
      </c>
      <c r="P320" s="5">
        <f>Table13[[#This Row],[Profit]]/Table13[[#This Row],[Amount]]</f>
        <v>0.12189512419503219</v>
      </c>
      <c r="Q320" s="6">
        <f>Table13[[#This Row],[Amount]]/Table13[[#This Row],[Quantity]]</f>
        <v>114.42105263157895</v>
      </c>
    </row>
    <row r="321" spans="1:17" x14ac:dyDescent="0.3">
      <c r="A321" t="s">
        <v>400</v>
      </c>
      <c r="B321">
        <v>8541</v>
      </c>
      <c r="C321">
        <v>2029</v>
      </c>
      <c r="D321">
        <v>12</v>
      </c>
      <c r="E321" t="s">
        <v>13</v>
      </c>
      <c r="F321" t="s">
        <v>14</v>
      </c>
      <c r="G321" t="s">
        <v>47</v>
      </c>
      <c r="H321" s="1">
        <v>44662</v>
      </c>
      <c r="I321" t="s">
        <v>401</v>
      </c>
      <c r="J321" t="s">
        <v>98</v>
      </c>
      <c r="K321" t="s">
        <v>107</v>
      </c>
      <c r="L321" s="2" t="s">
        <v>187</v>
      </c>
      <c r="M321" t="str">
        <f>TEXT(Table13[[#This Row],[Order Date]],"MMM")</f>
        <v>Apr</v>
      </c>
      <c r="N321">
        <f>YEAR(Table13[[#This Row],[Order Date]])</f>
        <v>2022</v>
      </c>
      <c r="O321" t="str">
        <f>"Q"&amp;ROUNDUP(MONTH(Table13[[#This Row],[Order Date]])/3,0)</f>
        <v>Q2</v>
      </c>
      <c r="P321" s="5">
        <f>Table13[[#This Row],[Profit]]/Table13[[#This Row],[Amount]]</f>
        <v>0.23756000468329236</v>
      </c>
      <c r="Q321" s="6">
        <f>Table13[[#This Row],[Amount]]/Table13[[#This Row],[Quantity]]</f>
        <v>711.75</v>
      </c>
    </row>
    <row r="322" spans="1:17" x14ac:dyDescent="0.3">
      <c r="A322" t="s">
        <v>400</v>
      </c>
      <c r="B322">
        <v>1931</v>
      </c>
      <c r="C322">
        <v>551</v>
      </c>
      <c r="D322">
        <v>3</v>
      </c>
      <c r="E322" t="s">
        <v>45</v>
      </c>
      <c r="F322" t="s">
        <v>109</v>
      </c>
      <c r="G322" t="s">
        <v>40</v>
      </c>
      <c r="H322" s="1">
        <v>44662</v>
      </c>
      <c r="I322" t="s">
        <v>401</v>
      </c>
      <c r="J322" t="s">
        <v>98</v>
      </c>
      <c r="K322" t="s">
        <v>107</v>
      </c>
      <c r="L322" s="2" t="s">
        <v>187</v>
      </c>
      <c r="M322" t="str">
        <f>TEXT(Table13[[#This Row],[Order Date]],"MMM")</f>
        <v>Apr</v>
      </c>
      <c r="N322">
        <f>YEAR(Table13[[#This Row],[Order Date]])</f>
        <v>2022</v>
      </c>
      <c r="O322" t="str">
        <f>"Q"&amp;ROUNDUP(MONTH(Table13[[#This Row],[Order Date]])/3,0)</f>
        <v>Q2</v>
      </c>
      <c r="P322" s="5">
        <f>Table13[[#This Row],[Profit]]/Table13[[#This Row],[Amount]]</f>
        <v>0.28534438114966337</v>
      </c>
      <c r="Q322" s="6">
        <f>Table13[[#This Row],[Amount]]/Table13[[#This Row],[Quantity]]</f>
        <v>643.66666666666663</v>
      </c>
    </row>
    <row r="323" spans="1:17" x14ac:dyDescent="0.3">
      <c r="A323" t="s">
        <v>402</v>
      </c>
      <c r="B323">
        <v>1281</v>
      </c>
      <c r="C323">
        <v>340</v>
      </c>
      <c r="D323">
        <v>3</v>
      </c>
      <c r="E323" t="s">
        <v>13</v>
      </c>
      <c r="F323" t="s">
        <v>14</v>
      </c>
      <c r="G323" t="s">
        <v>32</v>
      </c>
      <c r="H323" s="1">
        <v>44561</v>
      </c>
      <c r="I323" t="s">
        <v>403</v>
      </c>
      <c r="J323" t="s">
        <v>71</v>
      </c>
      <c r="K323" t="s">
        <v>86</v>
      </c>
      <c r="L323" s="2" t="s">
        <v>90</v>
      </c>
      <c r="M323" t="str">
        <f>TEXT(Table13[[#This Row],[Order Date]],"MMM")</f>
        <v>Dec</v>
      </c>
      <c r="N323">
        <f>YEAR(Table13[[#This Row],[Order Date]])</f>
        <v>2021</v>
      </c>
      <c r="O323" t="str">
        <f>"Q"&amp;ROUNDUP(MONTH(Table13[[#This Row],[Order Date]])/3,0)</f>
        <v>Q4</v>
      </c>
      <c r="P323" s="5">
        <f>Table13[[#This Row],[Profit]]/Table13[[#This Row],[Amount]]</f>
        <v>0.26541764246682281</v>
      </c>
      <c r="Q323" s="6">
        <f>Table13[[#This Row],[Amount]]/Table13[[#This Row],[Quantity]]</f>
        <v>427</v>
      </c>
    </row>
    <row r="324" spans="1:17" x14ac:dyDescent="0.3">
      <c r="A324" t="s">
        <v>402</v>
      </c>
      <c r="B324">
        <v>2404</v>
      </c>
      <c r="C324">
        <v>253</v>
      </c>
      <c r="D324">
        <v>15</v>
      </c>
      <c r="E324" t="s">
        <v>13</v>
      </c>
      <c r="F324" t="s">
        <v>39</v>
      </c>
      <c r="G324" t="s">
        <v>65</v>
      </c>
      <c r="H324" s="1">
        <v>44561</v>
      </c>
      <c r="I324" t="s">
        <v>403</v>
      </c>
      <c r="J324" t="s">
        <v>71</v>
      </c>
      <c r="K324" t="s">
        <v>86</v>
      </c>
      <c r="L324" s="2" t="s">
        <v>90</v>
      </c>
      <c r="M324" t="str">
        <f>TEXT(Table13[[#This Row],[Order Date]],"MMM")</f>
        <v>Dec</v>
      </c>
      <c r="N324">
        <f>YEAR(Table13[[#This Row],[Order Date]])</f>
        <v>2021</v>
      </c>
      <c r="O324" t="str">
        <f>"Q"&amp;ROUNDUP(MONTH(Table13[[#This Row],[Order Date]])/3,0)</f>
        <v>Q4</v>
      </c>
      <c r="P324" s="5">
        <f>Table13[[#This Row],[Profit]]/Table13[[#This Row],[Amount]]</f>
        <v>0.10524126455906822</v>
      </c>
      <c r="Q324" s="6">
        <f>Table13[[#This Row],[Amount]]/Table13[[#This Row],[Quantity]]</f>
        <v>160.26666666666668</v>
      </c>
    </row>
    <row r="325" spans="1:17" x14ac:dyDescent="0.3">
      <c r="A325" t="s">
        <v>404</v>
      </c>
      <c r="B325">
        <v>2119</v>
      </c>
      <c r="C325">
        <v>196</v>
      </c>
      <c r="D325">
        <v>1</v>
      </c>
      <c r="E325" t="s">
        <v>45</v>
      </c>
      <c r="F325" t="s">
        <v>60</v>
      </c>
      <c r="G325" t="s">
        <v>65</v>
      </c>
      <c r="H325" s="1">
        <v>44059</v>
      </c>
      <c r="I325" t="s">
        <v>405</v>
      </c>
      <c r="J325" t="s">
        <v>42</v>
      </c>
      <c r="K325" t="s">
        <v>43</v>
      </c>
      <c r="L325" s="2" t="s">
        <v>185</v>
      </c>
      <c r="M325" t="str">
        <f>TEXT(Table13[[#This Row],[Order Date]],"MMM")</f>
        <v>Aug</v>
      </c>
      <c r="N325">
        <f>YEAR(Table13[[#This Row],[Order Date]])</f>
        <v>2020</v>
      </c>
      <c r="O325" t="str">
        <f>"Q"&amp;ROUNDUP(MONTH(Table13[[#This Row],[Order Date]])/3,0)</f>
        <v>Q3</v>
      </c>
      <c r="P325" s="5">
        <f>Table13[[#This Row],[Profit]]/Table13[[#This Row],[Amount]]</f>
        <v>9.2496460594620106E-2</v>
      </c>
      <c r="Q325" s="6">
        <f>Table13[[#This Row],[Amount]]/Table13[[#This Row],[Quantity]]</f>
        <v>2119</v>
      </c>
    </row>
    <row r="326" spans="1:17" x14ac:dyDescent="0.3">
      <c r="A326" t="s">
        <v>406</v>
      </c>
      <c r="B326">
        <v>3137</v>
      </c>
      <c r="C326">
        <v>571</v>
      </c>
      <c r="D326">
        <v>9</v>
      </c>
      <c r="E326" t="s">
        <v>30</v>
      </c>
      <c r="F326" t="s">
        <v>31</v>
      </c>
      <c r="G326" t="s">
        <v>32</v>
      </c>
      <c r="H326" s="1">
        <v>45690</v>
      </c>
      <c r="I326" t="s">
        <v>407</v>
      </c>
      <c r="J326" t="s">
        <v>21</v>
      </c>
      <c r="K326" t="s">
        <v>22</v>
      </c>
      <c r="L326" s="2" t="s">
        <v>73</v>
      </c>
      <c r="M326" t="str">
        <f>TEXT(Table13[[#This Row],[Order Date]],"MMM")</f>
        <v>Feb</v>
      </c>
      <c r="N326">
        <f>YEAR(Table13[[#This Row],[Order Date]])</f>
        <v>2025</v>
      </c>
      <c r="O326" t="str">
        <f>"Q"&amp;ROUNDUP(MONTH(Table13[[#This Row],[Order Date]])/3,0)</f>
        <v>Q1</v>
      </c>
      <c r="P326" s="5">
        <f>Table13[[#This Row],[Profit]]/Table13[[#This Row],[Amount]]</f>
        <v>0.18202103920943577</v>
      </c>
      <c r="Q326" s="6">
        <f>Table13[[#This Row],[Amount]]/Table13[[#This Row],[Quantity]]</f>
        <v>348.55555555555554</v>
      </c>
    </row>
    <row r="327" spans="1:17" x14ac:dyDescent="0.3">
      <c r="A327" t="s">
        <v>408</v>
      </c>
      <c r="B327">
        <v>2323</v>
      </c>
      <c r="C327">
        <v>727</v>
      </c>
      <c r="D327">
        <v>7</v>
      </c>
      <c r="E327" t="s">
        <v>45</v>
      </c>
      <c r="F327" t="s">
        <v>46</v>
      </c>
      <c r="G327" t="s">
        <v>65</v>
      </c>
      <c r="H327" s="1">
        <v>44616</v>
      </c>
      <c r="I327" t="s">
        <v>409</v>
      </c>
      <c r="J327" t="s">
        <v>71</v>
      </c>
      <c r="K327" t="s">
        <v>72</v>
      </c>
      <c r="L327" s="2" t="s">
        <v>137</v>
      </c>
      <c r="M327" t="str">
        <f>TEXT(Table13[[#This Row],[Order Date]],"MMM")</f>
        <v>Feb</v>
      </c>
      <c r="N327">
        <f>YEAR(Table13[[#This Row],[Order Date]])</f>
        <v>2022</v>
      </c>
      <c r="O327" t="str">
        <f>"Q"&amp;ROUNDUP(MONTH(Table13[[#This Row],[Order Date]])/3,0)</f>
        <v>Q1</v>
      </c>
      <c r="P327" s="5">
        <f>Table13[[#This Row],[Profit]]/Table13[[#This Row],[Amount]]</f>
        <v>0.31295738269479123</v>
      </c>
      <c r="Q327" s="6">
        <f>Table13[[#This Row],[Amount]]/Table13[[#This Row],[Quantity]]</f>
        <v>331.85714285714283</v>
      </c>
    </row>
    <row r="328" spans="1:17" x14ac:dyDescent="0.3">
      <c r="A328" t="s">
        <v>408</v>
      </c>
      <c r="B328">
        <v>1368</v>
      </c>
      <c r="C328">
        <v>406</v>
      </c>
      <c r="D328">
        <v>9</v>
      </c>
      <c r="E328" t="s">
        <v>45</v>
      </c>
      <c r="F328" t="s">
        <v>109</v>
      </c>
      <c r="G328" t="s">
        <v>15</v>
      </c>
      <c r="H328" s="1">
        <v>44616</v>
      </c>
      <c r="I328" t="s">
        <v>409</v>
      </c>
      <c r="J328" t="s">
        <v>71</v>
      </c>
      <c r="K328" t="s">
        <v>72</v>
      </c>
      <c r="L328" s="2" t="s">
        <v>137</v>
      </c>
      <c r="M328" t="str">
        <f>TEXT(Table13[[#This Row],[Order Date]],"MMM")</f>
        <v>Feb</v>
      </c>
      <c r="N328">
        <f>YEAR(Table13[[#This Row],[Order Date]])</f>
        <v>2022</v>
      </c>
      <c r="O328" t="str">
        <f>"Q"&amp;ROUNDUP(MONTH(Table13[[#This Row],[Order Date]])/3,0)</f>
        <v>Q1</v>
      </c>
      <c r="P328" s="5">
        <f>Table13[[#This Row],[Profit]]/Table13[[#This Row],[Amount]]</f>
        <v>0.29678362573099415</v>
      </c>
      <c r="Q328" s="6">
        <f>Table13[[#This Row],[Amount]]/Table13[[#This Row],[Quantity]]</f>
        <v>152</v>
      </c>
    </row>
    <row r="329" spans="1:17" x14ac:dyDescent="0.3">
      <c r="A329" t="s">
        <v>410</v>
      </c>
      <c r="B329">
        <v>9204</v>
      </c>
      <c r="C329">
        <v>3289</v>
      </c>
      <c r="D329">
        <v>16</v>
      </c>
      <c r="E329" t="s">
        <v>13</v>
      </c>
      <c r="F329" t="s">
        <v>39</v>
      </c>
      <c r="G329" t="s">
        <v>47</v>
      </c>
      <c r="H329" s="1">
        <v>45347</v>
      </c>
      <c r="I329" t="s">
        <v>411</v>
      </c>
      <c r="J329" t="s">
        <v>17</v>
      </c>
      <c r="K329" t="s">
        <v>18</v>
      </c>
      <c r="L329" s="2" t="s">
        <v>218</v>
      </c>
      <c r="M329" t="str">
        <f>TEXT(Table13[[#This Row],[Order Date]],"MMM")</f>
        <v>Feb</v>
      </c>
      <c r="N329">
        <f>YEAR(Table13[[#This Row],[Order Date]])</f>
        <v>2024</v>
      </c>
      <c r="O329" t="str">
        <f>"Q"&amp;ROUNDUP(MONTH(Table13[[#This Row],[Order Date]])/3,0)</f>
        <v>Q1</v>
      </c>
      <c r="P329" s="5">
        <f>Table13[[#This Row],[Profit]]/Table13[[#This Row],[Amount]]</f>
        <v>0.35734463276836159</v>
      </c>
      <c r="Q329" s="6">
        <f>Table13[[#This Row],[Amount]]/Table13[[#This Row],[Quantity]]</f>
        <v>575.25</v>
      </c>
    </row>
    <row r="330" spans="1:17" x14ac:dyDescent="0.3">
      <c r="A330" t="s">
        <v>410</v>
      </c>
      <c r="B330">
        <v>9204</v>
      </c>
      <c r="C330">
        <v>3289</v>
      </c>
      <c r="D330">
        <v>16</v>
      </c>
      <c r="E330" t="s">
        <v>13</v>
      </c>
      <c r="F330" t="s">
        <v>39</v>
      </c>
      <c r="G330" t="s">
        <v>47</v>
      </c>
      <c r="H330" s="1">
        <v>44362</v>
      </c>
      <c r="I330" t="s">
        <v>412</v>
      </c>
      <c r="J330" t="s">
        <v>17</v>
      </c>
      <c r="K330" t="s">
        <v>18</v>
      </c>
      <c r="L330" s="2" t="s">
        <v>125</v>
      </c>
      <c r="M330" t="str">
        <f>TEXT(Table13[[#This Row],[Order Date]],"MMM")</f>
        <v>Jun</v>
      </c>
      <c r="N330">
        <f>YEAR(Table13[[#This Row],[Order Date]])</f>
        <v>2021</v>
      </c>
      <c r="O330" t="str">
        <f>"Q"&amp;ROUNDUP(MONTH(Table13[[#This Row],[Order Date]])/3,0)</f>
        <v>Q2</v>
      </c>
      <c r="P330" s="5">
        <f>Table13[[#This Row],[Profit]]/Table13[[#This Row],[Amount]]</f>
        <v>0.35734463276836159</v>
      </c>
      <c r="Q330" s="6">
        <f>Table13[[#This Row],[Amount]]/Table13[[#This Row],[Quantity]]</f>
        <v>575.25</v>
      </c>
    </row>
    <row r="331" spans="1:17" x14ac:dyDescent="0.3">
      <c r="A331" t="s">
        <v>410</v>
      </c>
      <c r="B331">
        <v>9894</v>
      </c>
      <c r="C331">
        <v>3698</v>
      </c>
      <c r="D331">
        <v>20</v>
      </c>
      <c r="E331" t="s">
        <v>30</v>
      </c>
      <c r="F331" t="s">
        <v>64</v>
      </c>
      <c r="G331" t="s">
        <v>40</v>
      </c>
      <c r="H331" s="1">
        <v>45347</v>
      </c>
      <c r="I331" t="s">
        <v>411</v>
      </c>
      <c r="J331" t="s">
        <v>17</v>
      </c>
      <c r="K331" t="s">
        <v>18</v>
      </c>
      <c r="L331" s="2" t="s">
        <v>218</v>
      </c>
      <c r="M331" t="str">
        <f>TEXT(Table13[[#This Row],[Order Date]],"MMM")</f>
        <v>Feb</v>
      </c>
      <c r="N331">
        <f>YEAR(Table13[[#This Row],[Order Date]])</f>
        <v>2024</v>
      </c>
      <c r="O331" t="str">
        <f>"Q"&amp;ROUNDUP(MONTH(Table13[[#This Row],[Order Date]])/3,0)</f>
        <v>Q1</v>
      </c>
      <c r="P331" s="5">
        <f>Table13[[#This Row],[Profit]]/Table13[[#This Row],[Amount]]</f>
        <v>0.37376187588437437</v>
      </c>
      <c r="Q331" s="6">
        <f>Table13[[#This Row],[Amount]]/Table13[[#This Row],[Quantity]]</f>
        <v>494.7</v>
      </c>
    </row>
    <row r="332" spans="1:17" x14ac:dyDescent="0.3">
      <c r="A332" t="s">
        <v>410</v>
      </c>
      <c r="B332">
        <v>9894</v>
      </c>
      <c r="C332">
        <v>3698</v>
      </c>
      <c r="D332">
        <v>20</v>
      </c>
      <c r="E332" t="s">
        <v>30</v>
      </c>
      <c r="F332" t="s">
        <v>64</v>
      </c>
      <c r="G332" t="s">
        <v>40</v>
      </c>
      <c r="H332" s="1">
        <v>44362</v>
      </c>
      <c r="I332" t="s">
        <v>412</v>
      </c>
      <c r="J332" t="s">
        <v>17</v>
      </c>
      <c r="K332" t="s">
        <v>18</v>
      </c>
      <c r="L332" s="2" t="s">
        <v>125</v>
      </c>
      <c r="M332" t="str">
        <f>TEXT(Table13[[#This Row],[Order Date]],"MMM")</f>
        <v>Jun</v>
      </c>
      <c r="N332">
        <f>YEAR(Table13[[#This Row],[Order Date]])</f>
        <v>2021</v>
      </c>
      <c r="O332" t="str">
        <f>"Q"&amp;ROUNDUP(MONTH(Table13[[#This Row],[Order Date]])/3,0)</f>
        <v>Q2</v>
      </c>
      <c r="P332" s="5">
        <f>Table13[[#This Row],[Profit]]/Table13[[#This Row],[Amount]]</f>
        <v>0.37376187588437437</v>
      </c>
      <c r="Q332" s="6">
        <f>Table13[[#This Row],[Amount]]/Table13[[#This Row],[Quantity]]</f>
        <v>494.7</v>
      </c>
    </row>
    <row r="333" spans="1:17" x14ac:dyDescent="0.3">
      <c r="A333" t="s">
        <v>413</v>
      </c>
      <c r="B333">
        <v>5322</v>
      </c>
      <c r="C333">
        <v>1423</v>
      </c>
      <c r="D333">
        <v>18</v>
      </c>
      <c r="E333" t="s">
        <v>45</v>
      </c>
      <c r="F333" t="s">
        <v>60</v>
      </c>
      <c r="G333" t="s">
        <v>65</v>
      </c>
      <c r="H333" s="1">
        <v>44903</v>
      </c>
      <c r="I333" t="s">
        <v>414</v>
      </c>
      <c r="J333" t="s">
        <v>71</v>
      </c>
      <c r="K333" t="s">
        <v>138</v>
      </c>
      <c r="L333" s="2" t="s">
        <v>152</v>
      </c>
      <c r="M333" t="str">
        <f>TEXT(Table13[[#This Row],[Order Date]],"MMM")</f>
        <v>Dec</v>
      </c>
      <c r="N333">
        <f>YEAR(Table13[[#This Row],[Order Date]])</f>
        <v>2022</v>
      </c>
      <c r="O333" t="str">
        <f>"Q"&amp;ROUNDUP(MONTH(Table13[[#This Row],[Order Date]])/3,0)</f>
        <v>Q4</v>
      </c>
      <c r="P333" s="5">
        <f>Table13[[#This Row],[Profit]]/Table13[[#This Row],[Amount]]</f>
        <v>0.26738068395340098</v>
      </c>
      <c r="Q333" s="6">
        <f>Table13[[#This Row],[Amount]]/Table13[[#This Row],[Quantity]]</f>
        <v>295.66666666666669</v>
      </c>
    </row>
    <row r="334" spans="1:17" x14ac:dyDescent="0.3">
      <c r="A334" t="s">
        <v>413</v>
      </c>
      <c r="B334">
        <v>5322</v>
      </c>
      <c r="C334">
        <v>1423</v>
      </c>
      <c r="D334">
        <v>18</v>
      </c>
      <c r="E334" t="s">
        <v>45</v>
      </c>
      <c r="F334" t="s">
        <v>60</v>
      </c>
      <c r="G334" t="s">
        <v>65</v>
      </c>
      <c r="H334" s="1">
        <v>45269</v>
      </c>
      <c r="I334" t="s">
        <v>415</v>
      </c>
      <c r="J334" t="s">
        <v>71</v>
      </c>
      <c r="K334" t="s">
        <v>72</v>
      </c>
      <c r="L334" s="2" t="s">
        <v>102</v>
      </c>
      <c r="M334" t="str">
        <f>TEXT(Table13[[#This Row],[Order Date]],"MMM")</f>
        <v>Dec</v>
      </c>
      <c r="N334">
        <f>YEAR(Table13[[#This Row],[Order Date]])</f>
        <v>2023</v>
      </c>
      <c r="O334" t="str">
        <f>"Q"&amp;ROUNDUP(MONTH(Table13[[#This Row],[Order Date]])/3,0)</f>
        <v>Q4</v>
      </c>
      <c r="P334" s="5">
        <f>Table13[[#This Row],[Profit]]/Table13[[#This Row],[Amount]]</f>
        <v>0.26738068395340098</v>
      </c>
      <c r="Q334" s="6">
        <f>Table13[[#This Row],[Amount]]/Table13[[#This Row],[Quantity]]</f>
        <v>295.66666666666669</v>
      </c>
    </row>
    <row r="335" spans="1:17" x14ac:dyDescent="0.3">
      <c r="A335" t="s">
        <v>416</v>
      </c>
      <c r="B335">
        <v>2666</v>
      </c>
      <c r="C335">
        <v>559</v>
      </c>
      <c r="D335">
        <v>14</v>
      </c>
      <c r="E335" t="s">
        <v>45</v>
      </c>
      <c r="F335" t="s">
        <v>49</v>
      </c>
      <c r="G335" t="s">
        <v>65</v>
      </c>
      <c r="H335" s="1">
        <v>44758</v>
      </c>
      <c r="I335" t="s">
        <v>417</v>
      </c>
      <c r="J335" t="s">
        <v>98</v>
      </c>
      <c r="K335" t="s">
        <v>117</v>
      </c>
      <c r="L335" s="2" t="s">
        <v>418</v>
      </c>
      <c r="M335" t="str">
        <f>TEXT(Table13[[#This Row],[Order Date]],"MMM")</f>
        <v>Jul</v>
      </c>
      <c r="N335">
        <f>YEAR(Table13[[#This Row],[Order Date]])</f>
        <v>2022</v>
      </c>
      <c r="O335" t="str">
        <f>"Q"&amp;ROUNDUP(MONTH(Table13[[#This Row],[Order Date]])/3,0)</f>
        <v>Q3</v>
      </c>
      <c r="P335" s="5">
        <f>Table13[[#This Row],[Profit]]/Table13[[#This Row],[Amount]]</f>
        <v>0.20967741935483872</v>
      </c>
      <c r="Q335" s="6">
        <f>Table13[[#This Row],[Amount]]/Table13[[#This Row],[Quantity]]</f>
        <v>190.42857142857142</v>
      </c>
    </row>
    <row r="336" spans="1:17" x14ac:dyDescent="0.3">
      <c r="A336" t="s">
        <v>419</v>
      </c>
      <c r="B336">
        <v>8383</v>
      </c>
      <c r="C336">
        <v>937</v>
      </c>
      <c r="D336">
        <v>4</v>
      </c>
      <c r="E336" t="s">
        <v>45</v>
      </c>
      <c r="F336" t="s">
        <v>60</v>
      </c>
      <c r="G336" t="s">
        <v>15</v>
      </c>
      <c r="H336" s="1">
        <v>45417</v>
      </c>
      <c r="I336" t="s">
        <v>420</v>
      </c>
      <c r="J336" t="s">
        <v>17</v>
      </c>
      <c r="K336" t="s">
        <v>34</v>
      </c>
      <c r="L336" s="2" t="s">
        <v>35</v>
      </c>
      <c r="M336" t="str">
        <f>TEXT(Table13[[#This Row],[Order Date]],"MMM")</f>
        <v>May</v>
      </c>
      <c r="N336">
        <f>YEAR(Table13[[#This Row],[Order Date]])</f>
        <v>2024</v>
      </c>
      <c r="O336" t="str">
        <f>"Q"&amp;ROUNDUP(MONTH(Table13[[#This Row],[Order Date]])/3,0)</f>
        <v>Q2</v>
      </c>
      <c r="P336" s="5">
        <f>Table13[[#This Row],[Profit]]/Table13[[#This Row],[Amount]]</f>
        <v>0.11177382798520816</v>
      </c>
      <c r="Q336" s="6">
        <f>Table13[[#This Row],[Amount]]/Table13[[#This Row],[Quantity]]</f>
        <v>2095.75</v>
      </c>
    </row>
    <row r="337" spans="1:17" x14ac:dyDescent="0.3">
      <c r="A337" t="s">
        <v>421</v>
      </c>
      <c r="B337">
        <v>7560</v>
      </c>
      <c r="C337">
        <v>821</v>
      </c>
      <c r="D337">
        <v>4</v>
      </c>
      <c r="E337" t="s">
        <v>30</v>
      </c>
      <c r="F337" t="s">
        <v>64</v>
      </c>
      <c r="G337" t="s">
        <v>40</v>
      </c>
      <c r="H337" s="1">
        <v>44473</v>
      </c>
      <c r="I337" t="s">
        <v>422</v>
      </c>
      <c r="J337" t="s">
        <v>21</v>
      </c>
      <c r="K337" t="s">
        <v>22</v>
      </c>
      <c r="L337" s="2" t="s">
        <v>37</v>
      </c>
      <c r="M337" t="str">
        <f>TEXT(Table13[[#This Row],[Order Date]],"MMM")</f>
        <v>Oct</v>
      </c>
      <c r="N337">
        <f>YEAR(Table13[[#This Row],[Order Date]])</f>
        <v>2021</v>
      </c>
      <c r="O337" t="str">
        <f>"Q"&amp;ROUNDUP(MONTH(Table13[[#This Row],[Order Date]])/3,0)</f>
        <v>Q4</v>
      </c>
      <c r="P337" s="5">
        <f>Table13[[#This Row],[Profit]]/Table13[[#This Row],[Amount]]</f>
        <v>0.1085978835978836</v>
      </c>
      <c r="Q337" s="6">
        <f>Table13[[#This Row],[Amount]]/Table13[[#This Row],[Quantity]]</f>
        <v>1890</v>
      </c>
    </row>
    <row r="338" spans="1:17" x14ac:dyDescent="0.3">
      <c r="A338" t="s">
        <v>423</v>
      </c>
      <c r="B338">
        <v>1314</v>
      </c>
      <c r="C338">
        <v>490</v>
      </c>
      <c r="D338">
        <v>16</v>
      </c>
      <c r="E338" t="s">
        <v>45</v>
      </c>
      <c r="F338" t="s">
        <v>60</v>
      </c>
      <c r="G338" t="s">
        <v>15</v>
      </c>
      <c r="H338" s="1">
        <v>44520</v>
      </c>
      <c r="I338" t="s">
        <v>424</v>
      </c>
      <c r="J338" t="s">
        <v>25</v>
      </c>
      <c r="K338" t="s">
        <v>26</v>
      </c>
      <c r="L338" s="2" t="s">
        <v>175</v>
      </c>
      <c r="M338" t="str">
        <f>TEXT(Table13[[#This Row],[Order Date]],"MMM")</f>
        <v>Nov</v>
      </c>
      <c r="N338">
        <f>YEAR(Table13[[#This Row],[Order Date]])</f>
        <v>2021</v>
      </c>
      <c r="O338" t="str">
        <f>"Q"&amp;ROUNDUP(MONTH(Table13[[#This Row],[Order Date]])/3,0)</f>
        <v>Q4</v>
      </c>
      <c r="P338" s="5">
        <f>Table13[[#This Row],[Profit]]/Table13[[#This Row],[Amount]]</f>
        <v>0.37290715372907152</v>
      </c>
      <c r="Q338" s="6">
        <f>Table13[[#This Row],[Amount]]/Table13[[#This Row],[Quantity]]</f>
        <v>82.125</v>
      </c>
    </row>
    <row r="339" spans="1:17" x14ac:dyDescent="0.3">
      <c r="A339" t="s">
        <v>423</v>
      </c>
      <c r="B339">
        <v>4390</v>
      </c>
      <c r="C339">
        <v>179</v>
      </c>
      <c r="D339">
        <v>1</v>
      </c>
      <c r="E339" t="s">
        <v>45</v>
      </c>
      <c r="F339" t="s">
        <v>46</v>
      </c>
      <c r="G339" t="s">
        <v>32</v>
      </c>
      <c r="H339" s="1">
        <v>44520</v>
      </c>
      <c r="I339" t="s">
        <v>424</v>
      </c>
      <c r="J339" t="s">
        <v>25</v>
      </c>
      <c r="K339" t="s">
        <v>26</v>
      </c>
      <c r="L339" s="2" t="s">
        <v>175</v>
      </c>
      <c r="M339" t="str">
        <f>TEXT(Table13[[#This Row],[Order Date]],"MMM")</f>
        <v>Nov</v>
      </c>
      <c r="N339">
        <f>YEAR(Table13[[#This Row],[Order Date]])</f>
        <v>2021</v>
      </c>
      <c r="O339" t="str">
        <f>"Q"&amp;ROUNDUP(MONTH(Table13[[#This Row],[Order Date]])/3,0)</f>
        <v>Q4</v>
      </c>
      <c r="P339" s="5">
        <f>Table13[[#This Row],[Profit]]/Table13[[#This Row],[Amount]]</f>
        <v>4.0774487471526198E-2</v>
      </c>
      <c r="Q339" s="6">
        <f>Table13[[#This Row],[Amount]]/Table13[[#This Row],[Quantity]]</f>
        <v>4390</v>
      </c>
    </row>
    <row r="340" spans="1:17" x14ac:dyDescent="0.3">
      <c r="A340" t="s">
        <v>423</v>
      </c>
      <c r="B340">
        <v>1150</v>
      </c>
      <c r="C340">
        <v>58</v>
      </c>
      <c r="D340">
        <v>7</v>
      </c>
      <c r="E340" t="s">
        <v>30</v>
      </c>
      <c r="F340" t="s">
        <v>78</v>
      </c>
      <c r="G340" t="s">
        <v>32</v>
      </c>
      <c r="H340" s="1">
        <v>44520</v>
      </c>
      <c r="I340" t="s">
        <v>424</v>
      </c>
      <c r="J340" t="s">
        <v>25</v>
      </c>
      <c r="K340" t="s">
        <v>26</v>
      </c>
      <c r="L340" s="2" t="s">
        <v>175</v>
      </c>
      <c r="M340" t="str">
        <f>TEXT(Table13[[#This Row],[Order Date]],"MMM")</f>
        <v>Nov</v>
      </c>
      <c r="N340">
        <f>YEAR(Table13[[#This Row],[Order Date]])</f>
        <v>2021</v>
      </c>
      <c r="O340" t="str">
        <f>"Q"&amp;ROUNDUP(MONTH(Table13[[#This Row],[Order Date]])/3,0)</f>
        <v>Q4</v>
      </c>
      <c r="P340" s="5">
        <f>Table13[[#This Row],[Profit]]/Table13[[#This Row],[Amount]]</f>
        <v>5.0434782608695654E-2</v>
      </c>
      <c r="Q340" s="6">
        <f>Table13[[#This Row],[Amount]]/Table13[[#This Row],[Quantity]]</f>
        <v>164.28571428571428</v>
      </c>
    </row>
    <row r="341" spans="1:17" x14ac:dyDescent="0.3">
      <c r="A341" t="s">
        <v>425</v>
      </c>
      <c r="B341">
        <v>1574</v>
      </c>
      <c r="C341">
        <v>258</v>
      </c>
      <c r="D341">
        <v>17</v>
      </c>
      <c r="E341" t="s">
        <v>30</v>
      </c>
      <c r="F341" t="s">
        <v>31</v>
      </c>
      <c r="G341" t="s">
        <v>40</v>
      </c>
      <c r="H341" s="1">
        <v>44089</v>
      </c>
      <c r="I341" t="s">
        <v>426</v>
      </c>
      <c r="J341" t="s">
        <v>42</v>
      </c>
      <c r="K341" t="s">
        <v>75</v>
      </c>
      <c r="L341" s="2" t="s">
        <v>389</v>
      </c>
      <c r="M341" t="str">
        <f>TEXT(Table13[[#This Row],[Order Date]],"MMM")</f>
        <v>Sep</v>
      </c>
      <c r="N341">
        <f>YEAR(Table13[[#This Row],[Order Date]])</f>
        <v>2020</v>
      </c>
      <c r="O341" t="str">
        <f>"Q"&amp;ROUNDUP(MONTH(Table13[[#This Row],[Order Date]])/3,0)</f>
        <v>Q3</v>
      </c>
      <c r="P341" s="5">
        <f>Table13[[#This Row],[Profit]]/Table13[[#This Row],[Amount]]</f>
        <v>0.16391359593392629</v>
      </c>
      <c r="Q341" s="6">
        <f>Table13[[#This Row],[Amount]]/Table13[[#This Row],[Quantity]]</f>
        <v>92.588235294117652</v>
      </c>
    </row>
    <row r="342" spans="1:17" x14ac:dyDescent="0.3">
      <c r="A342" t="s">
        <v>425</v>
      </c>
      <c r="B342">
        <v>5635</v>
      </c>
      <c r="C342">
        <v>318</v>
      </c>
      <c r="D342">
        <v>17</v>
      </c>
      <c r="E342" t="s">
        <v>30</v>
      </c>
      <c r="F342" t="s">
        <v>78</v>
      </c>
      <c r="G342" t="s">
        <v>15</v>
      </c>
      <c r="H342" s="1">
        <v>44089</v>
      </c>
      <c r="I342" t="s">
        <v>426</v>
      </c>
      <c r="J342" t="s">
        <v>42</v>
      </c>
      <c r="K342" t="s">
        <v>75</v>
      </c>
      <c r="L342" s="2" t="s">
        <v>389</v>
      </c>
      <c r="M342" t="str">
        <f>TEXT(Table13[[#This Row],[Order Date]],"MMM")</f>
        <v>Sep</v>
      </c>
      <c r="N342">
        <f>YEAR(Table13[[#This Row],[Order Date]])</f>
        <v>2020</v>
      </c>
      <c r="O342" t="str">
        <f>"Q"&amp;ROUNDUP(MONTH(Table13[[#This Row],[Order Date]])/3,0)</f>
        <v>Q3</v>
      </c>
      <c r="P342" s="5">
        <f>Table13[[#This Row],[Profit]]/Table13[[#This Row],[Amount]]</f>
        <v>5.6433007985803016E-2</v>
      </c>
      <c r="Q342" s="6">
        <f>Table13[[#This Row],[Amount]]/Table13[[#This Row],[Quantity]]</f>
        <v>331.47058823529414</v>
      </c>
    </row>
    <row r="343" spans="1:17" x14ac:dyDescent="0.3">
      <c r="A343" t="s">
        <v>425</v>
      </c>
      <c r="B343">
        <v>6515</v>
      </c>
      <c r="C343">
        <v>961</v>
      </c>
      <c r="D343">
        <v>11</v>
      </c>
      <c r="E343" t="s">
        <v>45</v>
      </c>
      <c r="F343" t="s">
        <v>60</v>
      </c>
      <c r="G343" t="s">
        <v>32</v>
      </c>
      <c r="H343" s="1">
        <v>44089</v>
      </c>
      <c r="I343" t="s">
        <v>426</v>
      </c>
      <c r="J343" t="s">
        <v>42</v>
      </c>
      <c r="K343" t="s">
        <v>75</v>
      </c>
      <c r="L343" s="2" t="s">
        <v>389</v>
      </c>
      <c r="M343" t="str">
        <f>TEXT(Table13[[#This Row],[Order Date]],"MMM")</f>
        <v>Sep</v>
      </c>
      <c r="N343">
        <f>YEAR(Table13[[#This Row],[Order Date]])</f>
        <v>2020</v>
      </c>
      <c r="O343" t="str">
        <f>"Q"&amp;ROUNDUP(MONTH(Table13[[#This Row],[Order Date]])/3,0)</f>
        <v>Q3</v>
      </c>
      <c r="P343" s="5">
        <f>Table13[[#This Row],[Profit]]/Table13[[#This Row],[Amount]]</f>
        <v>0.14750575594781273</v>
      </c>
      <c r="Q343" s="6">
        <f>Table13[[#This Row],[Amount]]/Table13[[#This Row],[Quantity]]</f>
        <v>592.27272727272725</v>
      </c>
    </row>
    <row r="344" spans="1:17" x14ac:dyDescent="0.3">
      <c r="A344" t="s">
        <v>427</v>
      </c>
      <c r="B344">
        <v>1231</v>
      </c>
      <c r="C344">
        <v>214</v>
      </c>
      <c r="D344">
        <v>20</v>
      </c>
      <c r="E344" t="s">
        <v>13</v>
      </c>
      <c r="F344" t="s">
        <v>39</v>
      </c>
      <c r="G344" t="s">
        <v>32</v>
      </c>
      <c r="H344" s="1">
        <v>44943</v>
      </c>
      <c r="I344" t="s">
        <v>428</v>
      </c>
      <c r="J344" t="s">
        <v>98</v>
      </c>
      <c r="K344" t="s">
        <v>99</v>
      </c>
      <c r="L344" s="2" t="s">
        <v>333</v>
      </c>
      <c r="M344" t="str">
        <f>TEXT(Table13[[#This Row],[Order Date]],"MMM")</f>
        <v>Jan</v>
      </c>
      <c r="N344">
        <f>YEAR(Table13[[#This Row],[Order Date]])</f>
        <v>2023</v>
      </c>
      <c r="O344" t="str">
        <f>"Q"&amp;ROUNDUP(MONTH(Table13[[#This Row],[Order Date]])/3,0)</f>
        <v>Q1</v>
      </c>
      <c r="P344" s="5">
        <f>Table13[[#This Row],[Profit]]/Table13[[#This Row],[Amount]]</f>
        <v>0.17384240454914704</v>
      </c>
      <c r="Q344" s="6">
        <f>Table13[[#This Row],[Amount]]/Table13[[#This Row],[Quantity]]</f>
        <v>61.55</v>
      </c>
    </row>
    <row r="345" spans="1:17" x14ac:dyDescent="0.3">
      <c r="A345" t="s">
        <v>427</v>
      </c>
      <c r="B345">
        <v>1231</v>
      </c>
      <c r="C345">
        <v>214</v>
      </c>
      <c r="D345">
        <v>20</v>
      </c>
      <c r="E345" t="s">
        <v>13</v>
      </c>
      <c r="F345" t="s">
        <v>39</v>
      </c>
      <c r="G345" t="s">
        <v>32</v>
      </c>
      <c r="H345" s="1">
        <v>43998</v>
      </c>
      <c r="I345" t="s">
        <v>429</v>
      </c>
      <c r="J345" t="s">
        <v>25</v>
      </c>
      <c r="K345" t="s">
        <v>68</v>
      </c>
      <c r="L345" s="2" t="s">
        <v>313</v>
      </c>
      <c r="M345" t="str">
        <f>TEXT(Table13[[#This Row],[Order Date]],"MMM")</f>
        <v>Jun</v>
      </c>
      <c r="N345">
        <f>YEAR(Table13[[#This Row],[Order Date]])</f>
        <v>2020</v>
      </c>
      <c r="O345" t="str">
        <f>"Q"&amp;ROUNDUP(MONTH(Table13[[#This Row],[Order Date]])/3,0)</f>
        <v>Q2</v>
      </c>
      <c r="P345" s="5">
        <f>Table13[[#This Row],[Profit]]/Table13[[#This Row],[Amount]]</f>
        <v>0.17384240454914704</v>
      </c>
      <c r="Q345" s="6">
        <f>Table13[[#This Row],[Amount]]/Table13[[#This Row],[Quantity]]</f>
        <v>61.55</v>
      </c>
    </row>
    <row r="346" spans="1:17" x14ac:dyDescent="0.3">
      <c r="A346" t="s">
        <v>430</v>
      </c>
      <c r="B346">
        <v>6891</v>
      </c>
      <c r="C346">
        <v>2529</v>
      </c>
      <c r="D346">
        <v>3</v>
      </c>
      <c r="E346" t="s">
        <v>30</v>
      </c>
      <c r="F346" t="s">
        <v>78</v>
      </c>
      <c r="G346" t="s">
        <v>32</v>
      </c>
      <c r="H346" s="1">
        <v>45413</v>
      </c>
      <c r="I346" t="s">
        <v>431</v>
      </c>
      <c r="J346" t="s">
        <v>98</v>
      </c>
      <c r="K346" t="s">
        <v>117</v>
      </c>
      <c r="L346" s="2" t="s">
        <v>35</v>
      </c>
      <c r="M346" t="str">
        <f>TEXT(Table13[[#This Row],[Order Date]],"MMM")</f>
        <v>May</v>
      </c>
      <c r="N346">
        <f>YEAR(Table13[[#This Row],[Order Date]])</f>
        <v>2024</v>
      </c>
      <c r="O346" t="str">
        <f>"Q"&amp;ROUNDUP(MONTH(Table13[[#This Row],[Order Date]])/3,0)</f>
        <v>Q2</v>
      </c>
      <c r="P346" s="5">
        <f>Table13[[#This Row],[Profit]]/Table13[[#This Row],[Amount]]</f>
        <v>0.36700043535045712</v>
      </c>
      <c r="Q346" s="6">
        <f>Table13[[#This Row],[Amount]]/Table13[[#This Row],[Quantity]]</f>
        <v>2297</v>
      </c>
    </row>
    <row r="347" spans="1:17" x14ac:dyDescent="0.3">
      <c r="A347" t="s">
        <v>432</v>
      </c>
      <c r="B347">
        <v>7524</v>
      </c>
      <c r="C347">
        <v>2308</v>
      </c>
      <c r="D347">
        <v>15</v>
      </c>
      <c r="E347" t="s">
        <v>13</v>
      </c>
      <c r="F347" t="s">
        <v>39</v>
      </c>
      <c r="G347" t="s">
        <v>40</v>
      </c>
      <c r="H347" s="1">
        <v>45267</v>
      </c>
      <c r="I347" t="s">
        <v>433</v>
      </c>
      <c r="J347" t="s">
        <v>71</v>
      </c>
      <c r="K347" t="s">
        <v>86</v>
      </c>
      <c r="L347" s="2" t="s">
        <v>102</v>
      </c>
      <c r="M347" t="str">
        <f>TEXT(Table13[[#This Row],[Order Date]],"MMM")</f>
        <v>Dec</v>
      </c>
      <c r="N347">
        <f>YEAR(Table13[[#This Row],[Order Date]])</f>
        <v>2023</v>
      </c>
      <c r="O347" t="str">
        <f>"Q"&amp;ROUNDUP(MONTH(Table13[[#This Row],[Order Date]])/3,0)</f>
        <v>Q4</v>
      </c>
      <c r="P347" s="5">
        <f>Table13[[#This Row],[Profit]]/Table13[[#This Row],[Amount]]</f>
        <v>0.30675172780435939</v>
      </c>
      <c r="Q347" s="6">
        <f>Table13[[#This Row],[Amount]]/Table13[[#This Row],[Quantity]]</f>
        <v>501.6</v>
      </c>
    </row>
    <row r="348" spans="1:17" x14ac:dyDescent="0.3">
      <c r="A348" t="s">
        <v>432</v>
      </c>
      <c r="B348">
        <v>6864</v>
      </c>
      <c r="C348">
        <v>1824</v>
      </c>
      <c r="D348">
        <v>14</v>
      </c>
      <c r="E348" t="s">
        <v>13</v>
      </c>
      <c r="F348" t="s">
        <v>28</v>
      </c>
      <c r="G348" t="s">
        <v>47</v>
      </c>
      <c r="H348" s="1">
        <v>45267</v>
      </c>
      <c r="I348" t="s">
        <v>433</v>
      </c>
      <c r="J348" t="s">
        <v>71</v>
      </c>
      <c r="K348" t="s">
        <v>86</v>
      </c>
      <c r="L348" s="2" t="s">
        <v>102</v>
      </c>
      <c r="M348" t="str">
        <f>TEXT(Table13[[#This Row],[Order Date]],"MMM")</f>
        <v>Dec</v>
      </c>
      <c r="N348">
        <f>YEAR(Table13[[#This Row],[Order Date]])</f>
        <v>2023</v>
      </c>
      <c r="O348" t="str">
        <f>"Q"&amp;ROUNDUP(MONTH(Table13[[#This Row],[Order Date]])/3,0)</f>
        <v>Q4</v>
      </c>
      <c r="P348" s="5">
        <f>Table13[[#This Row],[Profit]]/Table13[[#This Row],[Amount]]</f>
        <v>0.26573426573426573</v>
      </c>
      <c r="Q348" s="6">
        <f>Table13[[#This Row],[Amount]]/Table13[[#This Row],[Quantity]]</f>
        <v>490.28571428571428</v>
      </c>
    </row>
    <row r="349" spans="1:17" x14ac:dyDescent="0.3">
      <c r="A349" t="s">
        <v>434</v>
      </c>
      <c r="B349">
        <v>4215</v>
      </c>
      <c r="C349">
        <v>432</v>
      </c>
      <c r="D349">
        <v>14</v>
      </c>
      <c r="E349" t="s">
        <v>45</v>
      </c>
      <c r="F349" t="s">
        <v>49</v>
      </c>
      <c r="G349" t="s">
        <v>32</v>
      </c>
      <c r="H349" s="1">
        <v>45324</v>
      </c>
      <c r="I349" t="s">
        <v>435</v>
      </c>
      <c r="J349" t="s">
        <v>98</v>
      </c>
      <c r="K349" t="s">
        <v>99</v>
      </c>
      <c r="L349" s="2" t="s">
        <v>218</v>
      </c>
      <c r="M349" t="str">
        <f>TEXT(Table13[[#This Row],[Order Date]],"MMM")</f>
        <v>Feb</v>
      </c>
      <c r="N349">
        <f>YEAR(Table13[[#This Row],[Order Date]])</f>
        <v>2024</v>
      </c>
      <c r="O349" t="str">
        <f>"Q"&amp;ROUNDUP(MONTH(Table13[[#This Row],[Order Date]])/3,0)</f>
        <v>Q1</v>
      </c>
      <c r="P349" s="5">
        <f>Table13[[#This Row],[Profit]]/Table13[[#This Row],[Amount]]</f>
        <v>0.10249110320284698</v>
      </c>
      <c r="Q349" s="6">
        <f>Table13[[#This Row],[Amount]]/Table13[[#This Row],[Quantity]]</f>
        <v>301.07142857142856</v>
      </c>
    </row>
    <row r="350" spans="1:17" x14ac:dyDescent="0.3">
      <c r="A350" t="s">
        <v>436</v>
      </c>
      <c r="B350">
        <v>622</v>
      </c>
      <c r="C350">
        <v>218</v>
      </c>
      <c r="D350">
        <v>19</v>
      </c>
      <c r="E350" t="s">
        <v>45</v>
      </c>
      <c r="F350" t="s">
        <v>109</v>
      </c>
      <c r="G350" t="s">
        <v>47</v>
      </c>
      <c r="H350" s="1">
        <v>45466</v>
      </c>
      <c r="I350" t="s">
        <v>437</v>
      </c>
      <c r="J350" t="s">
        <v>42</v>
      </c>
      <c r="K350" t="s">
        <v>75</v>
      </c>
      <c r="L350" s="2" t="s">
        <v>262</v>
      </c>
      <c r="M350" t="str">
        <f>TEXT(Table13[[#This Row],[Order Date]],"MMM")</f>
        <v>Jun</v>
      </c>
      <c r="N350">
        <f>YEAR(Table13[[#This Row],[Order Date]])</f>
        <v>2024</v>
      </c>
      <c r="O350" t="str">
        <f>"Q"&amp;ROUNDUP(MONTH(Table13[[#This Row],[Order Date]])/3,0)</f>
        <v>Q2</v>
      </c>
      <c r="P350" s="5">
        <f>Table13[[#This Row],[Profit]]/Table13[[#This Row],[Amount]]</f>
        <v>0.35048231511254019</v>
      </c>
      <c r="Q350" s="6">
        <f>Table13[[#This Row],[Amount]]/Table13[[#This Row],[Quantity]]</f>
        <v>32.736842105263158</v>
      </c>
    </row>
    <row r="351" spans="1:17" x14ac:dyDescent="0.3">
      <c r="A351" t="s">
        <v>436</v>
      </c>
      <c r="B351">
        <v>1755</v>
      </c>
      <c r="C351">
        <v>495</v>
      </c>
      <c r="D351">
        <v>18</v>
      </c>
      <c r="E351" t="s">
        <v>30</v>
      </c>
      <c r="F351" t="s">
        <v>31</v>
      </c>
      <c r="G351" t="s">
        <v>15</v>
      </c>
      <c r="H351" s="1">
        <v>45466</v>
      </c>
      <c r="I351" t="s">
        <v>437</v>
      </c>
      <c r="J351" t="s">
        <v>42</v>
      </c>
      <c r="K351" t="s">
        <v>75</v>
      </c>
      <c r="L351" s="2" t="s">
        <v>262</v>
      </c>
      <c r="M351" t="str">
        <f>TEXT(Table13[[#This Row],[Order Date]],"MMM")</f>
        <v>Jun</v>
      </c>
      <c r="N351">
        <f>YEAR(Table13[[#This Row],[Order Date]])</f>
        <v>2024</v>
      </c>
      <c r="O351" t="str">
        <f>"Q"&amp;ROUNDUP(MONTH(Table13[[#This Row],[Order Date]])/3,0)</f>
        <v>Q2</v>
      </c>
      <c r="P351" s="5">
        <f>Table13[[#This Row],[Profit]]/Table13[[#This Row],[Amount]]</f>
        <v>0.28205128205128205</v>
      </c>
      <c r="Q351" s="6">
        <f>Table13[[#This Row],[Amount]]/Table13[[#This Row],[Quantity]]</f>
        <v>97.5</v>
      </c>
    </row>
    <row r="352" spans="1:17" x14ac:dyDescent="0.3">
      <c r="A352" t="s">
        <v>436</v>
      </c>
      <c r="B352">
        <v>8020</v>
      </c>
      <c r="C352">
        <v>3898</v>
      </c>
      <c r="D352">
        <v>20</v>
      </c>
      <c r="E352" t="s">
        <v>13</v>
      </c>
      <c r="F352" t="s">
        <v>14</v>
      </c>
      <c r="G352" t="s">
        <v>40</v>
      </c>
      <c r="H352" s="1">
        <v>45466</v>
      </c>
      <c r="I352" t="s">
        <v>437</v>
      </c>
      <c r="J352" t="s">
        <v>42</v>
      </c>
      <c r="K352" t="s">
        <v>75</v>
      </c>
      <c r="L352" s="2" t="s">
        <v>262</v>
      </c>
      <c r="M352" t="str">
        <f>TEXT(Table13[[#This Row],[Order Date]],"MMM")</f>
        <v>Jun</v>
      </c>
      <c r="N352">
        <f>YEAR(Table13[[#This Row],[Order Date]])</f>
        <v>2024</v>
      </c>
      <c r="O352" t="str">
        <f>"Q"&amp;ROUNDUP(MONTH(Table13[[#This Row],[Order Date]])/3,0)</f>
        <v>Q2</v>
      </c>
      <c r="P352" s="5">
        <f>Table13[[#This Row],[Profit]]/Table13[[#This Row],[Amount]]</f>
        <v>0.48603491271820448</v>
      </c>
      <c r="Q352" s="6">
        <f>Table13[[#This Row],[Amount]]/Table13[[#This Row],[Quantity]]</f>
        <v>401</v>
      </c>
    </row>
    <row r="353" spans="1:17" x14ac:dyDescent="0.3">
      <c r="A353" t="s">
        <v>438</v>
      </c>
      <c r="B353">
        <v>7333</v>
      </c>
      <c r="C353">
        <v>1576</v>
      </c>
      <c r="D353">
        <v>4</v>
      </c>
      <c r="E353" t="s">
        <v>13</v>
      </c>
      <c r="F353" t="s">
        <v>39</v>
      </c>
      <c r="G353" t="s">
        <v>47</v>
      </c>
      <c r="H353" s="1">
        <v>45450</v>
      </c>
      <c r="I353" t="s">
        <v>439</v>
      </c>
      <c r="J353" t="s">
        <v>25</v>
      </c>
      <c r="K353" t="s">
        <v>26</v>
      </c>
      <c r="L353" s="2" t="s">
        <v>262</v>
      </c>
      <c r="M353" t="str">
        <f>TEXT(Table13[[#This Row],[Order Date]],"MMM")</f>
        <v>Jun</v>
      </c>
      <c r="N353">
        <f>YEAR(Table13[[#This Row],[Order Date]])</f>
        <v>2024</v>
      </c>
      <c r="O353" t="str">
        <f>"Q"&amp;ROUNDUP(MONTH(Table13[[#This Row],[Order Date]])/3,0)</f>
        <v>Q2</v>
      </c>
      <c r="P353" s="5">
        <f>Table13[[#This Row],[Profit]]/Table13[[#This Row],[Amount]]</f>
        <v>0.21491885994817947</v>
      </c>
      <c r="Q353" s="6">
        <f>Table13[[#This Row],[Amount]]/Table13[[#This Row],[Quantity]]</f>
        <v>1833.25</v>
      </c>
    </row>
    <row r="354" spans="1:17" x14ac:dyDescent="0.3">
      <c r="A354" t="s">
        <v>440</v>
      </c>
      <c r="B354">
        <v>7690</v>
      </c>
      <c r="C354">
        <v>1134</v>
      </c>
      <c r="D354">
        <v>4</v>
      </c>
      <c r="E354" t="s">
        <v>13</v>
      </c>
      <c r="F354" t="s">
        <v>14</v>
      </c>
      <c r="G354" t="s">
        <v>65</v>
      </c>
      <c r="H354" s="1">
        <v>45212</v>
      </c>
      <c r="I354" t="s">
        <v>441</v>
      </c>
      <c r="J354" t="s">
        <v>25</v>
      </c>
      <c r="K354" t="s">
        <v>68</v>
      </c>
      <c r="L354" s="2" t="s">
        <v>442</v>
      </c>
      <c r="M354" t="str">
        <f>TEXT(Table13[[#This Row],[Order Date]],"MMM")</f>
        <v>Oct</v>
      </c>
      <c r="N354">
        <f>YEAR(Table13[[#This Row],[Order Date]])</f>
        <v>2023</v>
      </c>
      <c r="O354" t="str">
        <f>"Q"&amp;ROUNDUP(MONTH(Table13[[#This Row],[Order Date]])/3,0)</f>
        <v>Q4</v>
      </c>
      <c r="P354" s="5">
        <f>Table13[[#This Row],[Profit]]/Table13[[#This Row],[Amount]]</f>
        <v>0.14746423927178154</v>
      </c>
      <c r="Q354" s="6">
        <f>Table13[[#This Row],[Amount]]/Table13[[#This Row],[Quantity]]</f>
        <v>1922.5</v>
      </c>
    </row>
    <row r="355" spans="1:17" x14ac:dyDescent="0.3">
      <c r="A355" t="s">
        <v>440</v>
      </c>
      <c r="B355">
        <v>912</v>
      </c>
      <c r="C355">
        <v>246</v>
      </c>
      <c r="D355">
        <v>2</v>
      </c>
      <c r="E355" t="s">
        <v>45</v>
      </c>
      <c r="F355" t="s">
        <v>60</v>
      </c>
      <c r="G355" t="s">
        <v>40</v>
      </c>
      <c r="H355" s="1">
        <v>45212</v>
      </c>
      <c r="I355" t="s">
        <v>441</v>
      </c>
      <c r="J355" t="s">
        <v>25</v>
      </c>
      <c r="K355" t="s">
        <v>68</v>
      </c>
      <c r="L355" s="2" t="s">
        <v>442</v>
      </c>
      <c r="M355" t="str">
        <f>TEXT(Table13[[#This Row],[Order Date]],"MMM")</f>
        <v>Oct</v>
      </c>
      <c r="N355">
        <f>YEAR(Table13[[#This Row],[Order Date]])</f>
        <v>2023</v>
      </c>
      <c r="O355" t="str">
        <f>"Q"&amp;ROUNDUP(MONTH(Table13[[#This Row],[Order Date]])/3,0)</f>
        <v>Q4</v>
      </c>
      <c r="P355" s="5">
        <f>Table13[[#This Row],[Profit]]/Table13[[#This Row],[Amount]]</f>
        <v>0.26973684210526316</v>
      </c>
      <c r="Q355" s="6">
        <f>Table13[[#This Row],[Amount]]/Table13[[#This Row],[Quantity]]</f>
        <v>456</v>
      </c>
    </row>
    <row r="356" spans="1:17" x14ac:dyDescent="0.3">
      <c r="A356" t="s">
        <v>443</v>
      </c>
      <c r="B356">
        <v>2791</v>
      </c>
      <c r="C356">
        <v>894</v>
      </c>
      <c r="D356">
        <v>14</v>
      </c>
      <c r="E356" t="s">
        <v>13</v>
      </c>
      <c r="F356" t="s">
        <v>39</v>
      </c>
      <c r="G356" t="s">
        <v>65</v>
      </c>
      <c r="H356" s="1">
        <v>44842</v>
      </c>
      <c r="I356" t="s">
        <v>444</v>
      </c>
      <c r="J356" t="s">
        <v>71</v>
      </c>
      <c r="K356" t="s">
        <v>86</v>
      </c>
      <c r="L356" s="2" t="s">
        <v>96</v>
      </c>
      <c r="M356" t="str">
        <f>TEXT(Table13[[#This Row],[Order Date]],"MMM")</f>
        <v>Oct</v>
      </c>
      <c r="N356">
        <f>YEAR(Table13[[#This Row],[Order Date]])</f>
        <v>2022</v>
      </c>
      <c r="O356" t="str">
        <f>"Q"&amp;ROUNDUP(MONTH(Table13[[#This Row],[Order Date]])/3,0)</f>
        <v>Q4</v>
      </c>
      <c r="P356" s="5">
        <f>Table13[[#This Row],[Profit]]/Table13[[#This Row],[Amount]]</f>
        <v>0.32031529917592261</v>
      </c>
      <c r="Q356" s="6">
        <f>Table13[[#This Row],[Amount]]/Table13[[#This Row],[Quantity]]</f>
        <v>199.35714285714286</v>
      </c>
    </row>
    <row r="357" spans="1:17" x14ac:dyDescent="0.3">
      <c r="A357" t="s">
        <v>443</v>
      </c>
      <c r="B357">
        <v>2791</v>
      </c>
      <c r="C357">
        <v>894</v>
      </c>
      <c r="D357">
        <v>14</v>
      </c>
      <c r="E357" t="s">
        <v>13</v>
      </c>
      <c r="F357" t="s">
        <v>39</v>
      </c>
      <c r="G357" t="s">
        <v>65</v>
      </c>
      <c r="H357" s="1">
        <v>45226</v>
      </c>
      <c r="I357" t="s">
        <v>445</v>
      </c>
      <c r="J357" t="s">
        <v>98</v>
      </c>
      <c r="K357" t="s">
        <v>107</v>
      </c>
      <c r="L357" s="2" t="s">
        <v>442</v>
      </c>
      <c r="M357" t="str">
        <f>TEXT(Table13[[#This Row],[Order Date]],"MMM")</f>
        <v>Oct</v>
      </c>
      <c r="N357">
        <f>YEAR(Table13[[#This Row],[Order Date]])</f>
        <v>2023</v>
      </c>
      <c r="O357" t="str">
        <f>"Q"&amp;ROUNDUP(MONTH(Table13[[#This Row],[Order Date]])/3,0)</f>
        <v>Q4</v>
      </c>
      <c r="P357" s="5">
        <f>Table13[[#This Row],[Profit]]/Table13[[#This Row],[Amount]]</f>
        <v>0.32031529917592261</v>
      </c>
      <c r="Q357" s="6">
        <f>Table13[[#This Row],[Amount]]/Table13[[#This Row],[Quantity]]</f>
        <v>199.35714285714286</v>
      </c>
    </row>
    <row r="358" spans="1:17" x14ac:dyDescent="0.3">
      <c r="A358" t="s">
        <v>443</v>
      </c>
      <c r="B358">
        <v>2791</v>
      </c>
      <c r="C358">
        <v>894</v>
      </c>
      <c r="D358">
        <v>14</v>
      </c>
      <c r="E358" t="s">
        <v>13</v>
      </c>
      <c r="F358" t="s">
        <v>39</v>
      </c>
      <c r="G358" t="s">
        <v>65</v>
      </c>
      <c r="H358" s="1">
        <v>44236</v>
      </c>
      <c r="I358" t="s">
        <v>446</v>
      </c>
      <c r="J358" t="s">
        <v>71</v>
      </c>
      <c r="K358" t="s">
        <v>72</v>
      </c>
      <c r="L358" s="2" t="s">
        <v>292</v>
      </c>
      <c r="M358" t="str">
        <f>TEXT(Table13[[#This Row],[Order Date]],"MMM")</f>
        <v>Feb</v>
      </c>
      <c r="N358">
        <f>YEAR(Table13[[#This Row],[Order Date]])</f>
        <v>2021</v>
      </c>
      <c r="O358" t="str">
        <f>"Q"&amp;ROUNDUP(MONTH(Table13[[#This Row],[Order Date]])/3,0)</f>
        <v>Q1</v>
      </c>
      <c r="P358" s="5">
        <f>Table13[[#This Row],[Profit]]/Table13[[#This Row],[Amount]]</f>
        <v>0.32031529917592261</v>
      </c>
      <c r="Q358" s="6">
        <f>Table13[[#This Row],[Amount]]/Table13[[#This Row],[Quantity]]</f>
        <v>199.35714285714286</v>
      </c>
    </row>
    <row r="359" spans="1:17" x14ac:dyDescent="0.3">
      <c r="A359" t="s">
        <v>443</v>
      </c>
      <c r="B359">
        <v>6223</v>
      </c>
      <c r="C359">
        <v>1478</v>
      </c>
      <c r="D359">
        <v>3</v>
      </c>
      <c r="E359" t="s">
        <v>45</v>
      </c>
      <c r="F359" t="s">
        <v>60</v>
      </c>
      <c r="G359" t="s">
        <v>32</v>
      </c>
      <c r="H359" s="1">
        <v>44842</v>
      </c>
      <c r="I359" t="s">
        <v>444</v>
      </c>
      <c r="J359" t="s">
        <v>71</v>
      </c>
      <c r="K359" t="s">
        <v>86</v>
      </c>
      <c r="L359" s="2" t="s">
        <v>96</v>
      </c>
      <c r="M359" t="str">
        <f>TEXT(Table13[[#This Row],[Order Date]],"MMM")</f>
        <v>Oct</v>
      </c>
      <c r="N359">
        <f>YEAR(Table13[[#This Row],[Order Date]])</f>
        <v>2022</v>
      </c>
      <c r="O359" t="str">
        <f>"Q"&amp;ROUNDUP(MONTH(Table13[[#This Row],[Order Date]])/3,0)</f>
        <v>Q4</v>
      </c>
      <c r="P359" s="5">
        <f>Table13[[#This Row],[Profit]]/Table13[[#This Row],[Amount]]</f>
        <v>0.23750602603246024</v>
      </c>
      <c r="Q359" s="6">
        <f>Table13[[#This Row],[Amount]]/Table13[[#This Row],[Quantity]]</f>
        <v>2074.3333333333335</v>
      </c>
    </row>
    <row r="360" spans="1:17" x14ac:dyDescent="0.3">
      <c r="A360" t="s">
        <v>443</v>
      </c>
      <c r="B360">
        <v>6223</v>
      </c>
      <c r="C360">
        <v>1478</v>
      </c>
      <c r="D360">
        <v>3</v>
      </c>
      <c r="E360" t="s">
        <v>45</v>
      </c>
      <c r="F360" t="s">
        <v>60</v>
      </c>
      <c r="G360" t="s">
        <v>32</v>
      </c>
      <c r="H360" s="1">
        <v>45226</v>
      </c>
      <c r="I360" t="s">
        <v>445</v>
      </c>
      <c r="J360" t="s">
        <v>98</v>
      </c>
      <c r="K360" t="s">
        <v>107</v>
      </c>
      <c r="L360" s="2" t="s">
        <v>442</v>
      </c>
      <c r="M360" t="str">
        <f>TEXT(Table13[[#This Row],[Order Date]],"MMM")</f>
        <v>Oct</v>
      </c>
      <c r="N360">
        <f>YEAR(Table13[[#This Row],[Order Date]])</f>
        <v>2023</v>
      </c>
      <c r="O360" t="str">
        <f>"Q"&amp;ROUNDUP(MONTH(Table13[[#This Row],[Order Date]])/3,0)</f>
        <v>Q4</v>
      </c>
      <c r="P360" s="5">
        <f>Table13[[#This Row],[Profit]]/Table13[[#This Row],[Amount]]</f>
        <v>0.23750602603246024</v>
      </c>
      <c r="Q360" s="6">
        <f>Table13[[#This Row],[Amount]]/Table13[[#This Row],[Quantity]]</f>
        <v>2074.3333333333335</v>
      </c>
    </row>
    <row r="361" spans="1:17" x14ac:dyDescent="0.3">
      <c r="A361" t="s">
        <v>443</v>
      </c>
      <c r="B361">
        <v>6223</v>
      </c>
      <c r="C361">
        <v>1478</v>
      </c>
      <c r="D361">
        <v>3</v>
      </c>
      <c r="E361" t="s">
        <v>45</v>
      </c>
      <c r="F361" t="s">
        <v>60</v>
      </c>
      <c r="G361" t="s">
        <v>32</v>
      </c>
      <c r="H361" s="1">
        <v>44236</v>
      </c>
      <c r="I361" t="s">
        <v>446</v>
      </c>
      <c r="J361" t="s">
        <v>71</v>
      </c>
      <c r="K361" t="s">
        <v>72</v>
      </c>
      <c r="L361" s="2" t="s">
        <v>292</v>
      </c>
      <c r="M361" t="str">
        <f>TEXT(Table13[[#This Row],[Order Date]],"MMM")</f>
        <v>Feb</v>
      </c>
      <c r="N361">
        <f>YEAR(Table13[[#This Row],[Order Date]])</f>
        <v>2021</v>
      </c>
      <c r="O361" t="str">
        <f>"Q"&amp;ROUNDUP(MONTH(Table13[[#This Row],[Order Date]])/3,0)</f>
        <v>Q1</v>
      </c>
      <c r="P361" s="5">
        <f>Table13[[#This Row],[Profit]]/Table13[[#This Row],[Amount]]</f>
        <v>0.23750602603246024</v>
      </c>
      <c r="Q361" s="6">
        <f>Table13[[#This Row],[Amount]]/Table13[[#This Row],[Quantity]]</f>
        <v>2074.3333333333335</v>
      </c>
    </row>
    <row r="362" spans="1:17" x14ac:dyDescent="0.3">
      <c r="A362" t="s">
        <v>443</v>
      </c>
      <c r="B362">
        <v>8943</v>
      </c>
      <c r="C362">
        <v>3121</v>
      </c>
      <c r="D362">
        <v>17</v>
      </c>
      <c r="E362" t="s">
        <v>45</v>
      </c>
      <c r="F362" t="s">
        <v>49</v>
      </c>
      <c r="G362" t="s">
        <v>32</v>
      </c>
      <c r="H362" s="1">
        <v>44842</v>
      </c>
      <c r="I362" t="s">
        <v>444</v>
      </c>
      <c r="J362" t="s">
        <v>71</v>
      </c>
      <c r="K362" t="s">
        <v>86</v>
      </c>
      <c r="L362" s="2" t="s">
        <v>96</v>
      </c>
      <c r="M362" t="str">
        <f>TEXT(Table13[[#This Row],[Order Date]],"MMM")</f>
        <v>Oct</v>
      </c>
      <c r="N362">
        <f>YEAR(Table13[[#This Row],[Order Date]])</f>
        <v>2022</v>
      </c>
      <c r="O362" t="str">
        <f>"Q"&amp;ROUNDUP(MONTH(Table13[[#This Row],[Order Date]])/3,0)</f>
        <v>Q4</v>
      </c>
      <c r="P362" s="5">
        <f>Table13[[#This Row],[Profit]]/Table13[[#This Row],[Amount]]</f>
        <v>0.34898803533489881</v>
      </c>
      <c r="Q362" s="6">
        <f>Table13[[#This Row],[Amount]]/Table13[[#This Row],[Quantity]]</f>
        <v>526.05882352941171</v>
      </c>
    </row>
    <row r="363" spans="1:17" x14ac:dyDescent="0.3">
      <c r="A363" t="s">
        <v>443</v>
      </c>
      <c r="B363">
        <v>8943</v>
      </c>
      <c r="C363">
        <v>3121</v>
      </c>
      <c r="D363">
        <v>17</v>
      </c>
      <c r="E363" t="s">
        <v>45</v>
      </c>
      <c r="F363" t="s">
        <v>49</v>
      </c>
      <c r="G363" t="s">
        <v>32</v>
      </c>
      <c r="H363" s="1">
        <v>45226</v>
      </c>
      <c r="I363" t="s">
        <v>445</v>
      </c>
      <c r="J363" t="s">
        <v>98</v>
      </c>
      <c r="K363" t="s">
        <v>107</v>
      </c>
      <c r="L363" s="2" t="s">
        <v>442</v>
      </c>
      <c r="M363" t="str">
        <f>TEXT(Table13[[#This Row],[Order Date]],"MMM")</f>
        <v>Oct</v>
      </c>
      <c r="N363">
        <f>YEAR(Table13[[#This Row],[Order Date]])</f>
        <v>2023</v>
      </c>
      <c r="O363" t="str">
        <f>"Q"&amp;ROUNDUP(MONTH(Table13[[#This Row],[Order Date]])/3,0)</f>
        <v>Q4</v>
      </c>
      <c r="P363" s="5">
        <f>Table13[[#This Row],[Profit]]/Table13[[#This Row],[Amount]]</f>
        <v>0.34898803533489881</v>
      </c>
      <c r="Q363" s="6">
        <f>Table13[[#This Row],[Amount]]/Table13[[#This Row],[Quantity]]</f>
        <v>526.05882352941171</v>
      </c>
    </row>
    <row r="364" spans="1:17" x14ac:dyDescent="0.3">
      <c r="A364" t="s">
        <v>443</v>
      </c>
      <c r="B364">
        <v>8943</v>
      </c>
      <c r="C364">
        <v>3121</v>
      </c>
      <c r="D364">
        <v>17</v>
      </c>
      <c r="E364" t="s">
        <v>45</v>
      </c>
      <c r="F364" t="s">
        <v>49</v>
      </c>
      <c r="G364" t="s">
        <v>32</v>
      </c>
      <c r="H364" s="1">
        <v>44236</v>
      </c>
      <c r="I364" t="s">
        <v>446</v>
      </c>
      <c r="J364" t="s">
        <v>71</v>
      </c>
      <c r="K364" t="s">
        <v>72</v>
      </c>
      <c r="L364" s="2" t="s">
        <v>292</v>
      </c>
      <c r="M364" t="str">
        <f>TEXT(Table13[[#This Row],[Order Date]],"MMM")</f>
        <v>Feb</v>
      </c>
      <c r="N364">
        <f>YEAR(Table13[[#This Row],[Order Date]])</f>
        <v>2021</v>
      </c>
      <c r="O364" t="str">
        <f>"Q"&amp;ROUNDUP(MONTH(Table13[[#This Row],[Order Date]])/3,0)</f>
        <v>Q1</v>
      </c>
      <c r="P364" s="5">
        <f>Table13[[#This Row],[Profit]]/Table13[[#This Row],[Amount]]</f>
        <v>0.34898803533489881</v>
      </c>
      <c r="Q364" s="6">
        <f>Table13[[#This Row],[Amount]]/Table13[[#This Row],[Quantity]]</f>
        <v>526.05882352941171</v>
      </c>
    </row>
    <row r="365" spans="1:17" x14ac:dyDescent="0.3">
      <c r="A365" t="s">
        <v>443</v>
      </c>
      <c r="B365">
        <v>3297</v>
      </c>
      <c r="C365">
        <v>102</v>
      </c>
      <c r="D365">
        <v>12</v>
      </c>
      <c r="E365" t="s">
        <v>13</v>
      </c>
      <c r="F365" t="s">
        <v>82</v>
      </c>
      <c r="G365" t="s">
        <v>47</v>
      </c>
      <c r="H365" s="1">
        <v>44842</v>
      </c>
      <c r="I365" t="s">
        <v>444</v>
      </c>
      <c r="J365" t="s">
        <v>71</v>
      </c>
      <c r="K365" t="s">
        <v>86</v>
      </c>
      <c r="L365" s="2" t="s">
        <v>96</v>
      </c>
      <c r="M365" t="str">
        <f>TEXT(Table13[[#This Row],[Order Date]],"MMM")</f>
        <v>Oct</v>
      </c>
      <c r="N365">
        <f>YEAR(Table13[[#This Row],[Order Date]])</f>
        <v>2022</v>
      </c>
      <c r="O365" t="str">
        <f>"Q"&amp;ROUNDUP(MONTH(Table13[[#This Row],[Order Date]])/3,0)</f>
        <v>Q4</v>
      </c>
      <c r="P365" s="5">
        <f>Table13[[#This Row],[Profit]]/Table13[[#This Row],[Amount]]</f>
        <v>3.0937215650591446E-2</v>
      </c>
      <c r="Q365" s="6">
        <f>Table13[[#This Row],[Amount]]/Table13[[#This Row],[Quantity]]</f>
        <v>274.75</v>
      </c>
    </row>
    <row r="366" spans="1:17" x14ac:dyDescent="0.3">
      <c r="A366" t="s">
        <v>443</v>
      </c>
      <c r="B366">
        <v>3297</v>
      </c>
      <c r="C366">
        <v>102</v>
      </c>
      <c r="D366">
        <v>12</v>
      </c>
      <c r="E366" t="s">
        <v>13</v>
      </c>
      <c r="F366" t="s">
        <v>82</v>
      </c>
      <c r="G366" t="s">
        <v>47</v>
      </c>
      <c r="H366" s="1">
        <v>45226</v>
      </c>
      <c r="I366" t="s">
        <v>445</v>
      </c>
      <c r="J366" t="s">
        <v>98</v>
      </c>
      <c r="K366" t="s">
        <v>107</v>
      </c>
      <c r="L366" s="2" t="s">
        <v>442</v>
      </c>
      <c r="M366" t="str">
        <f>TEXT(Table13[[#This Row],[Order Date]],"MMM")</f>
        <v>Oct</v>
      </c>
      <c r="N366">
        <f>YEAR(Table13[[#This Row],[Order Date]])</f>
        <v>2023</v>
      </c>
      <c r="O366" t="str">
        <f>"Q"&amp;ROUNDUP(MONTH(Table13[[#This Row],[Order Date]])/3,0)</f>
        <v>Q4</v>
      </c>
      <c r="P366" s="5">
        <f>Table13[[#This Row],[Profit]]/Table13[[#This Row],[Amount]]</f>
        <v>3.0937215650591446E-2</v>
      </c>
      <c r="Q366" s="6">
        <f>Table13[[#This Row],[Amount]]/Table13[[#This Row],[Quantity]]</f>
        <v>274.75</v>
      </c>
    </row>
    <row r="367" spans="1:17" x14ac:dyDescent="0.3">
      <c r="A367" t="s">
        <v>443</v>
      </c>
      <c r="B367">
        <v>3297</v>
      </c>
      <c r="C367">
        <v>102</v>
      </c>
      <c r="D367">
        <v>12</v>
      </c>
      <c r="E367" t="s">
        <v>13</v>
      </c>
      <c r="F367" t="s">
        <v>82</v>
      </c>
      <c r="G367" t="s">
        <v>47</v>
      </c>
      <c r="H367" s="1">
        <v>44236</v>
      </c>
      <c r="I367" t="s">
        <v>446</v>
      </c>
      <c r="J367" t="s">
        <v>71</v>
      </c>
      <c r="K367" t="s">
        <v>72</v>
      </c>
      <c r="L367" s="2" t="s">
        <v>292</v>
      </c>
      <c r="M367" t="str">
        <f>TEXT(Table13[[#This Row],[Order Date]],"MMM")</f>
        <v>Feb</v>
      </c>
      <c r="N367">
        <f>YEAR(Table13[[#This Row],[Order Date]])</f>
        <v>2021</v>
      </c>
      <c r="O367" t="str">
        <f>"Q"&amp;ROUNDUP(MONTH(Table13[[#This Row],[Order Date]])/3,0)</f>
        <v>Q1</v>
      </c>
      <c r="P367" s="5">
        <f>Table13[[#This Row],[Profit]]/Table13[[#This Row],[Amount]]</f>
        <v>3.0937215650591446E-2</v>
      </c>
      <c r="Q367" s="6">
        <f>Table13[[#This Row],[Amount]]/Table13[[#This Row],[Quantity]]</f>
        <v>274.75</v>
      </c>
    </row>
    <row r="368" spans="1:17" x14ac:dyDescent="0.3">
      <c r="A368" t="s">
        <v>447</v>
      </c>
      <c r="B368">
        <v>8769</v>
      </c>
      <c r="C368">
        <v>1989</v>
      </c>
      <c r="D368">
        <v>20</v>
      </c>
      <c r="E368" t="s">
        <v>30</v>
      </c>
      <c r="F368" t="s">
        <v>64</v>
      </c>
      <c r="G368" t="s">
        <v>15</v>
      </c>
      <c r="H368" s="1">
        <v>44138</v>
      </c>
      <c r="I368" t="s">
        <v>448</v>
      </c>
      <c r="J368" t="s">
        <v>21</v>
      </c>
      <c r="K368" t="s">
        <v>22</v>
      </c>
      <c r="L368" s="2" t="s">
        <v>80</v>
      </c>
      <c r="M368" t="str">
        <f>TEXT(Table13[[#This Row],[Order Date]],"MMM")</f>
        <v>Nov</v>
      </c>
      <c r="N368">
        <f>YEAR(Table13[[#This Row],[Order Date]])</f>
        <v>2020</v>
      </c>
      <c r="O368" t="str">
        <f>"Q"&amp;ROUNDUP(MONTH(Table13[[#This Row],[Order Date]])/3,0)</f>
        <v>Q4</v>
      </c>
      <c r="P368" s="5">
        <f>Table13[[#This Row],[Profit]]/Table13[[#This Row],[Amount]]</f>
        <v>0.22682175846732808</v>
      </c>
      <c r="Q368" s="6">
        <f>Table13[[#This Row],[Amount]]/Table13[[#This Row],[Quantity]]</f>
        <v>438.45</v>
      </c>
    </row>
    <row r="369" spans="1:17" x14ac:dyDescent="0.3">
      <c r="A369" t="s">
        <v>449</v>
      </c>
      <c r="B369">
        <v>9057</v>
      </c>
      <c r="C369">
        <v>1888</v>
      </c>
      <c r="D369">
        <v>19</v>
      </c>
      <c r="E369" t="s">
        <v>13</v>
      </c>
      <c r="F369" t="s">
        <v>28</v>
      </c>
      <c r="G369" t="s">
        <v>65</v>
      </c>
      <c r="H369" s="1">
        <v>44711</v>
      </c>
      <c r="I369" t="s">
        <v>450</v>
      </c>
      <c r="J369" t="s">
        <v>17</v>
      </c>
      <c r="K369" t="s">
        <v>34</v>
      </c>
      <c r="L369" s="2" t="s">
        <v>180</v>
      </c>
      <c r="M369" t="str">
        <f>TEXT(Table13[[#This Row],[Order Date]],"MMM")</f>
        <v>May</v>
      </c>
      <c r="N369">
        <f>YEAR(Table13[[#This Row],[Order Date]])</f>
        <v>2022</v>
      </c>
      <c r="O369" t="str">
        <f>"Q"&amp;ROUNDUP(MONTH(Table13[[#This Row],[Order Date]])/3,0)</f>
        <v>Q2</v>
      </c>
      <c r="P369" s="5">
        <f>Table13[[#This Row],[Profit]]/Table13[[#This Row],[Amount]]</f>
        <v>0.20845754664900076</v>
      </c>
      <c r="Q369" s="6">
        <f>Table13[[#This Row],[Amount]]/Table13[[#This Row],[Quantity]]</f>
        <v>476.68421052631578</v>
      </c>
    </row>
    <row r="370" spans="1:17" x14ac:dyDescent="0.3">
      <c r="A370" t="s">
        <v>449</v>
      </c>
      <c r="B370">
        <v>6864</v>
      </c>
      <c r="C370">
        <v>3275</v>
      </c>
      <c r="D370">
        <v>11</v>
      </c>
      <c r="E370" t="s">
        <v>45</v>
      </c>
      <c r="F370" t="s">
        <v>46</v>
      </c>
      <c r="G370" t="s">
        <v>47</v>
      </c>
      <c r="H370" s="1">
        <v>44711</v>
      </c>
      <c r="I370" t="s">
        <v>450</v>
      </c>
      <c r="J370" t="s">
        <v>17</v>
      </c>
      <c r="K370" t="s">
        <v>34</v>
      </c>
      <c r="L370" s="2" t="s">
        <v>180</v>
      </c>
      <c r="M370" t="str">
        <f>TEXT(Table13[[#This Row],[Order Date]],"MMM")</f>
        <v>May</v>
      </c>
      <c r="N370">
        <f>YEAR(Table13[[#This Row],[Order Date]])</f>
        <v>2022</v>
      </c>
      <c r="O370" t="str">
        <f>"Q"&amp;ROUNDUP(MONTH(Table13[[#This Row],[Order Date]])/3,0)</f>
        <v>Q2</v>
      </c>
      <c r="P370" s="5">
        <f>Table13[[#This Row],[Profit]]/Table13[[#This Row],[Amount]]</f>
        <v>0.47712703962703962</v>
      </c>
      <c r="Q370" s="6">
        <f>Table13[[#This Row],[Amount]]/Table13[[#This Row],[Quantity]]</f>
        <v>624</v>
      </c>
    </row>
    <row r="371" spans="1:17" x14ac:dyDescent="0.3">
      <c r="A371" t="s">
        <v>449</v>
      </c>
      <c r="B371">
        <v>9200</v>
      </c>
      <c r="C371">
        <v>809</v>
      </c>
      <c r="D371">
        <v>13</v>
      </c>
      <c r="E371" t="s">
        <v>13</v>
      </c>
      <c r="F371" t="s">
        <v>39</v>
      </c>
      <c r="G371" t="s">
        <v>65</v>
      </c>
      <c r="H371" s="1">
        <v>44711</v>
      </c>
      <c r="I371" t="s">
        <v>450</v>
      </c>
      <c r="J371" t="s">
        <v>17</v>
      </c>
      <c r="K371" t="s">
        <v>34</v>
      </c>
      <c r="L371" s="2" t="s">
        <v>180</v>
      </c>
      <c r="M371" t="str">
        <f>TEXT(Table13[[#This Row],[Order Date]],"MMM")</f>
        <v>May</v>
      </c>
      <c r="N371">
        <f>YEAR(Table13[[#This Row],[Order Date]])</f>
        <v>2022</v>
      </c>
      <c r="O371" t="str">
        <f>"Q"&amp;ROUNDUP(MONTH(Table13[[#This Row],[Order Date]])/3,0)</f>
        <v>Q2</v>
      </c>
      <c r="P371" s="5">
        <f>Table13[[#This Row],[Profit]]/Table13[[#This Row],[Amount]]</f>
        <v>8.7934782608695652E-2</v>
      </c>
      <c r="Q371" s="6">
        <f>Table13[[#This Row],[Amount]]/Table13[[#This Row],[Quantity]]</f>
        <v>707.69230769230774</v>
      </c>
    </row>
    <row r="372" spans="1:17" x14ac:dyDescent="0.3">
      <c r="A372" t="s">
        <v>451</v>
      </c>
      <c r="B372">
        <v>6113</v>
      </c>
      <c r="C372">
        <v>2508</v>
      </c>
      <c r="D372">
        <v>6</v>
      </c>
      <c r="E372" t="s">
        <v>13</v>
      </c>
      <c r="F372" t="s">
        <v>39</v>
      </c>
      <c r="G372" t="s">
        <v>15</v>
      </c>
      <c r="H372" s="1">
        <v>45459</v>
      </c>
      <c r="I372" t="s">
        <v>452</v>
      </c>
      <c r="J372" t="s">
        <v>17</v>
      </c>
      <c r="K372" t="s">
        <v>34</v>
      </c>
      <c r="L372" s="2" t="s">
        <v>262</v>
      </c>
      <c r="M372" t="str">
        <f>TEXT(Table13[[#This Row],[Order Date]],"MMM")</f>
        <v>Jun</v>
      </c>
      <c r="N372">
        <f>YEAR(Table13[[#This Row],[Order Date]])</f>
        <v>2024</v>
      </c>
      <c r="O372" t="str">
        <f>"Q"&amp;ROUNDUP(MONTH(Table13[[#This Row],[Order Date]])/3,0)</f>
        <v>Q2</v>
      </c>
      <c r="P372" s="5">
        <f>Table13[[#This Row],[Profit]]/Table13[[#This Row],[Amount]]</f>
        <v>0.41027318828725667</v>
      </c>
      <c r="Q372" s="6">
        <f>Table13[[#This Row],[Amount]]/Table13[[#This Row],[Quantity]]</f>
        <v>1018.8333333333334</v>
      </c>
    </row>
    <row r="373" spans="1:17" x14ac:dyDescent="0.3">
      <c r="A373" t="s">
        <v>451</v>
      </c>
      <c r="B373">
        <v>7733</v>
      </c>
      <c r="C373">
        <v>2784</v>
      </c>
      <c r="D373">
        <v>15</v>
      </c>
      <c r="E373" t="s">
        <v>45</v>
      </c>
      <c r="F373" t="s">
        <v>46</v>
      </c>
      <c r="G373" t="s">
        <v>40</v>
      </c>
      <c r="H373" s="1">
        <v>45459</v>
      </c>
      <c r="I373" t="s">
        <v>452</v>
      </c>
      <c r="J373" t="s">
        <v>17</v>
      </c>
      <c r="K373" t="s">
        <v>34</v>
      </c>
      <c r="L373" s="2" t="s">
        <v>262</v>
      </c>
      <c r="M373" t="str">
        <f>TEXT(Table13[[#This Row],[Order Date]],"MMM")</f>
        <v>Jun</v>
      </c>
      <c r="N373">
        <f>YEAR(Table13[[#This Row],[Order Date]])</f>
        <v>2024</v>
      </c>
      <c r="O373" t="str">
        <f>"Q"&amp;ROUNDUP(MONTH(Table13[[#This Row],[Order Date]])/3,0)</f>
        <v>Q2</v>
      </c>
      <c r="P373" s="5">
        <f>Table13[[#This Row],[Profit]]/Table13[[#This Row],[Amount]]</f>
        <v>0.36001551791025477</v>
      </c>
      <c r="Q373" s="6">
        <f>Table13[[#This Row],[Amount]]/Table13[[#This Row],[Quantity]]</f>
        <v>515.5333333333333</v>
      </c>
    </row>
    <row r="374" spans="1:17" x14ac:dyDescent="0.3">
      <c r="A374" t="s">
        <v>451</v>
      </c>
      <c r="B374">
        <v>8524</v>
      </c>
      <c r="C374">
        <v>154</v>
      </c>
      <c r="D374">
        <v>14</v>
      </c>
      <c r="E374" t="s">
        <v>45</v>
      </c>
      <c r="F374" t="s">
        <v>46</v>
      </c>
      <c r="G374" t="s">
        <v>65</v>
      </c>
      <c r="H374" s="1">
        <v>45459</v>
      </c>
      <c r="I374" t="s">
        <v>452</v>
      </c>
      <c r="J374" t="s">
        <v>17</v>
      </c>
      <c r="K374" t="s">
        <v>34</v>
      </c>
      <c r="L374" s="2" t="s">
        <v>262</v>
      </c>
      <c r="M374" t="str">
        <f>TEXT(Table13[[#This Row],[Order Date]],"MMM")</f>
        <v>Jun</v>
      </c>
      <c r="N374">
        <f>YEAR(Table13[[#This Row],[Order Date]])</f>
        <v>2024</v>
      </c>
      <c r="O374" t="str">
        <f>"Q"&amp;ROUNDUP(MONTH(Table13[[#This Row],[Order Date]])/3,0)</f>
        <v>Q2</v>
      </c>
      <c r="P374" s="5">
        <f>Table13[[#This Row],[Profit]]/Table13[[#This Row],[Amount]]</f>
        <v>1.8066635382449556E-2</v>
      </c>
      <c r="Q374" s="6">
        <f>Table13[[#This Row],[Amount]]/Table13[[#This Row],[Quantity]]</f>
        <v>608.85714285714289</v>
      </c>
    </row>
    <row r="375" spans="1:17" x14ac:dyDescent="0.3">
      <c r="A375" t="s">
        <v>451</v>
      </c>
      <c r="B375">
        <v>6187</v>
      </c>
      <c r="C375">
        <v>2344</v>
      </c>
      <c r="D375">
        <v>15</v>
      </c>
      <c r="E375" t="s">
        <v>45</v>
      </c>
      <c r="F375" t="s">
        <v>109</v>
      </c>
      <c r="G375" t="s">
        <v>40</v>
      </c>
      <c r="H375" s="1">
        <v>45459</v>
      </c>
      <c r="I375" t="s">
        <v>452</v>
      </c>
      <c r="J375" t="s">
        <v>17</v>
      </c>
      <c r="K375" t="s">
        <v>34</v>
      </c>
      <c r="L375" s="2" t="s">
        <v>262</v>
      </c>
      <c r="M375" t="str">
        <f>TEXT(Table13[[#This Row],[Order Date]],"MMM")</f>
        <v>Jun</v>
      </c>
      <c r="N375">
        <f>YEAR(Table13[[#This Row],[Order Date]])</f>
        <v>2024</v>
      </c>
      <c r="O375" t="str">
        <f>"Q"&amp;ROUNDUP(MONTH(Table13[[#This Row],[Order Date]])/3,0)</f>
        <v>Q2</v>
      </c>
      <c r="P375" s="5">
        <f>Table13[[#This Row],[Profit]]/Table13[[#This Row],[Amount]]</f>
        <v>0.37885889768870212</v>
      </c>
      <c r="Q375" s="6">
        <f>Table13[[#This Row],[Amount]]/Table13[[#This Row],[Quantity]]</f>
        <v>412.46666666666664</v>
      </c>
    </row>
    <row r="376" spans="1:17" x14ac:dyDescent="0.3">
      <c r="A376" t="s">
        <v>453</v>
      </c>
      <c r="B376">
        <v>4364</v>
      </c>
      <c r="C376">
        <v>148</v>
      </c>
      <c r="D376">
        <v>18</v>
      </c>
      <c r="E376" t="s">
        <v>45</v>
      </c>
      <c r="F376" t="s">
        <v>46</v>
      </c>
      <c r="G376" t="s">
        <v>40</v>
      </c>
      <c r="H376" s="1">
        <v>44757</v>
      </c>
      <c r="I376" t="s">
        <v>454</v>
      </c>
      <c r="J376" t="s">
        <v>98</v>
      </c>
      <c r="K376" t="s">
        <v>107</v>
      </c>
      <c r="L376" s="2" t="s">
        <v>418</v>
      </c>
      <c r="M376" t="str">
        <f>TEXT(Table13[[#This Row],[Order Date]],"MMM")</f>
        <v>Jul</v>
      </c>
      <c r="N376">
        <f>YEAR(Table13[[#This Row],[Order Date]])</f>
        <v>2022</v>
      </c>
      <c r="O376" t="str">
        <f>"Q"&amp;ROUNDUP(MONTH(Table13[[#This Row],[Order Date]])/3,0)</f>
        <v>Q3</v>
      </c>
      <c r="P376" s="5">
        <f>Table13[[#This Row],[Profit]]/Table13[[#This Row],[Amount]]</f>
        <v>3.3913840513290557E-2</v>
      </c>
      <c r="Q376" s="6">
        <f>Table13[[#This Row],[Amount]]/Table13[[#This Row],[Quantity]]</f>
        <v>242.44444444444446</v>
      </c>
    </row>
    <row r="377" spans="1:17" x14ac:dyDescent="0.3">
      <c r="A377" t="s">
        <v>453</v>
      </c>
      <c r="B377">
        <v>736</v>
      </c>
      <c r="C377">
        <v>286</v>
      </c>
      <c r="D377">
        <v>12</v>
      </c>
      <c r="E377" t="s">
        <v>30</v>
      </c>
      <c r="F377" t="s">
        <v>31</v>
      </c>
      <c r="G377" t="s">
        <v>40</v>
      </c>
      <c r="H377" s="1">
        <v>44757</v>
      </c>
      <c r="I377" t="s">
        <v>454</v>
      </c>
      <c r="J377" t="s">
        <v>98</v>
      </c>
      <c r="K377" t="s">
        <v>107</v>
      </c>
      <c r="L377" s="2" t="s">
        <v>418</v>
      </c>
      <c r="M377" t="str">
        <f>TEXT(Table13[[#This Row],[Order Date]],"MMM")</f>
        <v>Jul</v>
      </c>
      <c r="N377">
        <f>YEAR(Table13[[#This Row],[Order Date]])</f>
        <v>2022</v>
      </c>
      <c r="O377" t="str">
        <f>"Q"&amp;ROUNDUP(MONTH(Table13[[#This Row],[Order Date]])/3,0)</f>
        <v>Q3</v>
      </c>
      <c r="P377" s="5">
        <f>Table13[[#This Row],[Profit]]/Table13[[#This Row],[Amount]]</f>
        <v>0.38858695652173914</v>
      </c>
      <c r="Q377" s="6">
        <f>Table13[[#This Row],[Amount]]/Table13[[#This Row],[Quantity]]</f>
        <v>61.333333333333336</v>
      </c>
    </row>
    <row r="378" spans="1:17" x14ac:dyDescent="0.3">
      <c r="A378" t="s">
        <v>455</v>
      </c>
      <c r="B378">
        <v>9905</v>
      </c>
      <c r="C378">
        <v>633</v>
      </c>
      <c r="D378">
        <v>17</v>
      </c>
      <c r="E378" t="s">
        <v>30</v>
      </c>
      <c r="F378" t="s">
        <v>31</v>
      </c>
      <c r="G378" t="s">
        <v>40</v>
      </c>
      <c r="H378" s="1">
        <v>44395</v>
      </c>
      <c r="I378" t="s">
        <v>456</v>
      </c>
      <c r="J378" t="s">
        <v>71</v>
      </c>
      <c r="K378" t="s">
        <v>72</v>
      </c>
      <c r="L378" s="2" t="s">
        <v>27</v>
      </c>
      <c r="M378" t="str">
        <f>TEXT(Table13[[#This Row],[Order Date]],"MMM")</f>
        <v>Jul</v>
      </c>
      <c r="N378">
        <f>YEAR(Table13[[#This Row],[Order Date]])</f>
        <v>2021</v>
      </c>
      <c r="O378" t="str">
        <f>"Q"&amp;ROUNDUP(MONTH(Table13[[#This Row],[Order Date]])/3,0)</f>
        <v>Q3</v>
      </c>
      <c r="P378" s="5">
        <f>Table13[[#This Row],[Profit]]/Table13[[#This Row],[Amount]]</f>
        <v>6.3907117617364964E-2</v>
      </c>
      <c r="Q378" s="6">
        <f>Table13[[#This Row],[Amount]]/Table13[[#This Row],[Quantity]]</f>
        <v>582.64705882352939</v>
      </c>
    </row>
    <row r="379" spans="1:17" x14ac:dyDescent="0.3">
      <c r="A379" t="s">
        <v>455</v>
      </c>
      <c r="B379">
        <v>9905</v>
      </c>
      <c r="C379">
        <v>633</v>
      </c>
      <c r="D379">
        <v>17</v>
      </c>
      <c r="E379" t="s">
        <v>30</v>
      </c>
      <c r="F379" t="s">
        <v>31</v>
      </c>
      <c r="G379" t="s">
        <v>40</v>
      </c>
      <c r="H379" s="1">
        <v>44471</v>
      </c>
      <c r="I379" t="s">
        <v>457</v>
      </c>
      <c r="J379" t="s">
        <v>17</v>
      </c>
      <c r="K379" t="s">
        <v>150</v>
      </c>
      <c r="L379" s="2" t="s">
        <v>37</v>
      </c>
      <c r="M379" t="str">
        <f>TEXT(Table13[[#This Row],[Order Date]],"MMM")</f>
        <v>Oct</v>
      </c>
      <c r="N379">
        <f>YEAR(Table13[[#This Row],[Order Date]])</f>
        <v>2021</v>
      </c>
      <c r="O379" t="str">
        <f>"Q"&amp;ROUNDUP(MONTH(Table13[[#This Row],[Order Date]])/3,0)</f>
        <v>Q4</v>
      </c>
      <c r="P379" s="5">
        <f>Table13[[#This Row],[Profit]]/Table13[[#This Row],[Amount]]</f>
        <v>6.3907117617364964E-2</v>
      </c>
      <c r="Q379" s="6">
        <f>Table13[[#This Row],[Amount]]/Table13[[#This Row],[Quantity]]</f>
        <v>582.64705882352939</v>
      </c>
    </row>
    <row r="380" spans="1:17" x14ac:dyDescent="0.3">
      <c r="A380" t="s">
        <v>458</v>
      </c>
      <c r="B380">
        <v>2493</v>
      </c>
      <c r="C380">
        <v>1221</v>
      </c>
      <c r="D380">
        <v>9</v>
      </c>
      <c r="E380" t="s">
        <v>30</v>
      </c>
      <c r="F380" t="s">
        <v>64</v>
      </c>
      <c r="G380" t="s">
        <v>47</v>
      </c>
      <c r="H380" s="1">
        <v>45398</v>
      </c>
      <c r="I380" t="s">
        <v>459</v>
      </c>
      <c r="J380" t="s">
        <v>21</v>
      </c>
      <c r="K380" t="s">
        <v>63</v>
      </c>
      <c r="L380" s="2" t="s">
        <v>235</v>
      </c>
      <c r="M380" t="str">
        <f>TEXT(Table13[[#This Row],[Order Date]],"MMM")</f>
        <v>Apr</v>
      </c>
      <c r="N380">
        <f>YEAR(Table13[[#This Row],[Order Date]])</f>
        <v>2024</v>
      </c>
      <c r="O380" t="str">
        <f>"Q"&amp;ROUNDUP(MONTH(Table13[[#This Row],[Order Date]])/3,0)</f>
        <v>Q2</v>
      </c>
      <c r="P380" s="5">
        <f>Table13[[#This Row],[Profit]]/Table13[[#This Row],[Amount]]</f>
        <v>0.48977135980746089</v>
      </c>
      <c r="Q380" s="6">
        <f>Table13[[#This Row],[Amount]]/Table13[[#This Row],[Quantity]]</f>
        <v>277</v>
      </c>
    </row>
    <row r="381" spans="1:17" x14ac:dyDescent="0.3">
      <c r="A381" t="s">
        <v>458</v>
      </c>
      <c r="B381">
        <v>9849</v>
      </c>
      <c r="C381">
        <v>963</v>
      </c>
      <c r="D381">
        <v>1</v>
      </c>
      <c r="E381" t="s">
        <v>30</v>
      </c>
      <c r="F381" t="s">
        <v>31</v>
      </c>
      <c r="G381" t="s">
        <v>47</v>
      </c>
      <c r="H381" s="1">
        <v>45398</v>
      </c>
      <c r="I381" t="s">
        <v>459</v>
      </c>
      <c r="J381" t="s">
        <v>21</v>
      </c>
      <c r="K381" t="s">
        <v>63</v>
      </c>
      <c r="L381" s="2" t="s">
        <v>235</v>
      </c>
      <c r="M381" t="str">
        <f>TEXT(Table13[[#This Row],[Order Date]],"MMM")</f>
        <v>Apr</v>
      </c>
      <c r="N381">
        <f>YEAR(Table13[[#This Row],[Order Date]])</f>
        <v>2024</v>
      </c>
      <c r="O381" t="str">
        <f>"Q"&amp;ROUNDUP(MONTH(Table13[[#This Row],[Order Date]])/3,0)</f>
        <v>Q2</v>
      </c>
      <c r="P381" s="5">
        <f>Table13[[#This Row],[Profit]]/Table13[[#This Row],[Amount]]</f>
        <v>9.7776424002436801E-2</v>
      </c>
      <c r="Q381" s="6">
        <f>Table13[[#This Row],[Amount]]/Table13[[#This Row],[Quantity]]</f>
        <v>9849</v>
      </c>
    </row>
    <row r="382" spans="1:17" x14ac:dyDescent="0.3">
      <c r="A382" t="s">
        <v>460</v>
      </c>
      <c r="B382">
        <v>3423</v>
      </c>
      <c r="C382">
        <v>804</v>
      </c>
      <c r="D382">
        <v>4</v>
      </c>
      <c r="E382" t="s">
        <v>13</v>
      </c>
      <c r="F382" t="s">
        <v>28</v>
      </c>
      <c r="G382" t="s">
        <v>47</v>
      </c>
      <c r="H382" s="1">
        <v>44021</v>
      </c>
      <c r="I382" t="s">
        <v>461</v>
      </c>
      <c r="J382" t="s">
        <v>21</v>
      </c>
      <c r="K382" t="s">
        <v>172</v>
      </c>
      <c r="L382" s="2" t="s">
        <v>462</v>
      </c>
      <c r="M382" t="str">
        <f>TEXT(Table13[[#This Row],[Order Date]],"MMM")</f>
        <v>Jul</v>
      </c>
      <c r="N382">
        <f>YEAR(Table13[[#This Row],[Order Date]])</f>
        <v>2020</v>
      </c>
      <c r="O382" t="str">
        <f>"Q"&amp;ROUNDUP(MONTH(Table13[[#This Row],[Order Date]])/3,0)</f>
        <v>Q3</v>
      </c>
      <c r="P382" s="5">
        <f>Table13[[#This Row],[Profit]]/Table13[[#This Row],[Amount]]</f>
        <v>0.23488168273444346</v>
      </c>
      <c r="Q382" s="6">
        <f>Table13[[#This Row],[Amount]]/Table13[[#This Row],[Quantity]]</f>
        <v>855.75</v>
      </c>
    </row>
    <row r="383" spans="1:17" x14ac:dyDescent="0.3">
      <c r="A383" t="s">
        <v>460</v>
      </c>
      <c r="B383">
        <v>3423</v>
      </c>
      <c r="C383">
        <v>804</v>
      </c>
      <c r="D383">
        <v>4</v>
      </c>
      <c r="E383" t="s">
        <v>13</v>
      </c>
      <c r="F383" t="s">
        <v>28</v>
      </c>
      <c r="G383" t="s">
        <v>47</v>
      </c>
      <c r="H383" s="1">
        <v>44037</v>
      </c>
      <c r="I383" t="s">
        <v>463</v>
      </c>
      <c r="J383" t="s">
        <v>71</v>
      </c>
      <c r="K383" t="s">
        <v>72</v>
      </c>
      <c r="L383" s="2" t="s">
        <v>462</v>
      </c>
      <c r="M383" t="str">
        <f>TEXT(Table13[[#This Row],[Order Date]],"MMM")</f>
        <v>Jul</v>
      </c>
      <c r="N383">
        <f>YEAR(Table13[[#This Row],[Order Date]])</f>
        <v>2020</v>
      </c>
      <c r="O383" t="str">
        <f>"Q"&amp;ROUNDUP(MONTH(Table13[[#This Row],[Order Date]])/3,0)</f>
        <v>Q3</v>
      </c>
      <c r="P383" s="5">
        <f>Table13[[#This Row],[Profit]]/Table13[[#This Row],[Amount]]</f>
        <v>0.23488168273444346</v>
      </c>
      <c r="Q383" s="6">
        <f>Table13[[#This Row],[Amount]]/Table13[[#This Row],[Quantity]]</f>
        <v>855.75</v>
      </c>
    </row>
    <row r="384" spans="1:17" x14ac:dyDescent="0.3">
      <c r="A384" t="s">
        <v>460</v>
      </c>
      <c r="B384">
        <v>3423</v>
      </c>
      <c r="C384">
        <v>804</v>
      </c>
      <c r="D384">
        <v>4</v>
      </c>
      <c r="E384" t="s">
        <v>13</v>
      </c>
      <c r="F384" t="s">
        <v>28</v>
      </c>
      <c r="G384" t="s">
        <v>47</v>
      </c>
      <c r="H384" s="1">
        <v>45315</v>
      </c>
      <c r="I384" t="s">
        <v>464</v>
      </c>
      <c r="J384" t="s">
        <v>71</v>
      </c>
      <c r="K384" t="s">
        <v>86</v>
      </c>
      <c r="L384" s="2" t="s">
        <v>76</v>
      </c>
      <c r="M384" t="str">
        <f>TEXT(Table13[[#This Row],[Order Date]],"MMM")</f>
        <v>Jan</v>
      </c>
      <c r="N384">
        <f>YEAR(Table13[[#This Row],[Order Date]])</f>
        <v>2024</v>
      </c>
      <c r="O384" t="str">
        <f>"Q"&amp;ROUNDUP(MONTH(Table13[[#This Row],[Order Date]])/3,0)</f>
        <v>Q1</v>
      </c>
      <c r="P384" s="5">
        <f>Table13[[#This Row],[Profit]]/Table13[[#This Row],[Amount]]</f>
        <v>0.23488168273444346</v>
      </c>
      <c r="Q384" s="6">
        <f>Table13[[#This Row],[Amount]]/Table13[[#This Row],[Quantity]]</f>
        <v>855.75</v>
      </c>
    </row>
    <row r="385" spans="1:17" x14ac:dyDescent="0.3">
      <c r="A385" t="s">
        <v>460</v>
      </c>
      <c r="B385">
        <v>3423</v>
      </c>
      <c r="C385">
        <v>804</v>
      </c>
      <c r="D385">
        <v>4</v>
      </c>
      <c r="E385" t="s">
        <v>13</v>
      </c>
      <c r="F385" t="s">
        <v>28</v>
      </c>
      <c r="G385" t="s">
        <v>47</v>
      </c>
      <c r="H385" s="1">
        <v>43955</v>
      </c>
      <c r="I385" t="s">
        <v>465</v>
      </c>
      <c r="J385" t="s">
        <v>71</v>
      </c>
      <c r="K385" t="s">
        <v>72</v>
      </c>
      <c r="L385" s="2" t="s">
        <v>59</v>
      </c>
      <c r="M385" t="str">
        <f>TEXT(Table13[[#This Row],[Order Date]],"MMM")</f>
        <v>May</v>
      </c>
      <c r="N385">
        <f>YEAR(Table13[[#This Row],[Order Date]])</f>
        <v>2020</v>
      </c>
      <c r="O385" t="str">
        <f>"Q"&amp;ROUNDUP(MONTH(Table13[[#This Row],[Order Date]])/3,0)</f>
        <v>Q2</v>
      </c>
      <c r="P385" s="5">
        <f>Table13[[#This Row],[Profit]]/Table13[[#This Row],[Amount]]</f>
        <v>0.23488168273444346</v>
      </c>
      <c r="Q385" s="6">
        <f>Table13[[#This Row],[Amount]]/Table13[[#This Row],[Quantity]]</f>
        <v>855.75</v>
      </c>
    </row>
    <row r="386" spans="1:17" x14ac:dyDescent="0.3">
      <c r="A386" t="s">
        <v>460</v>
      </c>
      <c r="B386">
        <v>3423</v>
      </c>
      <c r="C386">
        <v>804</v>
      </c>
      <c r="D386">
        <v>4</v>
      </c>
      <c r="E386" t="s">
        <v>13</v>
      </c>
      <c r="F386" t="s">
        <v>28</v>
      </c>
      <c r="G386" t="s">
        <v>47</v>
      </c>
      <c r="H386" s="1">
        <v>44513</v>
      </c>
      <c r="I386" t="s">
        <v>466</v>
      </c>
      <c r="J386" t="s">
        <v>98</v>
      </c>
      <c r="K386" t="s">
        <v>107</v>
      </c>
      <c r="L386" s="2" t="s">
        <v>175</v>
      </c>
      <c r="M386" t="str">
        <f>TEXT(Table13[[#This Row],[Order Date]],"MMM")</f>
        <v>Nov</v>
      </c>
      <c r="N386">
        <f>YEAR(Table13[[#This Row],[Order Date]])</f>
        <v>2021</v>
      </c>
      <c r="O386" t="str">
        <f>"Q"&amp;ROUNDUP(MONTH(Table13[[#This Row],[Order Date]])/3,0)</f>
        <v>Q4</v>
      </c>
      <c r="P386" s="5">
        <f>Table13[[#This Row],[Profit]]/Table13[[#This Row],[Amount]]</f>
        <v>0.23488168273444346</v>
      </c>
      <c r="Q386" s="6">
        <f>Table13[[#This Row],[Amount]]/Table13[[#This Row],[Quantity]]</f>
        <v>855.75</v>
      </c>
    </row>
    <row r="387" spans="1:17" x14ac:dyDescent="0.3">
      <c r="A387" t="s">
        <v>467</v>
      </c>
      <c r="B387">
        <v>3900</v>
      </c>
      <c r="C387">
        <v>115</v>
      </c>
      <c r="D387">
        <v>9</v>
      </c>
      <c r="E387" t="s">
        <v>45</v>
      </c>
      <c r="F387" t="s">
        <v>49</v>
      </c>
      <c r="G387" t="s">
        <v>65</v>
      </c>
      <c r="H387" s="1">
        <v>45206</v>
      </c>
      <c r="I387" t="s">
        <v>468</v>
      </c>
      <c r="J387" t="s">
        <v>21</v>
      </c>
      <c r="K387" t="s">
        <v>63</v>
      </c>
      <c r="L387" s="2" t="s">
        <v>442</v>
      </c>
      <c r="M387" t="str">
        <f>TEXT(Table13[[#This Row],[Order Date]],"MMM")</f>
        <v>Oct</v>
      </c>
      <c r="N387">
        <f>YEAR(Table13[[#This Row],[Order Date]])</f>
        <v>2023</v>
      </c>
      <c r="O387" t="str">
        <f>"Q"&amp;ROUNDUP(MONTH(Table13[[#This Row],[Order Date]])/3,0)</f>
        <v>Q4</v>
      </c>
      <c r="P387" s="5">
        <f>Table13[[#This Row],[Profit]]/Table13[[#This Row],[Amount]]</f>
        <v>2.9487179487179487E-2</v>
      </c>
      <c r="Q387" s="6">
        <f>Table13[[#This Row],[Amount]]/Table13[[#This Row],[Quantity]]</f>
        <v>433.33333333333331</v>
      </c>
    </row>
    <row r="388" spans="1:17" x14ac:dyDescent="0.3">
      <c r="A388" t="s">
        <v>469</v>
      </c>
      <c r="B388">
        <v>8568</v>
      </c>
      <c r="C388">
        <v>2419</v>
      </c>
      <c r="D388">
        <v>11</v>
      </c>
      <c r="E388" t="s">
        <v>13</v>
      </c>
      <c r="F388" t="s">
        <v>14</v>
      </c>
      <c r="G388" t="s">
        <v>15</v>
      </c>
      <c r="H388" s="1">
        <v>44492</v>
      </c>
      <c r="I388" t="s">
        <v>470</v>
      </c>
      <c r="J388" t="s">
        <v>25</v>
      </c>
      <c r="K388" t="s">
        <v>68</v>
      </c>
      <c r="L388" s="2" t="s">
        <v>37</v>
      </c>
      <c r="M388" t="str">
        <f>TEXT(Table13[[#This Row],[Order Date]],"MMM")</f>
        <v>Oct</v>
      </c>
      <c r="N388">
        <f>YEAR(Table13[[#This Row],[Order Date]])</f>
        <v>2021</v>
      </c>
      <c r="O388" t="str">
        <f>"Q"&amp;ROUNDUP(MONTH(Table13[[#This Row],[Order Date]])/3,0)</f>
        <v>Q4</v>
      </c>
      <c r="P388" s="5">
        <f>Table13[[#This Row],[Profit]]/Table13[[#This Row],[Amount]]</f>
        <v>0.28232959850606909</v>
      </c>
      <c r="Q388" s="6">
        <f>Table13[[#This Row],[Amount]]/Table13[[#This Row],[Quantity]]</f>
        <v>778.90909090909088</v>
      </c>
    </row>
    <row r="389" spans="1:17" x14ac:dyDescent="0.3">
      <c r="A389" t="s">
        <v>469</v>
      </c>
      <c r="B389">
        <v>3283</v>
      </c>
      <c r="C389">
        <v>71</v>
      </c>
      <c r="D389">
        <v>6</v>
      </c>
      <c r="E389" t="s">
        <v>30</v>
      </c>
      <c r="F389" t="s">
        <v>31</v>
      </c>
      <c r="G389" t="s">
        <v>40</v>
      </c>
      <c r="H389" s="1">
        <v>44492</v>
      </c>
      <c r="I389" t="s">
        <v>470</v>
      </c>
      <c r="J389" t="s">
        <v>25</v>
      </c>
      <c r="K389" t="s">
        <v>68</v>
      </c>
      <c r="L389" s="2" t="s">
        <v>37</v>
      </c>
      <c r="M389" t="str">
        <f>TEXT(Table13[[#This Row],[Order Date]],"MMM")</f>
        <v>Oct</v>
      </c>
      <c r="N389">
        <f>YEAR(Table13[[#This Row],[Order Date]])</f>
        <v>2021</v>
      </c>
      <c r="O389" t="str">
        <f>"Q"&amp;ROUNDUP(MONTH(Table13[[#This Row],[Order Date]])/3,0)</f>
        <v>Q4</v>
      </c>
      <c r="P389" s="5">
        <f>Table13[[#This Row],[Profit]]/Table13[[#This Row],[Amount]]</f>
        <v>2.1626561072190069E-2</v>
      </c>
      <c r="Q389" s="6">
        <f>Table13[[#This Row],[Amount]]/Table13[[#This Row],[Quantity]]</f>
        <v>547.16666666666663</v>
      </c>
    </row>
    <row r="390" spans="1:17" x14ac:dyDescent="0.3">
      <c r="A390" t="s">
        <v>471</v>
      </c>
      <c r="B390">
        <v>7643</v>
      </c>
      <c r="C390">
        <v>3720</v>
      </c>
      <c r="D390">
        <v>19</v>
      </c>
      <c r="E390" t="s">
        <v>13</v>
      </c>
      <c r="F390" t="s">
        <v>14</v>
      </c>
      <c r="G390" t="s">
        <v>40</v>
      </c>
      <c r="H390" s="1">
        <v>44760</v>
      </c>
      <c r="I390" t="s">
        <v>472</v>
      </c>
      <c r="J390" t="s">
        <v>71</v>
      </c>
      <c r="K390" t="s">
        <v>72</v>
      </c>
      <c r="L390" s="2" t="s">
        <v>418</v>
      </c>
      <c r="M390" t="str">
        <f>TEXT(Table13[[#This Row],[Order Date]],"MMM")</f>
        <v>Jul</v>
      </c>
      <c r="N390">
        <f>YEAR(Table13[[#This Row],[Order Date]])</f>
        <v>2022</v>
      </c>
      <c r="O390" t="str">
        <f>"Q"&amp;ROUNDUP(MONTH(Table13[[#This Row],[Order Date]])/3,0)</f>
        <v>Q3</v>
      </c>
      <c r="P390" s="5">
        <f>Table13[[#This Row],[Profit]]/Table13[[#This Row],[Amount]]</f>
        <v>0.48671987439487113</v>
      </c>
      <c r="Q390" s="6">
        <f>Table13[[#This Row],[Amount]]/Table13[[#This Row],[Quantity]]</f>
        <v>402.26315789473682</v>
      </c>
    </row>
    <row r="391" spans="1:17" x14ac:dyDescent="0.3">
      <c r="A391" t="s">
        <v>473</v>
      </c>
      <c r="B391">
        <v>3461</v>
      </c>
      <c r="C391">
        <v>1537</v>
      </c>
      <c r="D391">
        <v>15</v>
      </c>
      <c r="E391" t="s">
        <v>45</v>
      </c>
      <c r="F391" t="s">
        <v>60</v>
      </c>
      <c r="G391" t="s">
        <v>40</v>
      </c>
      <c r="H391" s="1">
        <v>45527</v>
      </c>
      <c r="I391" t="s">
        <v>474</v>
      </c>
      <c r="J391" t="s">
        <v>21</v>
      </c>
      <c r="K391" t="s">
        <v>22</v>
      </c>
      <c r="L391" s="2" t="s">
        <v>114</v>
      </c>
      <c r="M391" t="str">
        <f>TEXT(Table13[[#This Row],[Order Date]],"MMM")</f>
        <v>Aug</v>
      </c>
      <c r="N391">
        <f>YEAR(Table13[[#This Row],[Order Date]])</f>
        <v>2024</v>
      </c>
      <c r="O391" t="str">
        <f>"Q"&amp;ROUNDUP(MONTH(Table13[[#This Row],[Order Date]])/3,0)</f>
        <v>Q3</v>
      </c>
      <c r="P391" s="5">
        <f>Table13[[#This Row],[Profit]]/Table13[[#This Row],[Amount]]</f>
        <v>0.444091303091592</v>
      </c>
      <c r="Q391" s="6">
        <f>Table13[[#This Row],[Amount]]/Table13[[#This Row],[Quantity]]</f>
        <v>230.73333333333332</v>
      </c>
    </row>
    <row r="392" spans="1:17" x14ac:dyDescent="0.3">
      <c r="A392" t="s">
        <v>473</v>
      </c>
      <c r="B392">
        <v>5714</v>
      </c>
      <c r="C392">
        <v>1438</v>
      </c>
      <c r="D392">
        <v>6</v>
      </c>
      <c r="E392" t="s">
        <v>13</v>
      </c>
      <c r="F392" t="s">
        <v>14</v>
      </c>
      <c r="G392" t="s">
        <v>47</v>
      </c>
      <c r="H392" s="1">
        <v>45527</v>
      </c>
      <c r="I392" t="s">
        <v>474</v>
      </c>
      <c r="J392" t="s">
        <v>21</v>
      </c>
      <c r="K392" t="s">
        <v>22</v>
      </c>
      <c r="L392" s="2" t="s">
        <v>114</v>
      </c>
      <c r="M392" t="str">
        <f>TEXT(Table13[[#This Row],[Order Date]],"MMM")</f>
        <v>Aug</v>
      </c>
      <c r="N392">
        <f>YEAR(Table13[[#This Row],[Order Date]])</f>
        <v>2024</v>
      </c>
      <c r="O392" t="str">
        <f>"Q"&amp;ROUNDUP(MONTH(Table13[[#This Row],[Order Date]])/3,0)</f>
        <v>Q3</v>
      </c>
      <c r="P392" s="5">
        <f>Table13[[#This Row],[Profit]]/Table13[[#This Row],[Amount]]</f>
        <v>0.25166258312915646</v>
      </c>
      <c r="Q392" s="6">
        <f>Table13[[#This Row],[Amount]]/Table13[[#This Row],[Quantity]]</f>
        <v>952.33333333333337</v>
      </c>
    </row>
    <row r="393" spans="1:17" x14ac:dyDescent="0.3">
      <c r="A393" t="s">
        <v>473</v>
      </c>
      <c r="B393">
        <v>3853</v>
      </c>
      <c r="C393">
        <v>1457</v>
      </c>
      <c r="D393">
        <v>10</v>
      </c>
      <c r="E393" t="s">
        <v>30</v>
      </c>
      <c r="F393" t="s">
        <v>78</v>
      </c>
      <c r="G393" t="s">
        <v>65</v>
      </c>
      <c r="H393" s="1">
        <v>45527</v>
      </c>
      <c r="I393" t="s">
        <v>474</v>
      </c>
      <c r="J393" t="s">
        <v>21</v>
      </c>
      <c r="K393" t="s">
        <v>22</v>
      </c>
      <c r="L393" s="2" t="s">
        <v>114</v>
      </c>
      <c r="M393" t="str">
        <f>TEXT(Table13[[#This Row],[Order Date]],"MMM")</f>
        <v>Aug</v>
      </c>
      <c r="N393">
        <f>YEAR(Table13[[#This Row],[Order Date]])</f>
        <v>2024</v>
      </c>
      <c r="O393" t="str">
        <f>"Q"&amp;ROUNDUP(MONTH(Table13[[#This Row],[Order Date]])/3,0)</f>
        <v>Q3</v>
      </c>
      <c r="P393" s="5">
        <f>Table13[[#This Row],[Profit]]/Table13[[#This Row],[Amount]]</f>
        <v>0.37814689852063327</v>
      </c>
      <c r="Q393" s="6">
        <f>Table13[[#This Row],[Amount]]/Table13[[#This Row],[Quantity]]</f>
        <v>385.3</v>
      </c>
    </row>
    <row r="394" spans="1:17" x14ac:dyDescent="0.3">
      <c r="A394" t="s">
        <v>475</v>
      </c>
      <c r="B394">
        <v>6016</v>
      </c>
      <c r="C394">
        <v>431</v>
      </c>
      <c r="D394">
        <v>20</v>
      </c>
      <c r="E394" t="s">
        <v>30</v>
      </c>
      <c r="F394" t="s">
        <v>31</v>
      </c>
      <c r="G394" t="s">
        <v>15</v>
      </c>
      <c r="H394" s="1">
        <v>44132</v>
      </c>
      <c r="I394" t="s">
        <v>476</v>
      </c>
      <c r="J394" t="s">
        <v>21</v>
      </c>
      <c r="K394" t="s">
        <v>22</v>
      </c>
      <c r="L394" s="2" t="s">
        <v>119</v>
      </c>
      <c r="M394" t="str">
        <f>TEXT(Table13[[#This Row],[Order Date]],"MMM")</f>
        <v>Oct</v>
      </c>
      <c r="N394">
        <f>YEAR(Table13[[#This Row],[Order Date]])</f>
        <v>2020</v>
      </c>
      <c r="O394" t="str">
        <f>"Q"&amp;ROUNDUP(MONTH(Table13[[#This Row],[Order Date]])/3,0)</f>
        <v>Q4</v>
      </c>
      <c r="P394" s="5">
        <f>Table13[[#This Row],[Profit]]/Table13[[#This Row],[Amount]]</f>
        <v>7.1642287234042548E-2</v>
      </c>
      <c r="Q394" s="6">
        <f>Table13[[#This Row],[Amount]]/Table13[[#This Row],[Quantity]]</f>
        <v>300.8</v>
      </c>
    </row>
    <row r="395" spans="1:17" x14ac:dyDescent="0.3">
      <c r="A395" t="s">
        <v>477</v>
      </c>
      <c r="B395">
        <v>1290</v>
      </c>
      <c r="C395">
        <v>204</v>
      </c>
      <c r="D395">
        <v>12</v>
      </c>
      <c r="E395" t="s">
        <v>30</v>
      </c>
      <c r="F395" t="s">
        <v>57</v>
      </c>
      <c r="G395" t="s">
        <v>15</v>
      </c>
      <c r="H395" s="1">
        <v>45458</v>
      </c>
      <c r="I395" t="s">
        <v>478</v>
      </c>
      <c r="J395" t="s">
        <v>25</v>
      </c>
      <c r="K395" t="s">
        <v>26</v>
      </c>
      <c r="L395" s="2" t="s">
        <v>262</v>
      </c>
      <c r="M395" t="str">
        <f>TEXT(Table13[[#This Row],[Order Date]],"MMM")</f>
        <v>Jun</v>
      </c>
      <c r="N395">
        <f>YEAR(Table13[[#This Row],[Order Date]])</f>
        <v>2024</v>
      </c>
      <c r="O395" t="str">
        <f>"Q"&amp;ROUNDUP(MONTH(Table13[[#This Row],[Order Date]])/3,0)</f>
        <v>Q2</v>
      </c>
      <c r="P395" s="5">
        <f>Table13[[#This Row],[Profit]]/Table13[[#This Row],[Amount]]</f>
        <v>0.15813953488372093</v>
      </c>
      <c r="Q395" s="6">
        <f>Table13[[#This Row],[Amount]]/Table13[[#This Row],[Quantity]]</f>
        <v>107.5</v>
      </c>
    </row>
    <row r="396" spans="1:17" x14ac:dyDescent="0.3">
      <c r="A396" t="s">
        <v>477</v>
      </c>
      <c r="B396">
        <v>1290</v>
      </c>
      <c r="C396">
        <v>204</v>
      </c>
      <c r="D396">
        <v>12</v>
      </c>
      <c r="E396" t="s">
        <v>30</v>
      </c>
      <c r="F396" t="s">
        <v>57</v>
      </c>
      <c r="G396" t="s">
        <v>15</v>
      </c>
      <c r="H396" s="1">
        <v>45645</v>
      </c>
      <c r="I396" t="s">
        <v>479</v>
      </c>
      <c r="J396" t="s">
        <v>42</v>
      </c>
      <c r="K396" t="s">
        <v>92</v>
      </c>
      <c r="L396" s="2" t="s">
        <v>23</v>
      </c>
      <c r="M396" t="str">
        <f>TEXT(Table13[[#This Row],[Order Date]],"MMM")</f>
        <v>Dec</v>
      </c>
      <c r="N396">
        <f>YEAR(Table13[[#This Row],[Order Date]])</f>
        <v>2024</v>
      </c>
      <c r="O396" t="str">
        <f>"Q"&amp;ROUNDUP(MONTH(Table13[[#This Row],[Order Date]])/3,0)</f>
        <v>Q4</v>
      </c>
      <c r="P396" s="5">
        <f>Table13[[#This Row],[Profit]]/Table13[[#This Row],[Amount]]</f>
        <v>0.15813953488372093</v>
      </c>
      <c r="Q396" s="6">
        <f>Table13[[#This Row],[Amount]]/Table13[[#This Row],[Quantity]]</f>
        <v>107.5</v>
      </c>
    </row>
    <row r="397" spans="1:17" x14ac:dyDescent="0.3">
      <c r="A397" t="s">
        <v>480</v>
      </c>
      <c r="B397">
        <v>4569</v>
      </c>
      <c r="C397">
        <v>1693</v>
      </c>
      <c r="D397">
        <v>10</v>
      </c>
      <c r="E397" t="s">
        <v>13</v>
      </c>
      <c r="F397" t="s">
        <v>28</v>
      </c>
      <c r="G397" t="s">
        <v>15</v>
      </c>
      <c r="H397" s="1">
        <v>44078</v>
      </c>
      <c r="I397" t="s">
        <v>481</v>
      </c>
      <c r="J397" t="s">
        <v>21</v>
      </c>
      <c r="K397" t="s">
        <v>63</v>
      </c>
      <c r="L397" s="2" t="s">
        <v>389</v>
      </c>
      <c r="M397" t="str">
        <f>TEXT(Table13[[#This Row],[Order Date]],"MMM")</f>
        <v>Sep</v>
      </c>
      <c r="N397">
        <f>YEAR(Table13[[#This Row],[Order Date]])</f>
        <v>2020</v>
      </c>
      <c r="O397" t="str">
        <f>"Q"&amp;ROUNDUP(MONTH(Table13[[#This Row],[Order Date]])/3,0)</f>
        <v>Q3</v>
      </c>
      <c r="P397" s="5">
        <f>Table13[[#This Row],[Profit]]/Table13[[#This Row],[Amount]]</f>
        <v>0.37054059969358721</v>
      </c>
      <c r="Q397" s="6">
        <f>Table13[[#This Row],[Amount]]/Table13[[#This Row],[Quantity]]</f>
        <v>456.9</v>
      </c>
    </row>
    <row r="398" spans="1:17" x14ac:dyDescent="0.3">
      <c r="A398" t="s">
        <v>482</v>
      </c>
      <c r="B398">
        <v>3083</v>
      </c>
      <c r="C398">
        <v>1151</v>
      </c>
      <c r="D398">
        <v>16</v>
      </c>
      <c r="E398" t="s">
        <v>45</v>
      </c>
      <c r="F398" t="s">
        <v>109</v>
      </c>
      <c r="G398" t="s">
        <v>32</v>
      </c>
      <c r="H398" s="1">
        <v>44667</v>
      </c>
      <c r="I398" t="s">
        <v>483</v>
      </c>
      <c r="J398" t="s">
        <v>17</v>
      </c>
      <c r="K398" t="s">
        <v>34</v>
      </c>
      <c r="L398" s="2" t="s">
        <v>187</v>
      </c>
      <c r="M398" t="str">
        <f>TEXT(Table13[[#This Row],[Order Date]],"MMM")</f>
        <v>Apr</v>
      </c>
      <c r="N398">
        <f>YEAR(Table13[[#This Row],[Order Date]])</f>
        <v>2022</v>
      </c>
      <c r="O398" t="str">
        <f>"Q"&amp;ROUNDUP(MONTH(Table13[[#This Row],[Order Date]])/3,0)</f>
        <v>Q2</v>
      </c>
      <c r="P398" s="5">
        <f>Table13[[#This Row],[Profit]]/Table13[[#This Row],[Amount]]</f>
        <v>0.3733376581252027</v>
      </c>
      <c r="Q398" s="6">
        <f>Table13[[#This Row],[Amount]]/Table13[[#This Row],[Quantity]]</f>
        <v>192.6875</v>
      </c>
    </row>
    <row r="399" spans="1:17" x14ac:dyDescent="0.3">
      <c r="A399" t="s">
        <v>484</v>
      </c>
      <c r="B399">
        <v>3522</v>
      </c>
      <c r="C399">
        <v>898</v>
      </c>
      <c r="D399">
        <v>15</v>
      </c>
      <c r="E399" t="s">
        <v>30</v>
      </c>
      <c r="F399" t="s">
        <v>31</v>
      </c>
      <c r="G399" t="s">
        <v>47</v>
      </c>
      <c r="H399" s="1">
        <v>45533</v>
      </c>
      <c r="I399" t="s">
        <v>485</v>
      </c>
      <c r="J399" t="s">
        <v>98</v>
      </c>
      <c r="K399" t="s">
        <v>117</v>
      </c>
      <c r="L399" s="2" t="s">
        <v>114</v>
      </c>
      <c r="M399" t="str">
        <f>TEXT(Table13[[#This Row],[Order Date]],"MMM")</f>
        <v>Aug</v>
      </c>
      <c r="N399">
        <f>YEAR(Table13[[#This Row],[Order Date]])</f>
        <v>2024</v>
      </c>
      <c r="O399" t="str">
        <f>"Q"&amp;ROUNDUP(MONTH(Table13[[#This Row],[Order Date]])/3,0)</f>
        <v>Q3</v>
      </c>
      <c r="P399" s="5">
        <f>Table13[[#This Row],[Profit]]/Table13[[#This Row],[Amount]]</f>
        <v>0.25496876774559907</v>
      </c>
      <c r="Q399" s="6">
        <f>Table13[[#This Row],[Amount]]/Table13[[#This Row],[Quantity]]</f>
        <v>234.8</v>
      </c>
    </row>
    <row r="400" spans="1:17" x14ac:dyDescent="0.3">
      <c r="A400" t="s">
        <v>484</v>
      </c>
      <c r="B400">
        <v>3522</v>
      </c>
      <c r="C400">
        <v>898</v>
      </c>
      <c r="D400">
        <v>15</v>
      </c>
      <c r="E400" t="s">
        <v>30</v>
      </c>
      <c r="F400" t="s">
        <v>31</v>
      </c>
      <c r="G400" t="s">
        <v>47</v>
      </c>
      <c r="H400" s="1">
        <v>44575</v>
      </c>
      <c r="I400" t="s">
        <v>486</v>
      </c>
      <c r="J400" t="s">
        <v>42</v>
      </c>
      <c r="K400" t="s">
        <v>43</v>
      </c>
      <c r="L400" s="2" t="s">
        <v>87</v>
      </c>
      <c r="M400" t="str">
        <f>TEXT(Table13[[#This Row],[Order Date]],"MMM")</f>
        <v>Jan</v>
      </c>
      <c r="N400">
        <f>YEAR(Table13[[#This Row],[Order Date]])</f>
        <v>2022</v>
      </c>
      <c r="O400" t="str">
        <f>"Q"&amp;ROUNDUP(MONTH(Table13[[#This Row],[Order Date]])/3,0)</f>
        <v>Q1</v>
      </c>
      <c r="P400" s="5">
        <f>Table13[[#This Row],[Profit]]/Table13[[#This Row],[Amount]]</f>
        <v>0.25496876774559907</v>
      </c>
      <c r="Q400" s="6">
        <f>Table13[[#This Row],[Amount]]/Table13[[#This Row],[Quantity]]</f>
        <v>234.8</v>
      </c>
    </row>
    <row r="401" spans="1:17" x14ac:dyDescent="0.3">
      <c r="A401" t="s">
        <v>487</v>
      </c>
      <c r="B401">
        <v>7301</v>
      </c>
      <c r="C401">
        <v>3602</v>
      </c>
      <c r="D401">
        <v>3</v>
      </c>
      <c r="E401" t="s">
        <v>30</v>
      </c>
      <c r="F401" t="s">
        <v>78</v>
      </c>
      <c r="G401" t="s">
        <v>32</v>
      </c>
      <c r="H401" s="1">
        <v>45389</v>
      </c>
      <c r="I401" t="s">
        <v>488</v>
      </c>
      <c r="J401" t="s">
        <v>71</v>
      </c>
      <c r="K401" t="s">
        <v>138</v>
      </c>
      <c r="L401" s="2" t="s">
        <v>235</v>
      </c>
      <c r="M401" t="str">
        <f>TEXT(Table13[[#This Row],[Order Date]],"MMM")</f>
        <v>Apr</v>
      </c>
      <c r="N401">
        <f>YEAR(Table13[[#This Row],[Order Date]])</f>
        <v>2024</v>
      </c>
      <c r="O401" t="str">
        <f>"Q"&amp;ROUNDUP(MONTH(Table13[[#This Row],[Order Date]])/3,0)</f>
        <v>Q2</v>
      </c>
      <c r="P401" s="5">
        <f>Table13[[#This Row],[Profit]]/Table13[[#This Row],[Amount]]</f>
        <v>0.49335707437337351</v>
      </c>
      <c r="Q401" s="6">
        <f>Table13[[#This Row],[Amount]]/Table13[[#This Row],[Quantity]]</f>
        <v>2433.6666666666665</v>
      </c>
    </row>
    <row r="402" spans="1:17" x14ac:dyDescent="0.3">
      <c r="A402" t="s">
        <v>489</v>
      </c>
      <c r="B402">
        <v>4462</v>
      </c>
      <c r="C402">
        <v>121</v>
      </c>
      <c r="D402">
        <v>8</v>
      </c>
      <c r="E402" t="s">
        <v>13</v>
      </c>
      <c r="F402" t="s">
        <v>39</v>
      </c>
      <c r="G402" t="s">
        <v>65</v>
      </c>
      <c r="H402" s="1">
        <v>44675</v>
      </c>
      <c r="I402" t="s">
        <v>490</v>
      </c>
      <c r="J402" t="s">
        <v>21</v>
      </c>
      <c r="K402" t="s">
        <v>63</v>
      </c>
      <c r="L402" s="2" t="s">
        <v>187</v>
      </c>
      <c r="M402" t="str">
        <f>TEXT(Table13[[#This Row],[Order Date]],"MMM")</f>
        <v>Apr</v>
      </c>
      <c r="N402">
        <f>YEAR(Table13[[#This Row],[Order Date]])</f>
        <v>2022</v>
      </c>
      <c r="O402" t="str">
        <f>"Q"&amp;ROUNDUP(MONTH(Table13[[#This Row],[Order Date]])/3,0)</f>
        <v>Q2</v>
      </c>
      <c r="P402" s="5">
        <f>Table13[[#This Row],[Profit]]/Table13[[#This Row],[Amount]]</f>
        <v>2.7117884356790675E-2</v>
      </c>
      <c r="Q402" s="6">
        <f>Table13[[#This Row],[Amount]]/Table13[[#This Row],[Quantity]]</f>
        <v>557.75</v>
      </c>
    </row>
    <row r="403" spans="1:17" x14ac:dyDescent="0.3">
      <c r="A403" t="s">
        <v>489</v>
      </c>
      <c r="B403">
        <v>6212</v>
      </c>
      <c r="C403">
        <v>1881</v>
      </c>
      <c r="D403">
        <v>17</v>
      </c>
      <c r="E403" t="s">
        <v>13</v>
      </c>
      <c r="F403" t="s">
        <v>82</v>
      </c>
      <c r="G403" t="s">
        <v>65</v>
      </c>
      <c r="H403" s="1">
        <v>44675</v>
      </c>
      <c r="I403" t="s">
        <v>490</v>
      </c>
      <c r="J403" t="s">
        <v>21</v>
      </c>
      <c r="K403" t="s">
        <v>63</v>
      </c>
      <c r="L403" s="2" t="s">
        <v>187</v>
      </c>
      <c r="M403" t="str">
        <f>TEXT(Table13[[#This Row],[Order Date]],"MMM")</f>
        <v>Apr</v>
      </c>
      <c r="N403">
        <f>YEAR(Table13[[#This Row],[Order Date]])</f>
        <v>2022</v>
      </c>
      <c r="O403" t="str">
        <f>"Q"&amp;ROUNDUP(MONTH(Table13[[#This Row],[Order Date]])/3,0)</f>
        <v>Q2</v>
      </c>
      <c r="P403" s="5">
        <f>Table13[[#This Row],[Profit]]/Table13[[#This Row],[Amount]]</f>
        <v>0.30280103026400518</v>
      </c>
      <c r="Q403" s="6">
        <f>Table13[[#This Row],[Amount]]/Table13[[#This Row],[Quantity]]</f>
        <v>365.41176470588238</v>
      </c>
    </row>
    <row r="404" spans="1:17" x14ac:dyDescent="0.3">
      <c r="A404" t="s">
        <v>491</v>
      </c>
      <c r="B404">
        <v>4027</v>
      </c>
      <c r="C404">
        <v>1386</v>
      </c>
      <c r="D404">
        <v>3</v>
      </c>
      <c r="E404" t="s">
        <v>45</v>
      </c>
      <c r="F404" t="s">
        <v>109</v>
      </c>
      <c r="G404" t="s">
        <v>40</v>
      </c>
      <c r="H404" s="1">
        <v>44070</v>
      </c>
      <c r="I404" t="s">
        <v>492</v>
      </c>
      <c r="J404" t="s">
        <v>17</v>
      </c>
      <c r="K404" t="s">
        <v>150</v>
      </c>
      <c r="L404" s="2" t="s">
        <v>185</v>
      </c>
      <c r="M404" t="str">
        <f>TEXT(Table13[[#This Row],[Order Date]],"MMM")</f>
        <v>Aug</v>
      </c>
      <c r="N404">
        <f>YEAR(Table13[[#This Row],[Order Date]])</f>
        <v>2020</v>
      </c>
      <c r="O404" t="str">
        <f>"Q"&amp;ROUNDUP(MONTH(Table13[[#This Row],[Order Date]])/3,0)</f>
        <v>Q3</v>
      </c>
      <c r="P404" s="5">
        <f>Table13[[#This Row],[Profit]]/Table13[[#This Row],[Amount]]</f>
        <v>0.34417680655574867</v>
      </c>
      <c r="Q404" s="6">
        <f>Table13[[#This Row],[Amount]]/Table13[[#This Row],[Quantity]]</f>
        <v>1342.3333333333333</v>
      </c>
    </row>
    <row r="405" spans="1:17" x14ac:dyDescent="0.3">
      <c r="A405" t="s">
        <v>493</v>
      </c>
      <c r="B405">
        <v>1676</v>
      </c>
      <c r="C405">
        <v>330</v>
      </c>
      <c r="D405">
        <v>14</v>
      </c>
      <c r="E405" t="s">
        <v>13</v>
      </c>
      <c r="F405" t="s">
        <v>39</v>
      </c>
      <c r="G405" t="s">
        <v>40</v>
      </c>
      <c r="H405" s="1">
        <v>44986</v>
      </c>
      <c r="I405" t="s">
        <v>494</v>
      </c>
      <c r="J405" t="s">
        <v>98</v>
      </c>
      <c r="K405" t="s">
        <v>117</v>
      </c>
      <c r="L405" s="2" t="s">
        <v>245</v>
      </c>
      <c r="M405" t="str">
        <f>TEXT(Table13[[#This Row],[Order Date]],"MMM")</f>
        <v>Mar</v>
      </c>
      <c r="N405">
        <f>YEAR(Table13[[#This Row],[Order Date]])</f>
        <v>2023</v>
      </c>
      <c r="O405" t="str">
        <f>"Q"&amp;ROUNDUP(MONTH(Table13[[#This Row],[Order Date]])/3,0)</f>
        <v>Q1</v>
      </c>
      <c r="P405" s="5">
        <f>Table13[[#This Row],[Profit]]/Table13[[#This Row],[Amount]]</f>
        <v>0.19689737470167065</v>
      </c>
      <c r="Q405" s="6">
        <f>Table13[[#This Row],[Amount]]/Table13[[#This Row],[Quantity]]</f>
        <v>119.71428571428571</v>
      </c>
    </row>
    <row r="406" spans="1:17" x14ac:dyDescent="0.3">
      <c r="A406" t="s">
        <v>493</v>
      </c>
      <c r="B406">
        <v>3927</v>
      </c>
      <c r="C406">
        <v>1133</v>
      </c>
      <c r="D406">
        <v>12</v>
      </c>
      <c r="E406" t="s">
        <v>45</v>
      </c>
      <c r="F406" t="s">
        <v>109</v>
      </c>
      <c r="G406" t="s">
        <v>65</v>
      </c>
      <c r="H406" s="1">
        <v>44986</v>
      </c>
      <c r="I406" t="s">
        <v>494</v>
      </c>
      <c r="J406" t="s">
        <v>98</v>
      </c>
      <c r="K406" t="s">
        <v>117</v>
      </c>
      <c r="L406" s="2" t="s">
        <v>245</v>
      </c>
      <c r="M406" t="str">
        <f>TEXT(Table13[[#This Row],[Order Date]],"MMM")</f>
        <v>Mar</v>
      </c>
      <c r="N406">
        <f>YEAR(Table13[[#This Row],[Order Date]])</f>
        <v>2023</v>
      </c>
      <c r="O406" t="str">
        <f>"Q"&amp;ROUNDUP(MONTH(Table13[[#This Row],[Order Date]])/3,0)</f>
        <v>Q1</v>
      </c>
      <c r="P406" s="5">
        <f>Table13[[#This Row],[Profit]]/Table13[[#This Row],[Amount]]</f>
        <v>0.28851540616246496</v>
      </c>
      <c r="Q406" s="6">
        <f>Table13[[#This Row],[Amount]]/Table13[[#This Row],[Quantity]]</f>
        <v>327.25</v>
      </c>
    </row>
    <row r="407" spans="1:17" x14ac:dyDescent="0.3">
      <c r="A407" t="s">
        <v>493</v>
      </c>
      <c r="B407">
        <v>2776</v>
      </c>
      <c r="C407">
        <v>887</v>
      </c>
      <c r="D407">
        <v>9</v>
      </c>
      <c r="E407" t="s">
        <v>13</v>
      </c>
      <c r="F407" t="s">
        <v>82</v>
      </c>
      <c r="G407" t="s">
        <v>32</v>
      </c>
      <c r="H407" s="1">
        <v>44986</v>
      </c>
      <c r="I407" t="s">
        <v>494</v>
      </c>
      <c r="J407" t="s">
        <v>98</v>
      </c>
      <c r="K407" t="s">
        <v>117</v>
      </c>
      <c r="L407" s="2" t="s">
        <v>245</v>
      </c>
      <c r="M407" t="str">
        <f>TEXT(Table13[[#This Row],[Order Date]],"MMM")</f>
        <v>Mar</v>
      </c>
      <c r="N407">
        <f>YEAR(Table13[[#This Row],[Order Date]])</f>
        <v>2023</v>
      </c>
      <c r="O407" t="str">
        <f>"Q"&amp;ROUNDUP(MONTH(Table13[[#This Row],[Order Date]])/3,0)</f>
        <v>Q1</v>
      </c>
      <c r="P407" s="5">
        <f>Table13[[#This Row],[Profit]]/Table13[[#This Row],[Amount]]</f>
        <v>0.31952449567723346</v>
      </c>
      <c r="Q407" s="6">
        <f>Table13[[#This Row],[Amount]]/Table13[[#This Row],[Quantity]]</f>
        <v>308.44444444444446</v>
      </c>
    </row>
    <row r="408" spans="1:17" x14ac:dyDescent="0.3">
      <c r="A408" t="s">
        <v>495</v>
      </c>
      <c r="B408">
        <v>7684</v>
      </c>
      <c r="C408">
        <v>1157</v>
      </c>
      <c r="D408">
        <v>12</v>
      </c>
      <c r="E408" t="s">
        <v>45</v>
      </c>
      <c r="F408" t="s">
        <v>60</v>
      </c>
      <c r="G408" t="s">
        <v>65</v>
      </c>
      <c r="H408" s="1">
        <v>44106</v>
      </c>
      <c r="I408" t="s">
        <v>496</v>
      </c>
      <c r="J408" t="s">
        <v>21</v>
      </c>
      <c r="K408" t="s">
        <v>22</v>
      </c>
      <c r="L408" s="2" t="s">
        <v>119</v>
      </c>
      <c r="M408" t="str">
        <f>TEXT(Table13[[#This Row],[Order Date]],"MMM")</f>
        <v>Oct</v>
      </c>
      <c r="N408">
        <f>YEAR(Table13[[#This Row],[Order Date]])</f>
        <v>2020</v>
      </c>
      <c r="O408" t="str">
        <f>"Q"&amp;ROUNDUP(MONTH(Table13[[#This Row],[Order Date]])/3,0)</f>
        <v>Q4</v>
      </c>
      <c r="P408" s="5">
        <f>Table13[[#This Row],[Profit]]/Table13[[#This Row],[Amount]]</f>
        <v>0.15057261842790212</v>
      </c>
      <c r="Q408" s="6">
        <f>Table13[[#This Row],[Amount]]/Table13[[#This Row],[Quantity]]</f>
        <v>640.33333333333337</v>
      </c>
    </row>
    <row r="409" spans="1:17" x14ac:dyDescent="0.3">
      <c r="A409" t="s">
        <v>495</v>
      </c>
      <c r="B409">
        <v>7684</v>
      </c>
      <c r="C409">
        <v>1157</v>
      </c>
      <c r="D409">
        <v>12</v>
      </c>
      <c r="E409" t="s">
        <v>45</v>
      </c>
      <c r="F409" t="s">
        <v>60</v>
      </c>
      <c r="G409" t="s">
        <v>65</v>
      </c>
      <c r="H409" s="1">
        <v>44005</v>
      </c>
      <c r="I409" t="s">
        <v>497</v>
      </c>
      <c r="J409" t="s">
        <v>25</v>
      </c>
      <c r="K409" t="s">
        <v>26</v>
      </c>
      <c r="L409" s="2" t="s">
        <v>313</v>
      </c>
      <c r="M409" t="str">
        <f>TEXT(Table13[[#This Row],[Order Date]],"MMM")</f>
        <v>Jun</v>
      </c>
      <c r="N409">
        <f>YEAR(Table13[[#This Row],[Order Date]])</f>
        <v>2020</v>
      </c>
      <c r="O409" t="str">
        <f>"Q"&amp;ROUNDUP(MONTH(Table13[[#This Row],[Order Date]])/3,0)</f>
        <v>Q2</v>
      </c>
      <c r="P409" s="5">
        <f>Table13[[#This Row],[Profit]]/Table13[[#This Row],[Amount]]</f>
        <v>0.15057261842790212</v>
      </c>
      <c r="Q409" s="6">
        <f>Table13[[#This Row],[Amount]]/Table13[[#This Row],[Quantity]]</f>
        <v>640.33333333333337</v>
      </c>
    </row>
    <row r="410" spans="1:17" x14ac:dyDescent="0.3">
      <c r="A410" t="s">
        <v>495</v>
      </c>
      <c r="B410">
        <v>7684</v>
      </c>
      <c r="C410">
        <v>1157</v>
      </c>
      <c r="D410">
        <v>12</v>
      </c>
      <c r="E410" t="s">
        <v>45</v>
      </c>
      <c r="F410" t="s">
        <v>60</v>
      </c>
      <c r="G410" t="s">
        <v>65</v>
      </c>
      <c r="H410" s="1">
        <v>45159</v>
      </c>
      <c r="I410" t="s">
        <v>498</v>
      </c>
      <c r="J410" t="s">
        <v>98</v>
      </c>
      <c r="K410" t="s">
        <v>99</v>
      </c>
      <c r="L410" s="2" t="s">
        <v>121</v>
      </c>
      <c r="M410" t="str">
        <f>TEXT(Table13[[#This Row],[Order Date]],"MMM")</f>
        <v>Aug</v>
      </c>
      <c r="N410">
        <f>YEAR(Table13[[#This Row],[Order Date]])</f>
        <v>2023</v>
      </c>
      <c r="O410" t="str">
        <f>"Q"&amp;ROUNDUP(MONTH(Table13[[#This Row],[Order Date]])/3,0)</f>
        <v>Q3</v>
      </c>
      <c r="P410" s="5">
        <f>Table13[[#This Row],[Profit]]/Table13[[#This Row],[Amount]]</f>
        <v>0.15057261842790212</v>
      </c>
      <c r="Q410" s="6">
        <f>Table13[[#This Row],[Amount]]/Table13[[#This Row],[Quantity]]</f>
        <v>640.33333333333337</v>
      </c>
    </row>
    <row r="411" spans="1:17" x14ac:dyDescent="0.3">
      <c r="A411" t="s">
        <v>499</v>
      </c>
      <c r="B411">
        <v>6008</v>
      </c>
      <c r="C411">
        <v>2498</v>
      </c>
      <c r="D411">
        <v>17</v>
      </c>
      <c r="E411" t="s">
        <v>13</v>
      </c>
      <c r="F411" t="s">
        <v>82</v>
      </c>
      <c r="G411" t="s">
        <v>47</v>
      </c>
      <c r="H411" s="1">
        <v>44758</v>
      </c>
      <c r="I411" t="s">
        <v>500</v>
      </c>
      <c r="J411" t="s">
        <v>17</v>
      </c>
      <c r="K411" t="s">
        <v>18</v>
      </c>
      <c r="L411" s="2" t="s">
        <v>418</v>
      </c>
      <c r="M411" t="str">
        <f>TEXT(Table13[[#This Row],[Order Date]],"MMM")</f>
        <v>Jul</v>
      </c>
      <c r="N411">
        <f>YEAR(Table13[[#This Row],[Order Date]])</f>
        <v>2022</v>
      </c>
      <c r="O411" t="str">
        <f>"Q"&amp;ROUNDUP(MONTH(Table13[[#This Row],[Order Date]])/3,0)</f>
        <v>Q3</v>
      </c>
      <c r="P411" s="5">
        <f>Table13[[#This Row],[Profit]]/Table13[[#This Row],[Amount]]</f>
        <v>0.41577896138482023</v>
      </c>
      <c r="Q411" s="6">
        <f>Table13[[#This Row],[Amount]]/Table13[[#This Row],[Quantity]]</f>
        <v>353.41176470588238</v>
      </c>
    </row>
    <row r="412" spans="1:17" x14ac:dyDescent="0.3">
      <c r="A412" t="s">
        <v>501</v>
      </c>
      <c r="B412">
        <v>7344</v>
      </c>
      <c r="C412">
        <v>2598</v>
      </c>
      <c r="D412">
        <v>20</v>
      </c>
      <c r="E412" t="s">
        <v>45</v>
      </c>
      <c r="F412" t="s">
        <v>109</v>
      </c>
      <c r="G412" t="s">
        <v>65</v>
      </c>
      <c r="H412" s="1">
        <v>44774</v>
      </c>
      <c r="I412" t="s">
        <v>502</v>
      </c>
      <c r="J412" t="s">
        <v>71</v>
      </c>
      <c r="K412" t="s">
        <v>72</v>
      </c>
      <c r="L412" s="2" t="s">
        <v>209</v>
      </c>
      <c r="M412" t="str">
        <f>TEXT(Table13[[#This Row],[Order Date]],"MMM")</f>
        <v>Aug</v>
      </c>
      <c r="N412">
        <f>YEAR(Table13[[#This Row],[Order Date]])</f>
        <v>2022</v>
      </c>
      <c r="O412" t="str">
        <f>"Q"&amp;ROUNDUP(MONTH(Table13[[#This Row],[Order Date]])/3,0)</f>
        <v>Q3</v>
      </c>
      <c r="P412" s="5">
        <f>Table13[[#This Row],[Profit]]/Table13[[#This Row],[Amount]]</f>
        <v>0.35375816993464054</v>
      </c>
      <c r="Q412" s="6">
        <f>Table13[[#This Row],[Amount]]/Table13[[#This Row],[Quantity]]</f>
        <v>367.2</v>
      </c>
    </row>
    <row r="413" spans="1:17" x14ac:dyDescent="0.3">
      <c r="A413" t="s">
        <v>503</v>
      </c>
      <c r="B413">
        <v>6932</v>
      </c>
      <c r="C413">
        <v>3218</v>
      </c>
      <c r="D413">
        <v>20</v>
      </c>
      <c r="E413" t="s">
        <v>30</v>
      </c>
      <c r="F413" t="s">
        <v>31</v>
      </c>
      <c r="G413" t="s">
        <v>65</v>
      </c>
      <c r="H413" s="1">
        <v>44028</v>
      </c>
      <c r="I413" t="s">
        <v>504</v>
      </c>
      <c r="J413" t="s">
        <v>17</v>
      </c>
      <c r="K413" t="s">
        <v>34</v>
      </c>
      <c r="L413" s="2" t="s">
        <v>462</v>
      </c>
      <c r="M413" t="str">
        <f>TEXT(Table13[[#This Row],[Order Date]],"MMM")</f>
        <v>Jul</v>
      </c>
      <c r="N413">
        <f>YEAR(Table13[[#This Row],[Order Date]])</f>
        <v>2020</v>
      </c>
      <c r="O413" t="str">
        <f>"Q"&amp;ROUNDUP(MONTH(Table13[[#This Row],[Order Date]])/3,0)</f>
        <v>Q3</v>
      </c>
      <c r="P413" s="5">
        <f>Table13[[#This Row],[Profit]]/Table13[[#This Row],[Amount]]</f>
        <v>0.46422388920946334</v>
      </c>
      <c r="Q413" s="6">
        <f>Table13[[#This Row],[Amount]]/Table13[[#This Row],[Quantity]]</f>
        <v>346.6</v>
      </c>
    </row>
    <row r="414" spans="1:17" x14ac:dyDescent="0.3">
      <c r="A414" t="s">
        <v>505</v>
      </c>
      <c r="B414">
        <v>7748</v>
      </c>
      <c r="C414">
        <v>1706</v>
      </c>
      <c r="D414">
        <v>16</v>
      </c>
      <c r="E414" t="s">
        <v>13</v>
      </c>
      <c r="F414" t="s">
        <v>14</v>
      </c>
      <c r="G414" t="s">
        <v>40</v>
      </c>
      <c r="H414" s="1">
        <v>43953</v>
      </c>
      <c r="I414" t="s">
        <v>506</v>
      </c>
      <c r="J414" t="s">
        <v>98</v>
      </c>
      <c r="K414" t="s">
        <v>107</v>
      </c>
      <c r="L414" s="2" t="s">
        <v>59</v>
      </c>
      <c r="M414" t="str">
        <f>TEXT(Table13[[#This Row],[Order Date]],"MMM")</f>
        <v>May</v>
      </c>
      <c r="N414">
        <f>YEAR(Table13[[#This Row],[Order Date]])</f>
        <v>2020</v>
      </c>
      <c r="O414" t="str">
        <f>"Q"&amp;ROUNDUP(MONTH(Table13[[#This Row],[Order Date]])/3,0)</f>
        <v>Q2</v>
      </c>
      <c r="P414" s="5">
        <f>Table13[[#This Row],[Profit]]/Table13[[#This Row],[Amount]]</f>
        <v>0.22018585441404234</v>
      </c>
      <c r="Q414" s="6">
        <f>Table13[[#This Row],[Amount]]/Table13[[#This Row],[Quantity]]</f>
        <v>484.25</v>
      </c>
    </row>
    <row r="415" spans="1:17" x14ac:dyDescent="0.3">
      <c r="A415" t="s">
        <v>505</v>
      </c>
      <c r="B415">
        <v>6381</v>
      </c>
      <c r="C415">
        <v>2763</v>
      </c>
      <c r="D415">
        <v>20</v>
      </c>
      <c r="E415" t="s">
        <v>30</v>
      </c>
      <c r="F415" t="s">
        <v>57</v>
      </c>
      <c r="G415" t="s">
        <v>15</v>
      </c>
      <c r="H415" s="1">
        <v>43953</v>
      </c>
      <c r="I415" t="s">
        <v>506</v>
      </c>
      <c r="J415" t="s">
        <v>98</v>
      </c>
      <c r="K415" t="s">
        <v>107</v>
      </c>
      <c r="L415" s="2" t="s">
        <v>59</v>
      </c>
      <c r="M415" t="str">
        <f>TEXT(Table13[[#This Row],[Order Date]],"MMM")</f>
        <v>May</v>
      </c>
      <c r="N415">
        <f>YEAR(Table13[[#This Row],[Order Date]])</f>
        <v>2020</v>
      </c>
      <c r="O415" t="str">
        <f>"Q"&amp;ROUNDUP(MONTH(Table13[[#This Row],[Order Date]])/3,0)</f>
        <v>Q2</v>
      </c>
      <c r="P415" s="5">
        <f>Table13[[#This Row],[Profit]]/Table13[[#This Row],[Amount]]</f>
        <v>0.43300423131170662</v>
      </c>
      <c r="Q415" s="6">
        <f>Table13[[#This Row],[Amount]]/Table13[[#This Row],[Quantity]]</f>
        <v>319.05</v>
      </c>
    </row>
    <row r="416" spans="1:17" x14ac:dyDescent="0.3">
      <c r="A416" t="s">
        <v>505</v>
      </c>
      <c r="B416">
        <v>992</v>
      </c>
      <c r="C416">
        <v>64</v>
      </c>
      <c r="D416">
        <v>6</v>
      </c>
      <c r="E416" t="s">
        <v>13</v>
      </c>
      <c r="F416" t="s">
        <v>82</v>
      </c>
      <c r="G416" t="s">
        <v>47</v>
      </c>
      <c r="H416" s="1">
        <v>43953</v>
      </c>
      <c r="I416" t="s">
        <v>506</v>
      </c>
      <c r="J416" t="s">
        <v>98</v>
      </c>
      <c r="K416" t="s">
        <v>107</v>
      </c>
      <c r="L416" s="2" t="s">
        <v>59</v>
      </c>
      <c r="M416" t="str">
        <f>TEXT(Table13[[#This Row],[Order Date]],"MMM")</f>
        <v>May</v>
      </c>
      <c r="N416">
        <f>YEAR(Table13[[#This Row],[Order Date]])</f>
        <v>2020</v>
      </c>
      <c r="O416" t="str">
        <f>"Q"&amp;ROUNDUP(MONTH(Table13[[#This Row],[Order Date]])/3,0)</f>
        <v>Q2</v>
      </c>
      <c r="P416" s="5">
        <f>Table13[[#This Row],[Profit]]/Table13[[#This Row],[Amount]]</f>
        <v>6.4516129032258063E-2</v>
      </c>
      <c r="Q416" s="6">
        <f>Table13[[#This Row],[Amount]]/Table13[[#This Row],[Quantity]]</f>
        <v>165.33333333333334</v>
      </c>
    </row>
    <row r="417" spans="1:17" x14ac:dyDescent="0.3">
      <c r="A417" t="s">
        <v>507</v>
      </c>
      <c r="B417">
        <v>8649</v>
      </c>
      <c r="C417">
        <v>2631</v>
      </c>
      <c r="D417">
        <v>13</v>
      </c>
      <c r="E417" t="s">
        <v>13</v>
      </c>
      <c r="F417" t="s">
        <v>39</v>
      </c>
      <c r="G417" t="s">
        <v>40</v>
      </c>
      <c r="H417" s="1">
        <v>45301</v>
      </c>
      <c r="I417" t="s">
        <v>508</v>
      </c>
      <c r="J417" t="s">
        <v>42</v>
      </c>
      <c r="K417" t="s">
        <v>92</v>
      </c>
      <c r="L417" s="2" t="s">
        <v>76</v>
      </c>
      <c r="M417" t="str">
        <f>TEXT(Table13[[#This Row],[Order Date]],"MMM")</f>
        <v>Jan</v>
      </c>
      <c r="N417">
        <f>YEAR(Table13[[#This Row],[Order Date]])</f>
        <v>2024</v>
      </c>
      <c r="O417" t="str">
        <f>"Q"&amp;ROUNDUP(MONTH(Table13[[#This Row],[Order Date]])/3,0)</f>
        <v>Q1</v>
      </c>
      <c r="P417" s="5">
        <f>Table13[[#This Row],[Profit]]/Table13[[#This Row],[Amount]]</f>
        <v>0.30419701699618451</v>
      </c>
      <c r="Q417" s="6">
        <f>Table13[[#This Row],[Amount]]/Table13[[#This Row],[Quantity]]</f>
        <v>665.30769230769226</v>
      </c>
    </row>
    <row r="418" spans="1:17" x14ac:dyDescent="0.3">
      <c r="A418" t="s">
        <v>507</v>
      </c>
      <c r="B418">
        <v>8649</v>
      </c>
      <c r="C418">
        <v>2631</v>
      </c>
      <c r="D418">
        <v>13</v>
      </c>
      <c r="E418" t="s">
        <v>13</v>
      </c>
      <c r="F418" t="s">
        <v>39</v>
      </c>
      <c r="G418" t="s">
        <v>40</v>
      </c>
      <c r="H418" s="1">
        <v>44104</v>
      </c>
      <c r="I418" t="s">
        <v>509</v>
      </c>
      <c r="J418" t="s">
        <v>25</v>
      </c>
      <c r="K418" t="s">
        <v>68</v>
      </c>
      <c r="L418" s="2" t="s">
        <v>389</v>
      </c>
      <c r="M418" t="str">
        <f>TEXT(Table13[[#This Row],[Order Date]],"MMM")</f>
        <v>Sep</v>
      </c>
      <c r="N418">
        <f>YEAR(Table13[[#This Row],[Order Date]])</f>
        <v>2020</v>
      </c>
      <c r="O418" t="str">
        <f>"Q"&amp;ROUNDUP(MONTH(Table13[[#This Row],[Order Date]])/3,0)</f>
        <v>Q3</v>
      </c>
      <c r="P418" s="5">
        <f>Table13[[#This Row],[Profit]]/Table13[[#This Row],[Amount]]</f>
        <v>0.30419701699618451</v>
      </c>
      <c r="Q418" s="6">
        <f>Table13[[#This Row],[Amount]]/Table13[[#This Row],[Quantity]]</f>
        <v>665.30769230769226</v>
      </c>
    </row>
    <row r="419" spans="1:17" x14ac:dyDescent="0.3">
      <c r="A419" t="s">
        <v>510</v>
      </c>
      <c r="B419">
        <v>4099</v>
      </c>
      <c r="C419">
        <v>52</v>
      </c>
      <c r="D419">
        <v>18</v>
      </c>
      <c r="E419" t="s">
        <v>13</v>
      </c>
      <c r="F419" t="s">
        <v>39</v>
      </c>
      <c r="G419" t="s">
        <v>15</v>
      </c>
      <c r="H419" s="1">
        <v>44648</v>
      </c>
      <c r="I419" t="s">
        <v>511</v>
      </c>
      <c r="J419" t="s">
        <v>25</v>
      </c>
      <c r="K419" t="s">
        <v>51</v>
      </c>
      <c r="L419" s="2" t="s">
        <v>134</v>
      </c>
      <c r="M419" t="str">
        <f>TEXT(Table13[[#This Row],[Order Date]],"MMM")</f>
        <v>Mar</v>
      </c>
      <c r="N419">
        <f>YEAR(Table13[[#This Row],[Order Date]])</f>
        <v>2022</v>
      </c>
      <c r="O419" t="str">
        <f>"Q"&amp;ROUNDUP(MONTH(Table13[[#This Row],[Order Date]])/3,0)</f>
        <v>Q1</v>
      </c>
      <c r="P419" s="5">
        <f>Table13[[#This Row],[Profit]]/Table13[[#This Row],[Amount]]</f>
        <v>1.2686020980727006E-2</v>
      </c>
      <c r="Q419" s="6">
        <f>Table13[[#This Row],[Amount]]/Table13[[#This Row],[Quantity]]</f>
        <v>227.72222222222223</v>
      </c>
    </row>
    <row r="420" spans="1:17" x14ac:dyDescent="0.3">
      <c r="A420" t="s">
        <v>512</v>
      </c>
      <c r="B420">
        <v>2539</v>
      </c>
      <c r="C420">
        <v>324</v>
      </c>
      <c r="D420">
        <v>5</v>
      </c>
      <c r="E420" t="s">
        <v>13</v>
      </c>
      <c r="F420" t="s">
        <v>14</v>
      </c>
      <c r="G420" t="s">
        <v>15</v>
      </c>
      <c r="H420" s="1">
        <v>44226</v>
      </c>
      <c r="I420" t="s">
        <v>513</v>
      </c>
      <c r="J420" t="s">
        <v>42</v>
      </c>
      <c r="K420" t="s">
        <v>92</v>
      </c>
      <c r="L420" s="2" t="s">
        <v>276</v>
      </c>
      <c r="M420" t="str">
        <f>TEXT(Table13[[#This Row],[Order Date]],"MMM")</f>
        <v>Jan</v>
      </c>
      <c r="N420">
        <f>YEAR(Table13[[#This Row],[Order Date]])</f>
        <v>2021</v>
      </c>
      <c r="O420" t="str">
        <f>"Q"&amp;ROUNDUP(MONTH(Table13[[#This Row],[Order Date]])/3,0)</f>
        <v>Q1</v>
      </c>
      <c r="P420" s="5">
        <f>Table13[[#This Row],[Profit]]/Table13[[#This Row],[Amount]]</f>
        <v>0.12760929499803073</v>
      </c>
      <c r="Q420" s="6">
        <f>Table13[[#This Row],[Amount]]/Table13[[#This Row],[Quantity]]</f>
        <v>507.8</v>
      </c>
    </row>
    <row r="421" spans="1:17" x14ac:dyDescent="0.3">
      <c r="A421" t="s">
        <v>514</v>
      </c>
      <c r="B421">
        <v>9845</v>
      </c>
      <c r="C421">
        <v>3062</v>
      </c>
      <c r="D421">
        <v>9</v>
      </c>
      <c r="E421" t="s">
        <v>30</v>
      </c>
      <c r="F421" t="s">
        <v>64</v>
      </c>
      <c r="G421" t="s">
        <v>65</v>
      </c>
      <c r="H421" s="1">
        <v>45730</v>
      </c>
      <c r="I421" t="s">
        <v>515</v>
      </c>
      <c r="J421" t="s">
        <v>17</v>
      </c>
      <c r="K421" t="s">
        <v>34</v>
      </c>
      <c r="L421" s="2" t="s">
        <v>157</v>
      </c>
      <c r="M421" t="str">
        <f>TEXT(Table13[[#This Row],[Order Date]],"MMM")</f>
        <v>Mar</v>
      </c>
      <c r="N421">
        <f>YEAR(Table13[[#This Row],[Order Date]])</f>
        <v>2025</v>
      </c>
      <c r="O421" t="str">
        <f>"Q"&amp;ROUNDUP(MONTH(Table13[[#This Row],[Order Date]])/3,0)</f>
        <v>Q1</v>
      </c>
      <c r="P421" s="5">
        <f>Table13[[#This Row],[Profit]]/Table13[[#This Row],[Amount]]</f>
        <v>0.31102082275266635</v>
      </c>
      <c r="Q421" s="6">
        <f>Table13[[#This Row],[Amount]]/Table13[[#This Row],[Quantity]]</f>
        <v>1093.8888888888889</v>
      </c>
    </row>
    <row r="422" spans="1:17" x14ac:dyDescent="0.3">
      <c r="A422" t="s">
        <v>516</v>
      </c>
      <c r="B422">
        <v>2901</v>
      </c>
      <c r="C422">
        <v>1411</v>
      </c>
      <c r="D422">
        <v>2</v>
      </c>
      <c r="E422" t="s">
        <v>30</v>
      </c>
      <c r="F422" t="s">
        <v>64</v>
      </c>
      <c r="G422" t="s">
        <v>32</v>
      </c>
      <c r="H422" s="1">
        <v>44495</v>
      </c>
      <c r="I422" t="s">
        <v>517</v>
      </c>
      <c r="J422" t="s">
        <v>71</v>
      </c>
      <c r="K422" t="s">
        <v>86</v>
      </c>
      <c r="L422" s="2" t="s">
        <v>37</v>
      </c>
      <c r="M422" t="str">
        <f>TEXT(Table13[[#This Row],[Order Date]],"MMM")</f>
        <v>Oct</v>
      </c>
      <c r="N422">
        <f>YEAR(Table13[[#This Row],[Order Date]])</f>
        <v>2021</v>
      </c>
      <c r="O422" t="str">
        <f>"Q"&amp;ROUNDUP(MONTH(Table13[[#This Row],[Order Date]])/3,0)</f>
        <v>Q4</v>
      </c>
      <c r="P422" s="5">
        <f>Table13[[#This Row],[Profit]]/Table13[[#This Row],[Amount]]</f>
        <v>0.48638400551533956</v>
      </c>
      <c r="Q422" s="6">
        <f>Table13[[#This Row],[Amount]]/Table13[[#This Row],[Quantity]]</f>
        <v>1450.5</v>
      </c>
    </row>
    <row r="423" spans="1:17" x14ac:dyDescent="0.3">
      <c r="A423" t="s">
        <v>516</v>
      </c>
      <c r="B423">
        <v>2901</v>
      </c>
      <c r="C423">
        <v>1411</v>
      </c>
      <c r="D423">
        <v>2</v>
      </c>
      <c r="E423" t="s">
        <v>30</v>
      </c>
      <c r="F423" t="s">
        <v>64</v>
      </c>
      <c r="G423" t="s">
        <v>32</v>
      </c>
      <c r="H423" s="1">
        <v>44937</v>
      </c>
      <c r="I423" t="s">
        <v>518</v>
      </c>
      <c r="J423" t="s">
        <v>42</v>
      </c>
      <c r="K423" t="s">
        <v>43</v>
      </c>
      <c r="L423" s="2" t="s">
        <v>333</v>
      </c>
      <c r="M423" t="str">
        <f>TEXT(Table13[[#This Row],[Order Date]],"MMM")</f>
        <v>Jan</v>
      </c>
      <c r="N423">
        <f>YEAR(Table13[[#This Row],[Order Date]])</f>
        <v>2023</v>
      </c>
      <c r="O423" t="str">
        <f>"Q"&amp;ROUNDUP(MONTH(Table13[[#This Row],[Order Date]])/3,0)</f>
        <v>Q1</v>
      </c>
      <c r="P423" s="5">
        <f>Table13[[#This Row],[Profit]]/Table13[[#This Row],[Amount]]</f>
        <v>0.48638400551533956</v>
      </c>
      <c r="Q423" s="6">
        <f>Table13[[#This Row],[Amount]]/Table13[[#This Row],[Quantity]]</f>
        <v>1450.5</v>
      </c>
    </row>
    <row r="424" spans="1:17" x14ac:dyDescent="0.3">
      <c r="A424" t="s">
        <v>516</v>
      </c>
      <c r="B424">
        <v>6934</v>
      </c>
      <c r="C424">
        <v>1152</v>
      </c>
      <c r="D424">
        <v>6</v>
      </c>
      <c r="E424" t="s">
        <v>30</v>
      </c>
      <c r="F424" t="s">
        <v>31</v>
      </c>
      <c r="G424" t="s">
        <v>47</v>
      </c>
      <c r="H424" s="1">
        <v>44495</v>
      </c>
      <c r="I424" t="s">
        <v>517</v>
      </c>
      <c r="J424" t="s">
        <v>71</v>
      </c>
      <c r="K424" t="s">
        <v>86</v>
      </c>
      <c r="L424" s="2" t="s">
        <v>37</v>
      </c>
      <c r="M424" t="str">
        <f>TEXT(Table13[[#This Row],[Order Date]],"MMM")</f>
        <v>Oct</v>
      </c>
      <c r="N424">
        <f>YEAR(Table13[[#This Row],[Order Date]])</f>
        <v>2021</v>
      </c>
      <c r="O424" t="str">
        <f>"Q"&amp;ROUNDUP(MONTH(Table13[[#This Row],[Order Date]])/3,0)</f>
        <v>Q4</v>
      </c>
      <c r="P424" s="5">
        <f>Table13[[#This Row],[Profit]]/Table13[[#This Row],[Amount]]</f>
        <v>0.16613787135852323</v>
      </c>
      <c r="Q424" s="6">
        <f>Table13[[#This Row],[Amount]]/Table13[[#This Row],[Quantity]]</f>
        <v>1155.6666666666667</v>
      </c>
    </row>
    <row r="425" spans="1:17" x14ac:dyDescent="0.3">
      <c r="A425" t="s">
        <v>516</v>
      </c>
      <c r="B425">
        <v>6934</v>
      </c>
      <c r="C425">
        <v>1152</v>
      </c>
      <c r="D425">
        <v>6</v>
      </c>
      <c r="E425" t="s">
        <v>30</v>
      </c>
      <c r="F425" t="s">
        <v>31</v>
      </c>
      <c r="G425" t="s">
        <v>47</v>
      </c>
      <c r="H425" s="1">
        <v>44937</v>
      </c>
      <c r="I425" t="s">
        <v>518</v>
      </c>
      <c r="J425" t="s">
        <v>42</v>
      </c>
      <c r="K425" t="s">
        <v>43</v>
      </c>
      <c r="L425" s="2" t="s">
        <v>333</v>
      </c>
      <c r="M425" t="str">
        <f>TEXT(Table13[[#This Row],[Order Date]],"MMM")</f>
        <v>Jan</v>
      </c>
      <c r="N425">
        <f>YEAR(Table13[[#This Row],[Order Date]])</f>
        <v>2023</v>
      </c>
      <c r="O425" t="str">
        <f>"Q"&amp;ROUNDUP(MONTH(Table13[[#This Row],[Order Date]])/3,0)</f>
        <v>Q1</v>
      </c>
      <c r="P425" s="5">
        <f>Table13[[#This Row],[Profit]]/Table13[[#This Row],[Amount]]</f>
        <v>0.16613787135852323</v>
      </c>
      <c r="Q425" s="6">
        <f>Table13[[#This Row],[Amount]]/Table13[[#This Row],[Quantity]]</f>
        <v>1155.6666666666667</v>
      </c>
    </row>
    <row r="426" spans="1:17" x14ac:dyDescent="0.3">
      <c r="A426" t="s">
        <v>519</v>
      </c>
      <c r="B426">
        <v>9640</v>
      </c>
      <c r="C426">
        <v>2606</v>
      </c>
      <c r="D426">
        <v>2</v>
      </c>
      <c r="E426" t="s">
        <v>45</v>
      </c>
      <c r="F426" t="s">
        <v>109</v>
      </c>
      <c r="G426" t="s">
        <v>47</v>
      </c>
      <c r="H426" s="1">
        <v>44500</v>
      </c>
      <c r="I426" t="s">
        <v>520</v>
      </c>
      <c r="J426" t="s">
        <v>21</v>
      </c>
      <c r="K426" t="s">
        <v>172</v>
      </c>
      <c r="L426" s="2" t="s">
        <v>37</v>
      </c>
      <c r="M426" t="str">
        <f>TEXT(Table13[[#This Row],[Order Date]],"MMM")</f>
        <v>Oct</v>
      </c>
      <c r="N426">
        <f>YEAR(Table13[[#This Row],[Order Date]])</f>
        <v>2021</v>
      </c>
      <c r="O426" t="str">
        <f>"Q"&amp;ROUNDUP(MONTH(Table13[[#This Row],[Order Date]])/3,0)</f>
        <v>Q4</v>
      </c>
      <c r="P426" s="5">
        <f>Table13[[#This Row],[Profit]]/Table13[[#This Row],[Amount]]</f>
        <v>0.27033195020746886</v>
      </c>
      <c r="Q426" s="6">
        <f>Table13[[#This Row],[Amount]]/Table13[[#This Row],[Quantity]]</f>
        <v>4820</v>
      </c>
    </row>
    <row r="427" spans="1:17" x14ac:dyDescent="0.3">
      <c r="A427" t="s">
        <v>521</v>
      </c>
      <c r="B427">
        <v>7930</v>
      </c>
      <c r="C427">
        <v>1981</v>
      </c>
      <c r="D427">
        <v>13</v>
      </c>
      <c r="E427" t="s">
        <v>45</v>
      </c>
      <c r="F427" t="s">
        <v>49</v>
      </c>
      <c r="G427" t="s">
        <v>47</v>
      </c>
      <c r="H427" s="1">
        <v>45050</v>
      </c>
      <c r="I427" t="s">
        <v>522</v>
      </c>
      <c r="J427" t="s">
        <v>98</v>
      </c>
      <c r="K427" t="s">
        <v>117</v>
      </c>
      <c r="L427" s="2" t="s">
        <v>127</v>
      </c>
      <c r="M427" t="str">
        <f>TEXT(Table13[[#This Row],[Order Date]],"MMM")</f>
        <v>May</v>
      </c>
      <c r="N427">
        <f>YEAR(Table13[[#This Row],[Order Date]])</f>
        <v>2023</v>
      </c>
      <c r="O427" t="str">
        <f>"Q"&amp;ROUNDUP(MONTH(Table13[[#This Row],[Order Date]])/3,0)</f>
        <v>Q2</v>
      </c>
      <c r="P427" s="5">
        <f>Table13[[#This Row],[Profit]]/Table13[[#This Row],[Amount]]</f>
        <v>0.24981084489281211</v>
      </c>
      <c r="Q427" s="6">
        <f>Table13[[#This Row],[Amount]]/Table13[[#This Row],[Quantity]]</f>
        <v>610</v>
      </c>
    </row>
    <row r="428" spans="1:17" x14ac:dyDescent="0.3">
      <c r="A428" t="s">
        <v>521</v>
      </c>
      <c r="B428">
        <v>7930</v>
      </c>
      <c r="C428">
        <v>1981</v>
      </c>
      <c r="D428">
        <v>13</v>
      </c>
      <c r="E428" t="s">
        <v>45</v>
      </c>
      <c r="F428" t="s">
        <v>49</v>
      </c>
      <c r="G428" t="s">
        <v>47</v>
      </c>
      <c r="H428" s="1">
        <v>45513</v>
      </c>
      <c r="I428" t="s">
        <v>523</v>
      </c>
      <c r="J428" t="s">
        <v>21</v>
      </c>
      <c r="K428" t="s">
        <v>63</v>
      </c>
      <c r="L428" s="2" t="s">
        <v>114</v>
      </c>
      <c r="M428" t="str">
        <f>TEXT(Table13[[#This Row],[Order Date]],"MMM")</f>
        <v>Aug</v>
      </c>
      <c r="N428">
        <f>YEAR(Table13[[#This Row],[Order Date]])</f>
        <v>2024</v>
      </c>
      <c r="O428" t="str">
        <f>"Q"&amp;ROUNDUP(MONTH(Table13[[#This Row],[Order Date]])/3,0)</f>
        <v>Q3</v>
      </c>
      <c r="P428" s="5">
        <f>Table13[[#This Row],[Profit]]/Table13[[#This Row],[Amount]]</f>
        <v>0.24981084489281211</v>
      </c>
      <c r="Q428" s="6">
        <f>Table13[[#This Row],[Amount]]/Table13[[#This Row],[Quantity]]</f>
        <v>610</v>
      </c>
    </row>
    <row r="429" spans="1:17" x14ac:dyDescent="0.3">
      <c r="A429" t="s">
        <v>524</v>
      </c>
      <c r="B429">
        <v>9894</v>
      </c>
      <c r="C429">
        <v>829</v>
      </c>
      <c r="D429">
        <v>1</v>
      </c>
      <c r="E429" t="s">
        <v>30</v>
      </c>
      <c r="F429" t="s">
        <v>78</v>
      </c>
      <c r="G429" t="s">
        <v>65</v>
      </c>
      <c r="H429" s="1">
        <v>44794</v>
      </c>
      <c r="I429" t="s">
        <v>525</v>
      </c>
      <c r="J429" t="s">
        <v>42</v>
      </c>
      <c r="K429" t="s">
        <v>75</v>
      </c>
      <c r="L429" s="2" t="s">
        <v>209</v>
      </c>
      <c r="M429" t="str">
        <f>TEXT(Table13[[#This Row],[Order Date]],"MMM")</f>
        <v>Aug</v>
      </c>
      <c r="N429">
        <f>YEAR(Table13[[#This Row],[Order Date]])</f>
        <v>2022</v>
      </c>
      <c r="O429" t="str">
        <f>"Q"&amp;ROUNDUP(MONTH(Table13[[#This Row],[Order Date]])/3,0)</f>
        <v>Q3</v>
      </c>
      <c r="P429" s="5">
        <f>Table13[[#This Row],[Profit]]/Table13[[#This Row],[Amount]]</f>
        <v>8.3788154437032539E-2</v>
      </c>
      <c r="Q429" s="6">
        <f>Table13[[#This Row],[Amount]]/Table13[[#This Row],[Quantity]]</f>
        <v>9894</v>
      </c>
    </row>
    <row r="430" spans="1:17" x14ac:dyDescent="0.3">
      <c r="A430" t="s">
        <v>524</v>
      </c>
      <c r="B430">
        <v>4534</v>
      </c>
      <c r="C430">
        <v>2235</v>
      </c>
      <c r="D430">
        <v>4</v>
      </c>
      <c r="E430" t="s">
        <v>45</v>
      </c>
      <c r="F430" t="s">
        <v>46</v>
      </c>
      <c r="G430" t="s">
        <v>65</v>
      </c>
      <c r="H430" s="1">
        <v>44794</v>
      </c>
      <c r="I430" t="s">
        <v>525</v>
      </c>
      <c r="J430" t="s">
        <v>42</v>
      </c>
      <c r="K430" t="s">
        <v>75</v>
      </c>
      <c r="L430" s="2" t="s">
        <v>209</v>
      </c>
      <c r="M430" t="str">
        <f>TEXT(Table13[[#This Row],[Order Date]],"MMM")</f>
        <v>Aug</v>
      </c>
      <c r="N430">
        <f>YEAR(Table13[[#This Row],[Order Date]])</f>
        <v>2022</v>
      </c>
      <c r="O430" t="str">
        <f>"Q"&amp;ROUNDUP(MONTH(Table13[[#This Row],[Order Date]])/3,0)</f>
        <v>Q3</v>
      </c>
      <c r="P430" s="5">
        <f>Table13[[#This Row],[Profit]]/Table13[[#This Row],[Amount]]</f>
        <v>0.49294221438023822</v>
      </c>
      <c r="Q430" s="6">
        <f>Table13[[#This Row],[Amount]]/Table13[[#This Row],[Quantity]]</f>
        <v>1133.5</v>
      </c>
    </row>
    <row r="431" spans="1:17" x14ac:dyDescent="0.3">
      <c r="A431" t="s">
        <v>526</v>
      </c>
      <c r="B431">
        <v>4911</v>
      </c>
      <c r="C431">
        <v>186</v>
      </c>
      <c r="D431">
        <v>20</v>
      </c>
      <c r="E431" t="s">
        <v>13</v>
      </c>
      <c r="F431" t="s">
        <v>82</v>
      </c>
      <c r="G431" t="s">
        <v>32</v>
      </c>
      <c r="H431" s="1">
        <v>44731</v>
      </c>
      <c r="I431" t="s">
        <v>527</v>
      </c>
      <c r="J431" t="s">
        <v>25</v>
      </c>
      <c r="K431" t="s">
        <v>26</v>
      </c>
      <c r="L431" s="2" t="s">
        <v>165</v>
      </c>
      <c r="M431" t="str">
        <f>TEXT(Table13[[#This Row],[Order Date]],"MMM")</f>
        <v>Jun</v>
      </c>
      <c r="N431">
        <f>YEAR(Table13[[#This Row],[Order Date]])</f>
        <v>2022</v>
      </c>
      <c r="O431" t="str">
        <f>"Q"&amp;ROUNDUP(MONTH(Table13[[#This Row],[Order Date]])/3,0)</f>
        <v>Q2</v>
      </c>
      <c r="P431" s="5">
        <f>Table13[[#This Row],[Profit]]/Table13[[#This Row],[Amount]]</f>
        <v>3.7874160048869884E-2</v>
      </c>
      <c r="Q431" s="6">
        <f>Table13[[#This Row],[Amount]]/Table13[[#This Row],[Quantity]]</f>
        <v>245.55</v>
      </c>
    </row>
    <row r="432" spans="1:17" x14ac:dyDescent="0.3">
      <c r="A432" t="s">
        <v>526</v>
      </c>
      <c r="B432">
        <v>531</v>
      </c>
      <c r="C432">
        <v>189</v>
      </c>
      <c r="D432">
        <v>20</v>
      </c>
      <c r="E432" t="s">
        <v>45</v>
      </c>
      <c r="F432" t="s">
        <v>109</v>
      </c>
      <c r="G432" t="s">
        <v>32</v>
      </c>
      <c r="H432" s="1">
        <v>44731</v>
      </c>
      <c r="I432" t="s">
        <v>527</v>
      </c>
      <c r="J432" t="s">
        <v>25</v>
      </c>
      <c r="K432" t="s">
        <v>26</v>
      </c>
      <c r="L432" s="2" t="s">
        <v>165</v>
      </c>
      <c r="M432" t="str">
        <f>TEXT(Table13[[#This Row],[Order Date]],"MMM")</f>
        <v>Jun</v>
      </c>
      <c r="N432">
        <f>YEAR(Table13[[#This Row],[Order Date]])</f>
        <v>2022</v>
      </c>
      <c r="O432" t="str">
        <f>"Q"&amp;ROUNDUP(MONTH(Table13[[#This Row],[Order Date]])/3,0)</f>
        <v>Q2</v>
      </c>
      <c r="P432" s="5">
        <f>Table13[[#This Row],[Profit]]/Table13[[#This Row],[Amount]]</f>
        <v>0.3559322033898305</v>
      </c>
      <c r="Q432" s="6">
        <f>Table13[[#This Row],[Amount]]/Table13[[#This Row],[Quantity]]</f>
        <v>26.55</v>
      </c>
    </row>
    <row r="433" spans="1:17" x14ac:dyDescent="0.3">
      <c r="A433" t="s">
        <v>528</v>
      </c>
      <c r="B433">
        <v>9707</v>
      </c>
      <c r="C433">
        <v>3483</v>
      </c>
      <c r="D433">
        <v>10</v>
      </c>
      <c r="E433" t="s">
        <v>13</v>
      </c>
      <c r="F433" t="s">
        <v>14</v>
      </c>
      <c r="G433" t="s">
        <v>40</v>
      </c>
      <c r="H433" s="1">
        <v>45686</v>
      </c>
      <c r="I433" t="s">
        <v>529</v>
      </c>
      <c r="J433" t="s">
        <v>21</v>
      </c>
      <c r="K433" t="s">
        <v>172</v>
      </c>
      <c r="L433" s="2" t="s">
        <v>308</v>
      </c>
      <c r="M433" t="str">
        <f>TEXT(Table13[[#This Row],[Order Date]],"MMM")</f>
        <v>Jan</v>
      </c>
      <c r="N433">
        <f>YEAR(Table13[[#This Row],[Order Date]])</f>
        <v>2025</v>
      </c>
      <c r="O433" t="str">
        <f>"Q"&amp;ROUNDUP(MONTH(Table13[[#This Row],[Order Date]])/3,0)</f>
        <v>Q1</v>
      </c>
      <c r="P433" s="5">
        <f>Table13[[#This Row],[Profit]]/Table13[[#This Row],[Amount]]</f>
        <v>0.35881322756773465</v>
      </c>
      <c r="Q433" s="6">
        <f>Table13[[#This Row],[Amount]]/Table13[[#This Row],[Quantity]]</f>
        <v>970.7</v>
      </c>
    </row>
    <row r="434" spans="1:17" x14ac:dyDescent="0.3">
      <c r="A434" t="s">
        <v>528</v>
      </c>
      <c r="B434">
        <v>8521</v>
      </c>
      <c r="C434">
        <v>2584</v>
      </c>
      <c r="D434">
        <v>7</v>
      </c>
      <c r="E434" t="s">
        <v>30</v>
      </c>
      <c r="F434" t="s">
        <v>64</v>
      </c>
      <c r="G434" t="s">
        <v>65</v>
      </c>
      <c r="H434" s="1">
        <v>45686</v>
      </c>
      <c r="I434" t="s">
        <v>529</v>
      </c>
      <c r="J434" t="s">
        <v>21</v>
      </c>
      <c r="K434" t="s">
        <v>172</v>
      </c>
      <c r="L434" s="2" t="s">
        <v>308</v>
      </c>
      <c r="M434" t="str">
        <f>TEXT(Table13[[#This Row],[Order Date]],"MMM")</f>
        <v>Jan</v>
      </c>
      <c r="N434">
        <f>YEAR(Table13[[#This Row],[Order Date]])</f>
        <v>2025</v>
      </c>
      <c r="O434" t="str">
        <f>"Q"&amp;ROUNDUP(MONTH(Table13[[#This Row],[Order Date]])/3,0)</f>
        <v>Q1</v>
      </c>
      <c r="P434" s="5">
        <f>Table13[[#This Row],[Profit]]/Table13[[#This Row],[Amount]]</f>
        <v>0.30325079216054451</v>
      </c>
      <c r="Q434" s="6">
        <f>Table13[[#This Row],[Amount]]/Table13[[#This Row],[Quantity]]</f>
        <v>1217.2857142857142</v>
      </c>
    </row>
    <row r="435" spans="1:17" x14ac:dyDescent="0.3">
      <c r="A435" t="s">
        <v>530</v>
      </c>
      <c r="B435">
        <v>8438</v>
      </c>
      <c r="C435">
        <v>3427</v>
      </c>
      <c r="D435">
        <v>12</v>
      </c>
      <c r="E435" t="s">
        <v>30</v>
      </c>
      <c r="F435" t="s">
        <v>78</v>
      </c>
      <c r="G435" t="s">
        <v>47</v>
      </c>
      <c r="H435" s="1">
        <v>44575</v>
      </c>
      <c r="I435" t="s">
        <v>531</v>
      </c>
      <c r="J435" t="s">
        <v>25</v>
      </c>
      <c r="K435" t="s">
        <v>26</v>
      </c>
      <c r="L435" s="2" t="s">
        <v>87</v>
      </c>
      <c r="M435" t="str">
        <f>TEXT(Table13[[#This Row],[Order Date]],"MMM")</f>
        <v>Jan</v>
      </c>
      <c r="N435">
        <f>YEAR(Table13[[#This Row],[Order Date]])</f>
        <v>2022</v>
      </c>
      <c r="O435" t="str">
        <f>"Q"&amp;ROUNDUP(MONTH(Table13[[#This Row],[Order Date]])/3,0)</f>
        <v>Q1</v>
      </c>
      <c r="P435" s="5">
        <f>Table13[[#This Row],[Profit]]/Table13[[#This Row],[Amount]]</f>
        <v>0.40613889547286086</v>
      </c>
      <c r="Q435" s="6">
        <f>Table13[[#This Row],[Amount]]/Table13[[#This Row],[Quantity]]</f>
        <v>703.16666666666663</v>
      </c>
    </row>
    <row r="436" spans="1:17" x14ac:dyDescent="0.3">
      <c r="A436" t="s">
        <v>530</v>
      </c>
      <c r="B436">
        <v>1689</v>
      </c>
      <c r="C436">
        <v>109</v>
      </c>
      <c r="D436">
        <v>9</v>
      </c>
      <c r="E436" t="s">
        <v>13</v>
      </c>
      <c r="F436" t="s">
        <v>14</v>
      </c>
      <c r="G436" t="s">
        <v>15</v>
      </c>
      <c r="H436" s="1">
        <v>44575</v>
      </c>
      <c r="I436" t="s">
        <v>531</v>
      </c>
      <c r="J436" t="s">
        <v>25</v>
      </c>
      <c r="K436" t="s">
        <v>26</v>
      </c>
      <c r="L436" s="2" t="s">
        <v>87</v>
      </c>
      <c r="M436" t="str">
        <f>TEXT(Table13[[#This Row],[Order Date]],"MMM")</f>
        <v>Jan</v>
      </c>
      <c r="N436">
        <f>YEAR(Table13[[#This Row],[Order Date]])</f>
        <v>2022</v>
      </c>
      <c r="O436" t="str">
        <f>"Q"&amp;ROUNDUP(MONTH(Table13[[#This Row],[Order Date]])/3,0)</f>
        <v>Q1</v>
      </c>
      <c r="P436" s="5">
        <f>Table13[[#This Row],[Profit]]/Table13[[#This Row],[Amount]]</f>
        <v>6.4535227945529905E-2</v>
      </c>
      <c r="Q436" s="6">
        <f>Table13[[#This Row],[Amount]]/Table13[[#This Row],[Quantity]]</f>
        <v>187.66666666666666</v>
      </c>
    </row>
    <row r="437" spans="1:17" x14ac:dyDescent="0.3">
      <c r="A437" t="s">
        <v>530</v>
      </c>
      <c r="B437">
        <v>3936</v>
      </c>
      <c r="C437">
        <v>1626</v>
      </c>
      <c r="D437">
        <v>14</v>
      </c>
      <c r="E437" t="s">
        <v>30</v>
      </c>
      <c r="F437" t="s">
        <v>64</v>
      </c>
      <c r="G437" t="s">
        <v>65</v>
      </c>
      <c r="H437" s="1">
        <v>44575</v>
      </c>
      <c r="I437" t="s">
        <v>531</v>
      </c>
      <c r="J437" t="s">
        <v>25</v>
      </c>
      <c r="K437" t="s">
        <v>26</v>
      </c>
      <c r="L437" s="2" t="s">
        <v>87</v>
      </c>
      <c r="M437" t="str">
        <f>TEXT(Table13[[#This Row],[Order Date]],"MMM")</f>
        <v>Jan</v>
      </c>
      <c r="N437">
        <f>YEAR(Table13[[#This Row],[Order Date]])</f>
        <v>2022</v>
      </c>
      <c r="O437" t="str">
        <f>"Q"&amp;ROUNDUP(MONTH(Table13[[#This Row],[Order Date]])/3,0)</f>
        <v>Q1</v>
      </c>
      <c r="P437" s="5">
        <f>Table13[[#This Row],[Profit]]/Table13[[#This Row],[Amount]]</f>
        <v>0.41310975609756095</v>
      </c>
      <c r="Q437" s="6">
        <f>Table13[[#This Row],[Amount]]/Table13[[#This Row],[Quantity]]</f>
        <v>281.14285714285717</v>
      </c>
    </row>
    <row r="438" spans="1:17" x14ac:dyDescent="0.3">
      <c r="A438" t="s">
        <v>532</v>
      </c>
      <c r="B438">
        <v>7664</v>
      </c>
      <c r="C438">
        <v>1753</v>
      </c>
      <c r="D438">
        <v>19</v>
      </c>
      <c r="E438" t="s">
        <v>13</v>
      </c>
      <c r="F438" t="s">
        <v>82</v>
      </c>
      <c r="G438" t="s">
        <v>32</v>
      </c>
      <c r="H438" s="1">
        <v>45092</v>
      </c>
      <c r="I438" t="s">
        <v>533</v>
      </c>
      <c r="J438" t="s">
        <v>98</v>
      </c>
      <c r="K438" t="s">
        <v>107</v>
      </c>
      <c r="L438" s="2" t="s">
        <v>19</v>
      </c>
      <c r="M438" t="str">
        <f>TEXT(Table13[[#This Row],[Order Date]],"MMM")</f>
        <v>Jun</v>
      </c>
      <c r="N438">
        <f>YEAR(Table13[[#This Row],[Order Date]])</f>
        <v>2023</v>
      </c>
      <c r="O438" t="str">
        <f>"Q"&amp;ROUNDUP(MONTH(Table13[[#This Row],[Order Date]])/3,0)</f>
        <v>Q2</v>
      </c>
      <c r="P438" s="5">
        <f>Table13[[#This Row],[Profit]]/Table13[[#This Row],[Amount]]</f>
        <v>0.22873173277661796</v>
      </c>
      <c r="Q438" s="6">
        <f>Table13[[#This Row],[Amount]]/Table13[[#This Row],[Quantity]]</f>
        <v>403.36842105263156</v>
      </c>
    </row>
    <row r="439" spans="1:17" x14ac:dyDescent="0.3">
      <c r="A439" t="s">
        <v>534</v>
      </c>
      <c r="B439">
        <v>721</v>
      </c>
      <c r="C439">
        <v>258</v>
      </c>
      <c r="D439">
        <v>13</v>
      </c>
      <c r="E439" t="s">
        <v>13</v>
      </c>
      <c r="F439" t="s">
        <v>39</v>
      </c>
      <c r="G439" t="s">
        <v>32</v>
      </c>
      <c r="H439" s="1">
        <v>45217</v>
      </c>
      <c r="I439" t="s">
        <v>535</v>
      </c>
      <c r="J439" t="s">
        <v>21</v>
      </c>
      <c r="K439" t="s">
        <v>172</v>
      </c>
      <c r="L439" s="2" t="s">
        <v>442</v>
      </c>
      <c r="M439" t="str">
        <f>TEXT(Table13[[#This Row],[Order Date]],"MMM")</f>
        <v>Oct</v>
      </c>
      <c r="N439">
        <f>YEAR(Table13[[#This Row],[Order Date]])</f>
        <v>2023</v>
      </c>
      <c r="O439" t="str">
        <f>"Q"&amp;ROUNDUP(MONTH(Table13[[#This Row],[Order Date]])/3,0)</f>
        <v>Q4</v>
      </c>
      <c r="P439" s="5">
        <f>Table13[[#This Row],[Profit]]/Table13[[#This Row],[Amount]]</f>
        <v>0.3578363384188627</v>
      </c>
      <c r="Q439" s="6">
        <f>Table13[[#This Row],[Amount]]/Table13[[#This Row],[Quantity]]</f>
        <v>55.46153846153846</v>
      </c>
    </row>
    <row r="440" spans="1:17" x14ac:dyDescent="0.3">
      <c r="A440" t="s">
        <v>534</v>
      </c>
      <c r="B440">
        <v>721</v>
      </c>
      <c r="C440">
        <v>258</v>
      </c>
      <c r="D440">
        <v>13</v>
      </c>
      <c r="E440" t="s">
        <v>13</v>
      </c>
      <c r="F440" t="s">
        <v>39</v>
      </c>
      <c r="G440" t="s">
        <v>32</v>
      </c>
      <c r="H440" s="1">
        <v>44725</v>
      </c>
      <c r="I440" t="s">
        <v>536</v>
      </c>
      <c r="J440" t="s">
        <v>25</v>
      </c>
      <c r="K440" t="s">
        <v>26</v>
      </c>
      <c r="L440" s="2" t="s">
        <v>165</v>
      </c>
      <c r="M440" t="str">
        <f>TEXT(Table13[[#This Row],[Order Date]],"MMM")</f>
        <v>Jun</v>
      </c>
      <c r="N440">
        <f>YEAR(Table13[[#This Row],[Order Date]])</f>
        <v>2022</v>
      </c>
      <c r="O440" t="str">
        <f>"Q"&amp;ROUNDUP(MONTH(Table13[[#This Row],[Order Date]])/3,0)</f>
        <v>Q2</v>
      </c>
      <c r="P440" s="5">
        <f>Table13[[#This Row],[Profit]]/Table13[[#This Row],[Amount]]</f>
        <v>0.3578363384188627</v>
      </c>
      <c r="Q440" s="6">
        <f>Table13[[#This Row],[Amount]]/Table13[[#This Row],[Quantity]]</f>
        <v>55.46153846153846</v>
      </c>
    </row>
    <row r="441" spans="1:17" x14ac:dyDescent="0.3">
      <c r="A441" t="s">
        <v>534</v>
      </c>
      <c r="B441">
        <v>8364</v>
      </c>
      <c r="C441">
        <v>3055</v>
      </c>
      <c r="D441">
        <v>17</v>
      </c>
      <c r="E441" t="s">
        <v>13</v>
      </c>
      <c r="F441" t="s">
        <v>39</v>
      </c>
      <c r="G441" t="s">
        <v>47</v>
      </c>
      <c r="H441" s="1">
        <v>45217</v>
      </c>
      <c r="I441" t="s">
        <v>535</v>
      </c>
      <c r="J441" t="s">
        <v>21</v>
      </c>
      <c r="K441" t="s">
        <v>172</v>
      </c>
      <c r="L441" s="2" t="s">
        <v>442</v>
      </c>
      <c r="M441" t="str">
        <f>TEXT(Table13[[#This Row],[Order Date]],"MMM")</f>
        <v>Oct</v>
      </c>
      <c r="N441">
        <f>YEAR(Table13[[#This Row],[Order Date]])</f>
        <v>2023</v>
      </c>
      <c r="O441" t="str">
        <f>"Q"&amp;ROUNDUP(MONTH(Table13[[#This Row],[Order Date]])/3,0)</f>
        <v>Q4</v>
      </c>
      <c r="P441" s="5">
        <f>Table13[[#This Row],[Profit]]/Table13[[#This Row],[Amount]]</f>
        <v>0.36525585844093733</v>
      </c>
      <c r="Q441" s="6">
        <f>Table13[[#This Row],[Amount]]/Table13[[#This Row],[Quantity]]</f>
        <v>492</v>
      </c>
    </row>
    <row r="442" spans="1:17" x14ac:dyDescent="0.3">
      <c r="A442" t="s">
        <v>534</v>
      </c>
      <c r="B442">
        <v>8364</v>
      </c>
      <c r="C442">
        <v>3055</v>
      </c>
      <c r="D442">
        <v>17</v>
      </c>
      <c r="E442" t="s">
        <v>13</v>
      </c>
      <c r="F442" t="s">
        <v>39</v>
      </c>
      <c r="G442" t="s">
        <v>47</v>
      </c>
      <c r="H442" s="1">
        <v>44725</v>
      </c>
      <c r="I442" t="s">
        <v>536</v>
      </c>
      <c r="J442" t="s">
        <v>25</v>
      </c>
      <c r="K442" t="s">
        <v>26</v>
      </c>
      <c r="L442" s="2" t="s">
        <v>165</v>
      </c>
      <c r="M442" t="str">
        <f>TEXT(Table13[[#This Row],[Order Date]],"MMM")</f>
        <v>Jun</v>
      </c>
      <c r="N442">
        <f>YEAR(Table13[[#This Row],[Order Date]])</f>
        <v>2022</v>
      </c>
      <c r="O442" t="str">
        <f>"Q"&amp;ROUNDUP(MONTH(Table13[[#This Row],[Order Date]])/3,0)</f>
        <v>Q2</v>
      </c>
      <c r="P442" s="5">
        <f>Table13[[#This Row],[Profit]]/Table13[[#This Row],[Amount]]</f>
        <v>0.36525585844093733</v>
      </c>
      <c r="Q442" s="6">
        <f>Table13[[#This Row],[Amount]]/Table13[[#This Row],[Quantity]]</f>
        <v>492</v>
      </c>
    </row>
    <row r="443" spans="1:17" x14ac:dyDescent="0.3">
      <c r="A443" t="s">
        <v>534</v>
      </c>
      <c r="B443">
        <v>5234</v>
      </c>
      <c r="C443">
        <v>2021</v>
      </c>
      <c r="D443">
        <v>15</v>
      </c>
      <c r="E443" t="s">
        <v>45</v>
      </c>
      <c r="F443" t="s">
        <v>109</v>
      </c>
      <c r="G443" t="s">
        <v>40</v>
      </c>
      <c r="H443" s="1">
        <v>45217</v>
      </c>
      <c r="I443" t="s">
        <v>535</v>
      </c>
      <c r="J443" t="s">
        <v>21</v>
      </c>
      <c r="K443" t="s">
        <v>172</v>
      </c>
      <c r="L443" s="2" t="s">
        <v>442</v>
      </c>
      <c r="M443" t="str">
        <f>TEXT(Table13[[#This Row],[Order Date]],"MMM")</f>
        <v>Oct</v>
      </c>
      <c r="N443">
        <f>YEAR(Table13[[#This Row],[Order Date]])</f>
        <v>2023</v>
      </c>
      <c r="O443" t="str">
        <f>"Q"&amp;ROUNDUP(MONTH(Table13[[#This Row],[Order Date]])/3,0)</f>
        <v>Q4</v>
      </c>
      <c r="P443" s="5">
        <f>Table13[[#This Row],[Profit]]/Table13[[#This Row],[Amount]]</f>
        <v>0.38612915552158961</v>
      </c>
      <c r="Q443" s="6">
        <f>Table13[[#This Row],[Amount]]/Table13[[#This Row],[Quantity]]</f>
        <v>348.93333333333334</v>
      </c>
    </row>
    <row r="444" spans="1:17" x14ac:dyDescent="0.3">
      <c r="A444" t="s">
        <v>534</v>
      </c>
      <c r="B444">
        <v>5234</v>
      </c>
      <c r="C444">
        <v>2021</v>
      </c>
      <c r="D444">
        <v>15</v>
      </c>
      <c r="E444" t="s">
        <v>45</v>
      </c>
      <c r="F444" t="s">
        <v>109</v>
      </c>
      <c r="G444" t="s">
        <v>40</v>
      </c>
      <c r="H444" s="1">
        <v>44725</v>
      </c>
      <c r="I444" t="s">
        <v>536</v>
      </c>
      <c r="J444" t="s">
        <v>25</v>
      </c>
      <c r="K444" t="s">
        <v>26</v>
      </c>
      <c r="L444" s="2" t="s">
        <v>165</v>
      </c>
      <c r="M444" t="str">
        <f>TEXT(Table13[[#This Row],[Order Date]],"MMM")</f>
        <v>Jun</v>
      </c>
      <c r="N444">
        <f>YEAR(Table13[[#This Row],[Order Date]])</f>
        <v>2022</v>
      </c>
      <c r="O444" t="str">
        <f>"Q"&amp;ROUNDUP(MONTH(Table13[[#This Row],[Order Date]])/3,0)</f>
        <v>Q2</v>
      </c>
      <c r="P444" s="5">
        <f>Table13[[#This Row],[Profit]]/Table13[[#This Row],[Amount]]</f>
        <v>0.38612915552158961</v>
      </c>
      <c r="Q444" s="6">
        <f>Table13[[#This Row],[Amount]]/Table13[[#This Row],[Quantity]]</f>
        <v>348.93333333333334</v>
      </c>
    </row>
    <row r="445" spans="1:17" x14ac:dyDescent="0.3">
      <c r="A445" t="s">
        <v>537</v>
      </c>
      <c r="B445">
        <v>3944</v>
      </c>
      <c r="C445">
        <v>1559</v>
      </c>
      <c r="D445">
        <v>18</v>
      </c>
      <c r="E445" t="s">
        <v>13</v>
      </c>
      <c r="F445" t="s">
        <v>82</v>
      </c>
      <c r="G445" t="s">
        <v>47</v>
      </c>
      <c r="H445" s="1">
        <v>45455</v>
      </c>
      <c r="I445" t="s">
        <v>538</v>
      </c>
      <c r="J445" t="s">
        <v>42</v>
      </c>
      <c r="K445" t="s">
        <v>92</v>
      </c>
      <c r="L445" s="2" t="s">
        <v>262</v>
      </c>
      <c r="M445" t="str">
        <f>TEXT(Table13[[#This Row],[Order Date]],"MMM")</f>
        <v>Jun</v>
      </c>
      <c r="N445">
        <f>YEAR(Table13[[#This Row],[Order Date]])</f>
        <v>2024</v>
      </c>
      <c r="O445" t="str">
        <f>"Q"&amp;ROUNDUP(MONTH(Table13[[#This Row],[Order Date]])/3,0)</f>
        <v>Q2</v>
      </c>
      <c r="P445" s="5">
        <f>Table13[[#This Row],[Profit]]/Table13[[#This Row],[Amount]]</f>
        <v>0.39528397565922924</v>
      </c>
      <c r="Q445" s="6">
        <f>Table13[[#This Row],[Amount]]/Table13[[#This Row],[Quantity]]</f>
        <v>219.11111111111111</v>
      </c>
    </row>
    <row r="446" spans="1:17" x14ac:dyDescent="0.3">
      <c r="A446" t="s">
        <v>537</v>
      </c>
      <c r="B446">
        <v>6711</v>
      </c>
      <c r="C446">
        <v>1045</v>
      </c>
      <c r="D446">
        <v>12</v>
      </c>
      <c r="E446" t="s">
        <v>30</v>
      </c>
      <c r="F446" t="s">
        <v>31</v>
      </c>
      <c r="G446" t="s">
        <v>47</v>
      </c>
      <c r="H446" s="1">
        <v>45455</v>
      </c>
      <c r="I446" t="s">
        <v>538</v>
      </c>
      <c r="J446" t="s">
        <v>42</v>
      </c>
      <c r="K446" t="s">
        <v>92</v>
      </c>
      <c r="L446" s="2" t="s">
        <v>262</v>
      </c>
      <c r="M446" t="str">
        <f>TEXT(Table13[[#This Row],[Order Date]],"MMM")</f>
        <v>Jun</v>
      </c>
      <c r="N446">
        <f>YEAR(Table13[[#This Row],[Order Date]])</f>
        <v>2024</v>
      </c>
      <c r="O446" t="str">
        <f>"Q"&amp;ROUNDUP(MONTH(Table13[[#This Row],[Order Date]])/3,0)</f>
        <v>Q2</v>
      </c>
      <c r="P446" s="5">
        <f>Table13[[#This Row],[Profit]]/Table13[[#This Row],[Amount]]</f>
        <v>0.15571449858441366</v>
      </c>
      <c r="Q446" s="6">
        <f>Table13[[#This Row],[Amount]]/Table13[[#This Row],[Quantity]]</f>
        <v>559.25</v>
      </c>
    </row>
    <row r="447" spans="1:17" x14ac:dyDescent="0.3">
      <c r="A447" t="s">
        <v>537</v>
      </c>
      <c r="B447">
        <v>5031</v>
      </c>
      <c r="C447">
        <v>714</v>
      </c>
      <c r="D447">
        <v>4</v>
      </c>
      <c r="E447" t="s">
        <v>45</v>
      </c>
      <c r="F447" t="s">
        <v>46</v>
      </c>
      <c r="G447" t="s">
        <v>47</v>
      </c>
      <c r="H447" s="1">
        <v>45455</v>
      </c>
      <c r="I447" t="s">
        <v>538</v>
      </c>
      <c r="J447" t="s">
        <v>42</v>
      </c>
      <c r="K447" t="s">
        <v>92</v>
      </c>
      <c r="L447" s="2" t="s">
        <v>262</v>
      </c>
      <c r="M447" t="str">
        <f>TEXT(Table13[[#This Row],[Order Date]],"MMM")</f>
        <v>Jun</v>
      </c>
      <c r="N447">
        <f>YEAR(Table13[[#This Row],[Order Date]])</f>
        <v>2024</v>
      </c>
      <c r="O447" t="str">
        <f>"Q"&amp;ROUNDUP(MONTH(Table13[[#This Row],[Order Date]])/3,0)</f>
        <v>Q2</v>
      </c>
      <c r="P447" s="5">
        <f>Table13[[#This Row],[Profit]]/Table13[[#This Row],[Amount]]</f>
        <v>0.14192009540846751</v>
      </c>
      <c r="Q447" s="6">
        <f>Table13[[#This Row],[Amount]]/Table13[[#This Row],[Quantity]]</f>
        <v>1257.75</v>
      </c>
    </row>
    <row r="448" spans="1:17" x14ac:dyDescent="0.3">
      <c r="A448" t="s">
        <v>537</v>
      </c>
      <c r="B448">
        <v>6295</v>
      </c>
      <c r="C448">
        <v>2469</v>
      </c>
      <c r="D448">
        <v>14</v>
      </c>
      <c r="E448" t="s">
        <v>30</v>
      </c>
      <c r="F448" t="s">
        <v>78</v>
      </c>
      <c r="G448" t="s">
        <v>40</v>
      </c>
      <c r="H448" s="1">
        <v>45455</v>
      </c>
      <c r="I448" t="s">
        <v>538</v>
      </c>
      <c r="J448" t="s">
        <v>42</v>
      </c>
      <c r="K448" t="s">
        <v>92</v>
      </c>
      <c r="L448" s="2" t="s">
        <v>262</v>
      </c>
      <c r="M448" t="str">
        <f>TEXT(Table13[[#This Row],[Order Date]],"MMM")</f>
        <v>Jun</v>
      </c>
      <c r="N448">
        <f>YEAR(Table13[[#This Row],[Order Date]])</f>
        <v>2024</v>
      </c>
      <c r="O448" t="str">
        <f>"Q"&amp;ROUNDUP(MONTH(Table13[[#This Row],[Order Date]])/3,0)</f>
        <v>Q2</v>
      </c>
      <c r="P448" s="5">
        <f>Table13[[#This Row],[Profit]]/Table13[[#This Row],[Amount]]</f>
        <v>0.39221604447974584</v>
      </c>
      <c r="Q448" s="6">
        <f>Table13[[#This Row],[Amount]]/Table13[[#This Row],[Quantity]]</f>
        <v>449.64285714285717</v>
      </c>
    </row>
    <row r="449" spans="1:17" x14ac:dyDescent="0.3">
      <c r="A449" t="s">
        <v>539</v>
      </c>
      <c r="B449">
        <v>9654</v>
      </c>
      <c r="C449">
        <v>4111</v>
      </c>
      <c r="D449">
        <v>1</v>
      </c>
      <c r="E449" t="s">
        <v>30</v>
      </c>
      <c r="F449" t="s">
        <v>64</v>
      </c>
      <c r="G449" t="s">
        <v>15</v>
      </c>
      <c r="H449" s="1">
        <v>44739</v>
      </c>
      <c r="I449" t="s">
        <v>540</v>
      </c>
      <c r="J449" t="s">
        <v>42</v>
      </c>
      <c r="K449" t="s">
        <v>92</v>
      </c>
      <c r="L449" s="2" t="s">
        <v>165</v>
      </c>
      <c r="M449" t="str">
        <f>TEXT(Table13[[#This Row],[Order Date]],"MMM")</f>
        <v>Jun</v>
      </c>
      <c r="N449">
        <f>YEAR(Table13[[#This Row],[Order Date]])</f>
        <v>2022</v>
      </c>
      <c r="O449" t="str">
        <f>"Q"&amp;ROUNDUP(MONTH(Table13[[#This Row],[Order Date]])/3,0)</f>
        <v>Q2</v>
      </c>
      <c r="P449" s="5">
        <f>Table13[[#This Row],[Profit]]/Table13[[#This Row],[Amount]]</f>
        <v>0.42583385125336648</v>
      </c>
      <c r="Q449" s="6">
        <f>Table13[[#This Row],[Amount]]/Table13[[#This Row],[Quantity]]</f>
        <v>9654</v>
      </c>
    </row>
    <row r="450" spans="1:17" x14ac:dyDescent="0.3">
      <c r="A450" t="s">
        <v>539</v>
      </c>
      <c r="B450">
        <v>3112</v>
      </c>
      <c r="C450">
        <v>1065</v>
      </c>
      <c r="D450">
        <v>20</v>
      </c>
      <c r="E450" t="s">
        <v>30</v>
      </c>
      <c r="F450" t="s">
        <v>78</v>
      </c>
      <c r="G450" t="s">
        <v>65</v>
      </c>
      <c r="H450" s="1">
        <v>44739</v>
      </c>
      <c r="I450" t="s">
        <v>540</v>
      </c>
      <c r="J450" t="s">
        <v>42</v>
      </c>
      <c r="K450" t="s">
        <v>92</v>
      </c>
      <c r="L450" s="2" t="s">
        <v>165</v>
      </c>
      <c r="M450" t="str">
        <f>TEXT(Table13[[#This Row],[Order Date]],"MMM")</f>
        <v>Jun</v>
      </c>
      <c r="N450">
        <f>YEAR(Table13[[#This Row],[Order Date]])</f>
        <v>2022</v>
      </c>
      <c r="O450" t="str">
        <f>"Q"&amp;ROUNDUP(MONTH(Table13[[#This Row],[Order Date]])/3,0)</f>
        <v>Q2</v>
      </c>
      <c r="P450" s="5">
        <f>Table13[[#This Row],[Profit]]/Table13[[#This Row],[Amount]]</f>
        <v>0.34222365038560409</v>
      </c>
      <c r="Q450" s="6">
        <f>Table13[[#This Row],[Amount]]/Table13[[#This Row],[Quantity]]</f>
        <v>155.6</v>
      </c>
    </row>
    <row r="451" spans="1:17" x14ac:dyDescent="0.3">
      <c r="A451" t="s">
        <v>541</v>
      </c>
      <c r="B451">
        <v>7838</v>
      </c>
      <c r="C451">
        <v>1142</v>
      </c>
      <c r="D451">
        <v>13</v>
      </c>
      <c r="E451" t="s">
        <v>13</v>
      </c>
      <c r="F451" t="s">
        <v>82</v>
      </c>
      <c r="G451" t="s">
        <v>15</v>
      </c>
      <c r="H451" s="1">
        <v>44245</v>
      </c>
      <c r="I451" t="s">
        <v>542</v>
      </c>
      <c r="J451" t="s">
        <v>42</v>
      </c>
      <c r="K451" t="s">
        <v>92</v>
      </c>
      <c r="L451" s="2" t="s">
        <v>292</v>
      </c>
      <c r="M451" t="str">
        <f>TEXT(Table13[[#This Row],[Order Date]],"MMM")</f>
        <v>Feb</v>
      </c>
      <c r="N451">
        <f>YEAR(Table13[[#This Row],[Order Date]])</f>
        <v>2021</v>
      </c>
      <c r="O451" t="str">
        <f>"Q"&amp;ROUNDUP(MONTH(Table13[[#This Row],[Order Date]])/3,0)</f>
        <v>Q1</v>
      </c>
      <c r="P451" s="5">
        <f>Table13[[#This Row],[Profit]]/Table13[[#This Row],[Amount]]</f>
        <v>0.14570043378412861</v>
      </c>
      <c r="Q451" s="6">
        <f>Table13[[#This Row],[Amount]]/Table13[[#This Row],[Quantity]]</f>
        <v>602.92307692307691</v>
      </c>
    </row>
    <row r="452" spans="1:17" x14ac:dyDescent="0.3">
      <c r="A452" t="s">
        <v>541</v>
      </c>
      <c r="B452">
        <v>9300</v>
      </c>
      <c r="C452">
        <v>3146</v>
      </c>
      <c r="D452">
        <v>6</v>
      </c>
      <c r="E452" t="s">
        <v>13</v>
      </c>
      <c r="F452" t="s">
        <v>82</v>
      </c>
      <c r="G452" t="s">
        <v>47</v>
      </c>
      <c r="H452" s="1">
        <v>44245</v>
      </c>
      <c r="I452" t="s">
        <v>542</v>
      </c>
      <c r="J452" t="s">
        <v>42</v>
      </c>
      <c r="K452" t="s">
        <v>92</v>
      </c>
      <c r="L452" s="2" t="s">
        <v>292</v>
      </c>
      <c r="M452" t="str">
        <f>TEXT(Table13[[#This Row],[Order Date]],"MMM")</f>
        <v>Feb</v>
      </c>
      <c r="N452">
        <f>YEAR(Table13[[#This Row],[Order Date]])</f>
        <v>2021</v>
      </c>
      <c r="O452" t="str">
        <f>"Q"&amp;ROUNDUP(MONTH(Table13[[#This Row],[Order Date]])/3,0)</f>
        <v>Q1</v>
      </c>
      <c r="P452" s="5">
        <f>Table13[[#This Row],[Profit]]/Table13[[#This Row],[Amount]]</f>
        <v>0.3382795698924731</v>
      </c>
      <c r="Q452" s="6">
        <f>Table13[[#This Row],[Amount]]/Table13[[#This Row],[Quantity]]</f>
        <v>1550</v>
      </c>
    </row>
    <row r="453" spans="1:17" x14ac:dyDescent="0.3">
      <c r="A453" t="s">
        <v>541</v>
      </c>
      <c r="B453">
        <v>1733</v>
      </c>
      <c r="C453">
        <v>133</v>
      </c>
      <c r="D453">
        <v>17</v>
      </c>
      <c r="E453" t="s">
        <v>30</v>
      </c>
      <c r="F453" t="s">
        <v>64</v>
      </c>
      <c r="G453" t="s">
        <v>32</v>
      </c>
      <c r="H453" s="1">
        <v>44245</v>
      </c>
      <c r="I453" t="s">
        <v>542</v>
      </c>
      <c r="J453" t="s">
        <v>42</v>
      </c>
      <c r="K453" t="s">
        <v>92</v>
      </c>
      <c r="L453" s="2" t="s">
        <v>292</v>
      </c>
      <c r="M453" t="str">
        <f>TEXT(Table13[[#This Row],[Order Date]],"MMM")</f>
        <v>Feb</v>
      </c>
      <c r="N453">
        <f>YEAR(Table13[[#This Row],[Order Date]])</f>
        <v>2021</v>
      </c>
      <c r="O453" t="str">
        <f>"Q"&amp;ROUNDUP(MONTH(Table13[[#This Row],[Order Date]])/3,0)</f>
        <v>Q1</v>
      </c>
      <c r="P453" s="5">
        <f>Table13[[#This Row],[Profit]]/Table13[[#This Row],[Amount]]</f>
        <v>7.6745527986151182E-2</v>
      </c>
      <c r="Q453" s="6">
        <f>Table13[[#This Row],[Amount]]/Table13[[#This Row],[Quantity]]</f>
        <v>101.94117647058823</v>
      </c>
    </row>
    <row r="454" spans="1:17" x14ac:dyDescent="0.3">
      <c r="A454" t="s">
        <v>543</v>
      </c>
      <c r="B454">
        <v>874</v>
      </c>
      <c r="C454">
        <v>235</v>
      </c>
      <c r="D454">
        <v>15</v>
      </c>
      <c r="E454" t="s">
        <v>30</v>
      </c>
      <c r="F454" t="s">
        <v>78</v>
      </c>
      <c r="G454" t="s">
        <v>32</v>
      </c>
      <c r="H454" s="1">
        <v>45075</v>
      </c>
      <c r="I454" t="s">
        <v>544</v>
      </c>
      <c r="J454" t="s">
        <v>25</v>
      </c>
      <c r="K454" t="s">
        <v>68</v>
      </c>
      <c r="L454" s="2" t="s">
        <v>127</v>
      </c>
      <c r="M454" t="str">
        <f>TEXT(Table13[[#This Row],[Order Date]],"MMM")</f>
        <v>May</v>
      </c>
      <c r="N454">
        <f>YEAR(Table13[[#This Row],[Order Date]])</f>
        <v>2023</v>
      </c>
      <c r="O454" t="str">
        <f>"Q"&amp;ROUNDUP(MONTH(Table13[[#This Row],[Order Date]])/3,0)</f>
        <v>Q2</v>
      </c>
      <c r="P454" s="5">
        <f>Table13[[#This Row],[Profit]]/Table13[[#This Row],[Amount]]</f>
        <v>0.26887871853546913</v>
      </c>
      <c r="Q454" s="6">
        <f>Table13[[#This Row],[Amount]]/Table13[[#This Row],[Quantity]]</f>
        <v>58.266666666666666</v>
      </c>
    </row>
    <row r="455" spans="1:17" x14ac:dyDescent="0.3">
      <c r="A455" t="s">
        <v>543</v>
      </c>
      <c r="B455">
        <v>874</v>
      </c>
      <c r="C455">
        <v>235</v>
      </c>
      <c r="D455">
        <v>15</v>
      </c>
      <c r="E455" t="s">
        <v>30</v>
      </c>
      <c r="F455" t="s">
        <v>78</v>
      </c>
      <c r="G455" t="s">
        <v>32</v>
      </c>
      <c r="H455" s="1">
        <v>44351</v>
      </c>
      <c r="I455" t="s">
        <v>545</v>
      </c>
      <c r="J455" t="s">
        <v>17</v>
      </c>
      <c r="K455" t="s">
        <v>18</v>
      </c>
      <c r="L455" s="2" t="s">
        <v>125</v>
      </c>
      <c r="M455" t="str">
        <f>TEXT(Table13[[#This Row],[Order Date]],"MMM")</f>
        <v>Jun</v>
      </c>
      <c r="N455">
        <f>YEAR(Table13[[#This Row],[Order Date]])</f>
        <v>2021</v>
      </c>
      <c r="O455" t="str">
        <f>"Q"&amp;ROUNDUP(MONTH(Table13[[#This Row],[Order Date]])/3,0)</f>
        <v>Q2</v>
      </c>
      <c r="P455" s="5">
        <f>Table13[[#This Row],[Profit]]/Table13[[#This Row],[Amount]]</f>
        <v>0.26887871853546913</v>
      </c>
      <c r="Q455" s="6">
        <f>Table13[[#This Row],[Amount]]/Table13[[#This Row],[Quantity]]</f>
        <v>58.266666666666666</v>
      </c>
    </row>
    <row r="456" spans="1:17" x14ac:dyDescent="0.3">
      <c r="A456" t="s">
        <v>546</v>
      </c>
      <c r="B456">
        <v>1248</v>
      </c>
      <c r="C456">
        <v>584</v>
      </c>
      <c r="D456">
        <v>13</v>
      </c>
      <c r="E456" t="s">
        <v>30</v>
      </c>
      <c r="F456" t="s">
        <v>31</v>
      </c>
      <c r="G456" t="s">
        <v>40</v>
      </c>
      <c r="H456" s="1">
        <v>45313</v>
      </c>
      <c r="I456" t="s">
        <v>547</v>
      </c>
      <c r="J456" t="s">
        <v>98</v>
      </c>
      <c r="K456" t="s">
        <v>99</v>
      </c>
      <c r="L456" s="2" t="s">
        <v>76</v>
      </c>
      <c r="M456" t="str">
        <f>TEXT(Table13[[#This Row],[Order Date]],"MMM")</f>
        <v>Jan</v>
      </c>
      <c r="N456">
        <f>YEAR(Table13[[#This Row],[Order Date]])</f>
        <v>2024</v>
      </c>
      <c r="O456" t="str">
        <f>"Q"&amp;ROUNDUP(MONTH(Table13[[#This Row],[Order Date]])/3,0)</f>
        <v>Q1</v>
      </c>
      <c r="P456" s="5">
        <f>Table13[[#This Row],[Profit]]/Table13[[#This Row],[Amount]]</f>
        <v>0.46794871794871795</v>
      </c>
      <c r="Q456" s="6">
        <f>Table13[[#This Row],[Amount]]/Table13[[#This Row],[Quantity]]</f>
        <v>96</v>
      </c>
    </row>
    <row r="457" spans="1:17" x14ac:dyDescent="0.3">
      <c r="A457" t="s">
        <v>546</v>
      </c>
      <c r="B457">
        <v>1248</v>
      </c>
      <c r="C457">
        <v>584</v>
      </c>
      <c r="D457">
        <v>13</v>
      </c>
      <c r="E457" t="s">
        <v>30</v>
      </c>
      <c r="F457" t="s">
        <v>31</v>
      </c>
      <c r="G457" t="s">
        <v>40</v>
      </c>
      <c r="H457" s="1">
        <v>44922</v>
      </c>
      <c r="I457" t="s">
        <v>548</v>
      </c>
      <c r="J457" t="s">
        <v>42</v>
      </c>
      <c r="K457" t="s">
        <v>92</v>
      </c>
      <c r="L457" s="2" t="s">
        <v>152</v>
      </c>
      <c r="M457" t="str">
        <f>TEXT(Table13[[#This Row],[Order Date]],"MMM")</f>
        <v>Dec</v>
      </c>
      <c r="N457">
        <f>YEAR(Table13[[#This Row],[Order Date]])</f>
        <v>2022</v>
      </c>
      <c r="O457" t="str">
        <f>"Q"&amp;ROUNDUP(MONTH(Table13[[#This Row],[Order Date]])/3,0)</f>
        <v>Q4</v>
      </c>
      <c r="P457" s="5">
        <f>Table13[[#This Row],[Profit]]/Table13[[#This Row],[Amount]]</f>
        <v>0.46794871794871795</v>
      </c>
      <c r="Q457" s="6">
        <f>Table13[[#This Row],[Amount]]/Table13[[#This Row],[Quantity]]</f>
        <v>96</v>
      </c>
    </row>
    <row r="458" spans="1:17" x14ac:dyDescent="0.3">
      <c r="A458" t="s">
        <v>546</v>
      </c>
      <c r="B458">
        <v>3669</v>
      </c>
      <c r="C458">
        <v>154</v>
      </c>
      <c r="D458">
        <v>14</v>
      </c>
      <c r="E458" t="s">
        <v>30</v>
      </c>
      <c r="F458" t="s">
        <v>57</v>
      </c>
      <c r="G458" t="s">
        <v>40</v>
      </c>
      <c r="H458" s="1">
        <v>45313</v>
      </c>
      <c r="I458" t="s">
        <v>547</v>
      </c>
      <c r="J458" t="s">
        <v>98</v>
      </c>
      <c r="K458" t="s">
        <v>99</v>
      </c>
      <c r="L458" s="2" t="s">
        <v>76</v>
      </c>
      <c r="M458" t="str">
        <f>TEXT(Table13[[#This Row],[Order Date]],"MMM")</f>
        <v>Jan</v>
      </c>
      <c r="N458">
        <f>YEAR(Table13[[#This Row],[Order Date]])</f>
        <v>2024</v>
      </c>
      <c r="O458" t="str">
        <f>"Q"&amp;ROUNDUP(MONTH(Table13[[#This Row],[Order Date]])/3,0)</f>
        <v>Q1</v>
      </c>
      <c r="P458" s="5">
        <f>Table13[[#This Row],[Profit]]/Table13[[#This Row],[Amount]]</f>
        <v>4.1973289724720635E-2</v>
      </c>
      <c r="Q458" s="6">
        <f>Table13[[#This Row],[Amount]]/Table13[[#This Row],[Quantity]]</f>
        <v>262.07142857142856</v>
      </c>
    </row>
    <row r="459" spans="1:17" x14ac:dyDescent="0.3">
      <c r="A459" t="s">
        <v>546</v>
      </c>
      <c r="B459">
        <v>3669</v>
      </c>
      <c r="C459">
        <v>154</v>
      </c>
      <c r="D459">
        <v>14</v>
      </c>
      <c r="E459" t="s">
        <v>30</v>
      </c>
      <c r="F459" t="s">
        <v>57</v>
      </c>
      <c r="G459" t="s">
        <v>40</v>
      </c>
      <c r="H459" s="1">
        <v>44922</v>
      </c>
      <c r="I459" t="s">
        <v>548</v>
      </c>
      <c r="J459" t="s">
        <v>42</v>
      </c>
      <c r="K459" t="s">
        <v>92</v>
      </c>
      <c r="L459" s="2" t="s">
        <v>152</v>
      </c>
      <c r="M459" t="str">
        <f>TEXT(Table13[[#This Row],[Order Date]],"MMM")</f>
        <v>Dec</v>
      </c>
      <c r="N459">
        <f>YEAR(Table13[[#This Row],[Order Date]])</f>
        <v>2022</v>
      </c>
      <c r="O459" t="str">
        <f>"Q"&amp;ROUNDUP(MONTH(Table13[[#This Row],[Order Date]])/3,0)</f>
        <v>Q4</v>
      </c>
      <c r="P459" s="5">
        <f>Table13[[#This Row],[Profit]]/Table13[[#This Row],[Amount]]</f>
        <v>4.1973289724720635E-2</v>
      </c>
      <c r="Q459" s="6">
        <f>Table13[[#This Row],[Amount]]/Table13[[#This Row],[Quantity]]</f>
        <v>262.07142857142856</v>
      </c>
    </row>
    <row r="460" spans="1:17" x14ac:dyDescent="0.3">
      <c r="A460" t="s">
        <v>546</v>
      </c>
      <c r="B460">
        <v>514</v>
      </c>
      <c r="C460">
        <v>109</v>
      </c>
      <c r="D460">
        <v>15</v>
      </c>
      <c r="E460" t="s">
        <v>30</v>
      </c>
      <c r="F460" t="s">
        <v>64</v>
      </c>
      <c r="G460" t="s">
        <v>32</v>
      </c>
      <c r="H460" s="1">
        <v>45313</v>
      </c>
      <c r="I460" t="s">
        <v>547</v>
      </c>
      <c r="J460" t="s">
        <v>98</v>
      </c>
      <c r="K460" t="s">
        <v>99</v>
      </c>
      <c r="L460" s="2" t="s">
        <v>76</v>
      </c>
      <c r="M460" t="str">
        <f>TEXT(Table13[[#This Row],[Order Date]],"MMM")</f>
        <v>Jan</v>
      </c>
      <c r="N460">
        <f>YEAR(Table13[[#This Row],[Order Date]])</f>
        <v>2024</v>
      </c>
      <c r="O460" t="str">
        <f>"Q"&amp;ROUNDUP(MONTH(Table13[[#This Row],[Order Date]])/3,0)</f>
        <v>Q1</v>
      </c>
      <c r="P460" s="5">
        <f>Table13[[#This Row],[Profit]]/Table13[[#This Row],[Amount]]</f>
        <v>0.21206225680933852</v>
      </c>
      <c r="Q460" s="6">
        <f>Table13[[#This Row],[Amount]]/Table13[[#This Row],[Quantity]]</f>
        <v>34.266666666666666</v>
      </c>
    </row>
    <row r="461" spans="1:17" x14ac:dyDescent="0.3">
      <c r="A461" t="s">
        <v>546</v>
      </c>
      <c r="B461">
        <v>514</v>
      </c>
      <c r="C461">
        <v>109</v>
      </c>
      <c r="D461">
        <v>15</v>
      </c>
      <c r="E461" t="s">
        <v>30</v>
      </c>
      <c r="F461" t="s">
        <v>64</v>
      </c>
      <c r="G461" t="s">
        <v>32</v>
      </c>
      <c r="H461" s="1">
        <v>44922</v>
      </c>
      <c r="I461" t="s">
        <v>548</v>
      </c>
      <c r="J461" t="s">
        <v>42</v>
      </c>
      <c r="K461" t="s">
        <v>92</v>
      </c>
      <c r="L461" s="2" t="s">
        <v>152</v>
      </c>
      <c r="M461" t="str">
        <f>TEXT(Table13[[#This Row],[Order Date]],"MMM")</f>
        <v>Dec</v>
      </c>
      <c r="N461">
        <f>YEAR(Table13[[#This Row],[Order Date]])</f>
        <v>2022</v>
      </c>
      <c r="O461" t="str">
        <f>"Q"&amp;ROUNDUP(MONTH(Table13[[#This Row],[Order Date]])/3,0)</f>
        <v>Q4</v>
      </c>
      <c r="P461" s="5">
        <f>Table13[[#This Row],[Profit]]/Table13[[#This Row],[Amount]]</f>
        <v>0.21206225680933852</v>
      </c>
      <c r="Q461" s="6">
        <f>Table13[[#This Row],[Amount]]/Table13[[#This Row],[Quantity]]</f>
        <v>34.266666666666666</v>
      </c>
    </row>
    <row r="462" spans="1:17" x14ac:dyDescent="0.3">
      <c r="A462" t="s">
        <v>549</v>
      </c>
      <c r="B462">
        <v>3273</v>
      </c>
      <c r="C462">
        <v>85</v>
      </c>
      <c r="D462">
        <v>16</v>
      </c>
      <c r="E462" t="s">
        <v>13</v>
      </c>
      <c r="F462" t="s">
        <v>82</v>
      </c>
      <c r="G462" t="s">
        <v>15</v>
      </c>
      <c r="H462" s="1">
        <v>45381</v>
      </c>
      <c r="I462" t="s">
        <v>550</v>
      </c>
      <c r="J462" t="s">
        <v>98</v>
      </c>
      <c r="K462" t="s">
        <v>107</v>
      </c>
      <c r="L462" s="2" t="s">
        <v>338</v>
      </c>
      <c r="M462" t="str">
        <f>TEXT(Table13[[#This Row],[Order Date]],"MMM")</f>
        <v>Mar</v>
      </c>
      <c r="N462">
        <f>YEAR(Table13[[#This Row],[Order Date]])</f>
        <v>2024</v>
      </c>
      <c r="O462" t="str">
        <f>"Q"&amp;ROUNDUP(MONTH(Table13[[#This Row],[Order Date]])/3,0)</f>
        <v>Q1</v>
      </c>
      <c r="P462" s="5">
        <f>Table13[[#This Row],[Profit]]/Table13[[#This Row],[Amount]]</f>
        <v>2.5970058050717997E-2</v>
      </c>
      <c r="Q462" s="6">
        <f>Table13[[#This Row],[Amount]]/Table13[[#This Row],[Quantity]]</f>
        <v>204.5625</v>
      </c>
    </row>
    <row r="463" spans="1:17" x14ac:dyDescent="0.3">
      <c r="A463" t="s">
        <v>551</v>
      </c>
      <c r="B463">
        <v>5035</v>
      </c>
      <c r="C463">
        <v>2008</v>
      </c>
      <c r="D463">
        <v>2</v>
      </c>
      <c r="E463" t="s">
        <v>45</v>
      </c>
      <c r="F463" t="s">
        <v>49</v>
      </c>
      <c r="G463" t="s">
        <v>65</v>
      </c>
      <c r="H463" s="1">
        <v>43925</v>
      </c>
      <c r="I463" t="s">
        <v>552</v>
      </c>
      <c r="J463" t="s">
        <v>17</v>
      </c>
      <c r="K463" t="s">
        <v>18</v>
      </c>
      <c r="L463" s="2" t="s">
        <v>162</v>
      </c>
      <c r="M463" t="str">
        <f>TEXT(Table13[[#This Row],[Order Date]],"MMM")</f>
        <v>Apr</v>
      </c>
      <c r="N463">
        <f>YEAR(Table13[[#This Row],[Order Date]])</f>
        <v>2020</v>
      </c>
      <c r="O463" t="str">
        <f>"Q"&amp;ROUNDUP(MONTH(Table13[[#This Row],[Order Date]])/3,0)</f>
        <v>Q2</v>
      </c>
      <c r="P463" s="5">
        <f>Table13[[#This Row],[Profit]]/Table13[[#This Row],[Amount]]</f>
        <v>0.39880834160873885</v>
      </c>
      <c r="Q463" s="6">
        <f>Table13[[#This Row],[Amount]]/Table13[[#This Row],[Quantity]]</f>
        <v>2517.5</v>
      </c>
    </row>
    <row r="464" spans="1:17" x14ac:dyDescent="0.3">
      <c r="A464" t="s">
        <v>551</v>
      </c>
      <c r="B464">
        <v>7702</v>
      </c>
      <c r="C464">
        <v>60</v>
      </c>
      <c r="D464">
        <v>19</v>
      </c>
      <c r="E464" t="s">
        <v>13</v>
      </c>
      <c r="F464" t="s">
        <v>28</v>
      </c>
      <c r="G464" t="s">
        <v>15</v>
      </c>
      <c r="H464" s="1">
        <v>43925</v>
      </c>
      <c r="I464" t="s">
        <v>552</v>
      </c>
      <c r="J464" t="s">
        <v>17</v>
      </c>
      <c r="K464" t="s">
        <v>18</v>
      </c>
      <c r="L464" s="2" t="s">
        <v>162</v>
      </c>
      <c r="M464" t="str">
        <f>TEXT(Table13[[#This Row],[Order Date]],"MMM")</f>
        <v>Apr</v>
      </c>
      <c r="N464">
        <f>YEAR(Table13[[#This Row],[Order Date]])</f>
        <v>2020</v>
      </c>
      <c r="O464" t="str">
        <f>"Q"&amp;ROUNDUP(MONTH(Table13[[#This Row],[Order Date]])/3,0)</f>
        <v>Q2</v>
      </c>
      <c r="P464" s="5">
        <f>Table13[[#This Row],[Profit]]/Table13[[#This Row],[Amount]]</f>
        <v>7.7901843676967024E-3</v>
      </c>
      <c r="Q464" s="6">
        <f>Table13[[#This Row],[Amount]]/Table13[[#This Row],[Quantity]]</f>
        <v>405.36842105263156</v>
      </c>
    </row>
    <row r="465" spans="1:17" x14ac:dyDescent="0.3">
      <c r="A465" t="s">
        <v>551</v>
      </c>
      <c r="B465">
        <v>9884</v>
      </c>
      <c r="C465">
        <v>4446</v>
      </c>
      <c r="D465">
        <v>7</v>
      </c>
      <c r="E465" t="s">
        <v>13</v>
      </c>
      <c r="F465" t="s">
        <v>28</v>
      </c>
      <c r="G465" t="s">
        <v>40</v>
      </c>
      <c r="H465" s="1">
        <v>43925</v>
      </c>
      <c r="I465" t="s">
        <v>552</v>
      </c>
      <c r="J465" t="s">
        <v>17</v>
      </c>
      <c r="K465" t="s">
        <v>18</v>
      </c>
      <c r="L465" s="2" t="s">
        <v>162</v>
      </c>
      <c r="M465" t="str">
        <f>TEXT(Table13[[#This Row],[Order Date]],"MMM")</f>
        <v>Apr</v>
      </c>
      <c r="N465">
        <f>YEAR(Table13[[#This Row],[Order Date]])</f>
        <v>2020</v>
      </c>
      <c r="O465" t="str">
        <f>"Q"&amp;ROUNDUP(MONTH(Table13[[#This Row],[Order Date]])/3,0)</f>
        <v>Q2</v>
      </c>
      <c r="P465" s="5">
        <f>Table13[[#This Row],[Profit]]/Table13[[#This Row],[Amount]]</f>
        <v>0.44981788749494134</v>
      </c>
      <c r="Q465" s="6">
        <f>Table13[[#This Row],[Amount]]/Table13[[#This Row],[Quantity]]</f>
        <v>1412</v>
      </c>
    </row>
    <row r="466" spans="1:17" x14ac:dyDescent="0.3">
      <c r="A466" t="s">
        <v>553</v>
      </c>
      <c r="B466">
        <v>5564</v>
      </c>
      <c r="C466">
        <v>175</v>
      </c>
      <c r="D466">
        <v>11</v>
      </c>
      <c r="E466" t="s">
        <v>13</v>
      </c>
      <c r="F466" t="s">
        <v>39</v>
      </c>
      <c r="G466" t="s">
        <v>65</v>
      </c>
      <c r="H466" s="1">
        <v>44948</v>
      </c>
      <c r="I466" t="s">
        <v>554</v>
      </c>
      <c r="J466" t="s">
        <v>21</v>
      </c>
      <c r="K466" t="s">
        <v>22</v>
      </c>
      <c r="L466" s="2" t="s">
        <v>333</v>
      </c>
      <c r="M466" t="str">
        <f>TEXT(Table13[[#This Row],[Order Date]],"MMM")</f>
        <v>Jan</v>
      </c>
      <c r="N466">
        <f>YEAR(Table13[[#This Row],[Order Date]])</f>
        <v>2023</v>
      </c>
      <c r="O466" t="str">
        <f>"Q"&amp;ROUNDUP(MONTH(Table13[[#This Row],[Order Date]])/3,0)</f>
        <v>Q1</v>
      </c>
      <c r="P466" s="5">
        <f>Table13[[#This Row],[Profit]]/Table13[[#This Row],[Amount]]</f>
        <v>3.145219266714594E-2</v>
      </c>
      <c r="Q466" s="6">
        <f>Table13[[#This Row],[Amount]]/Table13[[#This Row],[Quantity]]</f>
        <v>505.81818181818181</v>
      </c>
    </row>
    <row r="467" spans="1:17" x14ac:dyDescent="0.3">
      <c r="A467" t="s">
        <v>553</v>
      </c>
      <c r="B467">
        <v>5564</v>
      </c>
      <c r="C467">
        <v>175</v>
      </c>
      <c r="D467">
        <v>11</v>
      </c>
      <c r="E467" t="s">
        <v>13</v>
      </c>
      <c r="F467" t="s">
        <v>39</v>
      </c>
      <c r="G467" t="s">
        <v>65</v>
      </c>
      <c r="H467" s="1">
        <v>44663</v>
      </c>
      <c r="I467" t="s">
        <v>555</v>
      </c>
      <c r="J467" t="s">
        <v>71</v>
      </c>
      <c r="K467" t="s">
        <v>138</v>
      </c>
      <c r="L467" s="2" t="s">
        <v>187</v>
      </c>
      <c r="M467" t="str">
        <f>TEXT(Table13[[#This Row],[Order Date]],"MMM")</f>
        <v>Apr</v>
      </c>
      <c r="N467">
        <f>YEAR(Table13[[#This Row],[Order Date]])</f>
        <v>2022</v>
      </c>
      <c r="O467" t="str">
        <f>"Q"&amp;ROUNDUP(MONTH(Table13[[#This Row],[Order Date]])/3,0)</f>
        <v>Q2</v>
      </c>
      <c r="P467" s="5">
        <f>Table13[[#This Row],[Profit]]/Table13[[#This Row],[Amount]]</f>
        <v>3.145219266714594E-2</v>
      </c>
      <c r="Q467" s="6">
        <f>Table13[[#This Row],[Amount]]/Table13[[#This Row],[Quantity]]</f>
        <v>505.81818181818181</v>
      </c>
    </row>
    <row r="468" spans="1:17" x14ac:dyDescent="0.3">
      <c r="A468" t="s">
        <v>553</v>
      </c>
      <c r="B468">
        <v>5564</v>
      </c>
      <c r="C468">
        <v>175</v>
      </c>
      <c r="D468">
        <v>11</v>
      </c>
      <c r="E468" t="s">
        <v>13</v>
      </c>
      <c r="F468" t="s">
        <v>39</v>
      </c>
      <c r="G468" t="s">
        <v>65</v>
      </c>
      <c r="H468" s="1">
        <v>45273</v>
      </c>
      <c r="I468" t="s">
        <v>556</v>
      </c>
      <c r="J468" t="s">
        <v>17</v>
      </c>
      <c r="K468" t="s">
        <v>18</v>
      </c>
      <c r="L468" s="2" t="s">
        <v>102</v>
      </c>
      <c r="M468" t="str">
        <f>TEXT(Table13[[#This Row],[Order Date]],"MMM")</f>
        <v>Dec</v>
      </c>
      <c r="N468">
        <f>YEAR(Table13[[#This Row],[Order Date]])</f>
        <v>2023</v>
      </c>
      <c r="O468" t="str">
        <f>"Q"&amp;ROUNDUP(MONTH(Table13[[#This Row],[Order Date]])/3,0)</f>
        <v>Q4</v>
      </c>
      <c r="P468" s="5">
        <f>Table13[[#This Row],[Profit]]/Table13[[#This Row],[Amount]]</f>
        <v>3.145219266714594E-2</v>
      </c>
      <c r="Q468" s="6">
        <f>Table13[[#This Row],[Amount]]/Table13[[#This Row],[Quantity]]</f>
        <v>505.81818181818181</v>
      </c>
    </row>
    <row r="469" spans="1:17" x14ac:dyDescent="0.3">
      <c r="A469" t="s">
        <v>553</v>
      </c>
      <c r="B469">
        <v>3953</v>
      </c>
      <c r="C469">
        <v>1776</v>
      </c>
      <c r="D469">
        <v>15</v>
      </c>
      <c r="E469" t="s">
        <v>13</v>
      </c>
      <c r="F469" t="s">
        <v>14</v>
      </c>
      <c r="G469" t="s">
        <v>15</v>
      </c>
      <c r="H469" s="1">
        <v>44948</v>
      </c>
      <c r="I469" t="s">
        <v>554</v>
      </c>
      <c r="J469" t="s">
        <v>21</v>
      </c>
      <c r="K469" t="s">
        <v>22</v>
      </c>
      <c r="L469" s="2" t="s">
        <v>333</v>
      </c>
      <c r="M469" t="str">
        <f>TEXT(Table13[[#This Row],[Order Date]],"MMM")</f>
        <v>Jan</v>
      </c>
      <c r="N469">
        <f>YEAR(Table13[[#This Row],[Order Date]])</f>
        <v>2023</v>
      </c>
      <c r="O469" t="str">
        <f>"Q"&amp;ROUNDUP(MONTH(Table13[[#This Row],[Order Date]])/3,0)</f>
        <v>Q1</v>
      </c>
      <c r="P469" s="5">
        <f>Table13[[#This Row],[Profit]]/Table13[[#This Row],[Amount]]</f>
        <v>0.44927902858588414</v>
      </c>
      <c r="Q469" s="6">
        <f>Table13[[#This Row],[Amount]]/Table13[[#This Row],[Quantity]]</f>
        <v>263.53333333333336</v>
      </c>
    </row>
    <row r="470" spans="1:17" x14ac:dyDescent="0.3">
      <c r="A470" t="s">
        <v>553</v>
      </c>
      <c r="B470">
        <v>3953</v>
      </c>
      <c r="C470">
        <v>1776</v>
      </c>
      <c r="D470">
        <v>15</v>
      </c>
      <c r="E470" t="s">
        <v>13</v>
      </c>
      <c r="F470" t="s">
        <v>14</v>
      </c>
      <c r="G470" t="s">
        <v>15</v>
      </c>
      <c r="H470" s="1">
        <v>44663</v>
      </c>
      <c r="I470" t="s">
        <v>555</v>
      </c>
      <c r="J470" t="s">
        <v>71</v>
      </c>
      <c r="K470" t="s">
        <v>138</v>
      </c>
      <c r="L470" s="2" t="s">
        <v>187</v>
      </c>
      <c r="M470" t="str">
        <f>TEXT(Table13[[#This Row],[Order Date]],"MMM")</f>
        <v>Apr</v>
      </c>
      <c r="N470">
        <f>YEAR(Table13[[#This Row],[Order Date]])</f>
        <v>2022</v>
      </c>
      <c r="O470" t="str">
        <f>"Q"&amp;ROUNDUP(MONTH(Table13[[#This Row],[Order Date]])/3,0)</f>
        <v>Q2</v>
      </c>
      <c r="P470" s="5">
        <f>Table13[[#This Row],[Profit]]/Table13[[#This Row],[Amount]]</f>
        <v>0.44927902858588414</v>
      </c>
      <c r="Q470" s="6">
        <f>Table13[[#This Row],[Amount]]/Table13[[#This Row],[Quantity]]</f>
        <v>263.53333333333336</v>
      </c>
    </row>
    <row r="471" spans="1:17" x14ac:dyDescent="0.3">
      <c r="A471" t="s">
        <v>553</v>
      </c>
      <c r="B471">
        <v>3953</v>
      </c>
      <c r="C471">
        <v>1776</v>
      </c>
      <c r="D471">
        <v>15</v>
      </c>
      <c r="E471" t="s">
        <v>13</v>
      </c>
      <c r="F471" t="s">
        <v>14</v>
      </c>
      <c r="G471" t="s">
        <v>15</v>
      </c>
      <c r="H471" s="1">
        <v>45273</v>
      </c>
      <c r="I471" t="s">
        <v>556</v>
      </c>
      <c r="J471" t="s">
        <v>17</v>
      </c>
      <c r="K471" t="s">
        <v>18</v>
      </c>
      <c r="L471" s="2" t="s">
        <v>102</v>
      </c>
      <c r="M471" t="str">
        <f>TEXT(Table13[[#This Row],[Order Date]],"MMM")</f>
        <v>Dec</v>
      </c>
      <c r="N471">
        <f>YEAR(Table13[[#This Row],[Order Date]])</f>
        <v>2023</v>
      </c>
      <c r="O471" t="str">
        <f>"Q"&amp;ROUNDUP(MONTH(Table13[[#This Row],[Order Date]])/3,0)</f>
        <v>Q4</v>
      </c>
      <c r="P471" s="5">
        <f>Table13[[#This Row],[Profit]]/Table13[[#This Row],[Amount]]</f>
        <v>0.44927902858588414</v>
      </c>
      <c r="Q471" s="6">
        <f>Table13[[#This Row],[Amount]]/Table13[[#This Row],[Quantity]]</f>
        <v>263.53333333333336</v>
      </c>
    </row>
    <row r="472" spans="1:17" x14ac:dyDescent="0.3">
      <c r="A472" t="s">
        <v>557</v>
      </c>
      <c r="B472">
        <v>6488</v>
      </c>
      <c r="C472">
        <v>1591</v>
      </c>
      <c r="D472">
        <v>18</v>
      </c>
      <c r="E472" t="s">
        <v>13</v>
      </c>
      <c r="F472" t="s">
        <v>28</v>
      </c>
      <c r="G472" t="s">
        <v>40</v>
      </c>
      <c r="H472" s="1">
        <v>45070</v>
      </c>
      <c r="I472" t="s">
        <v>558</v>
      </c>
      <c r="J472" t="s">
        <v>71</v>
      </c>
      <c r="K472" t="s">
        <v>72</v>
      </c>
      <c r="L472" s="2" t="s">
        <v>127</v>
      </c>
      <c r="M472" t="str">
        <f>TEXT(Table13[[#This Row],[Order Date]],"MMM")</f>
        <v>May</v>
      </c>
      <c r="N472">
        <f>YEAR(Table13[[#This Row],[Order Date]])</f>
        <v>2023</v>
      </c>
      <c r="O472" t="str">
        <f>"Q"&amp;ROUNDUP(MONTH(Table13[[#This Row],[Order Date]])/3,0)</f>
        <v>Q2</v>
      </c>
      <c r="P472" s="5">
        <f>Table13[[#This Row],[Profit]]/Table13[[#This Row],[Amount]]</f>
        <v>0.24522194821208385</v>
      </c>
      <c r="Q472" s="6">
        <f>Table13[[#This Row],[Amount]]/Table13[[#This Row],[Quantity]]</f>
        <v>360.44444444444446</v>
      </c>
    </row>
    <row r="473" spans="1:17" x14ac:dyDescent="0.3">
      <c r="A473" t="s">
        <v>557</v>
      </c>
      <c r="B473">
        <v>6488</v>
      </c>
      <c r="C473">
        <v>1591</v>
      </c>
      <c r="D473">
        <v>18</v>
      </c>
      <c r="E473" t="s">
        <v>13</v>
      </c>
      <c r="F473" t="s">
        <v>28</v>
      </c>
      <c r="G473" t="s">
        <v>40</v>
      </c>
      <c r="H473" s="1">
        <v>44164</v>
      </c>
      <c r="I473" t="s">
        <v>559</v>
      </c>
      <c r="J473" t="s">
        <v>71</v>
      </c>
      <c r="K473" t="s">
        <v>138</v>
      </c>
      <c r="L473" s="2" t="s">
        <v>80</v>
      </c>
      <c r="M473" t="str">
        <f>TEXT(Table13[[#This Row],[Order Date]],"MMM")</f>
        <v>Nov</v>
      </c>
      <c r="N473">
        <f>YEAR(Table13[[#This Row],[Order Date]])</f>
        <v>2020</v>
      </c>
      <c r="O473" t="str">
        <f>"Q"&amp;ROUNDUP(MONTH(Table13[[#This Row],[Order Date]])/3,0)</f>
        <v>Q4</v>
      </c>
      <c r="P473" s="5">
        <f>Table13[[#This Row],[Profit]]/Table13[[#This Row],[Amount]]</f>
        <v>0.24522194821208385</v>
      </c>
      <c r="Q473" s="6">
        <f>Table13[[#This Row],[Amount]]/Table13[[#This Row],[Quantity]]</f>
        <v>360.44444444444446</v>
      </c>
    </row>
    <row r="474" spans="1:17" x14ac:dyDescent="0.3">
      <c r="A474" t="s">
        <v>560</v>
      </c>
      <c r="B474">
        <v>7856</v>
      </c>
      <c r="C474">
        <v>3699</v>
      </c>
      <c r="D474">
        <v>17</v>
      </c>
      <c r="E474" t="s">
        <v>13</v>
      </c>
      <c r="F474" t="s">
        <v>14</v>
      </c>
      <c r="G474" t="s">
        <v>15</v>
      </c>
      <c r="H474" s="1">
        <v>44279</v>
      </c>
      <c r="I474" t="s">
        <v>561</v>
      </c>
      <c r="J474" t="s">
        <v>17</v>
      </c>
      <c r="K474" t="s">
        <v>34</v>
      </c>
      <c r="L474" s="2" t="s">
        <v>167</v>
      </c>
      <c r="M474" t="str">
        <f>TEXT(Table13[[#This Row],[Order Date]],"MMM")</f>
        <v>Mar</v>
      </c>
      <c r="N474">
        <f>YEAR(Table13[[#This Row],[Order Date]])</f>
        <v>2021</v>
      </c>
      <c r="O474" t="str">
        <f>"Q"&amp;ROUNDUP(MONTH(Table13[[#This Row],[Order Date]])/3,0)</f>
        <v>Q1</v>
      </c>
      <c r="P474" s="5">
        <f>Table13[[#This Row],[Profit]]/Table13[[#This Row],[Amount]]</f>
        <v>0.47085030549898166</v>
      </c>
      <c r="Q474" s="6">
        <f>Table13[[#This Row],[Amount]]/Table13[[#This Row],[Quantity]]</f>
        <v>462.11764705882354</v>
      </c>
    </row>
    <row r="475" spans="1:17" x14ac:dyDescent="0.3">
      <c r="A475" t="s">
        <v>560</v>
      </c>
      <c r="B475">
        <v>1165</v>
      </c>
      <c r="C475">
        <v>51</v>
      </c>
      <c r="D475">
        <v>3</v>
      </c>
      <c r="E475" t="s">
        <v>30</v>
      </c>
      <c r="F475" t="s">
        <v>31</v>
      </c>
      <c r="G475" t="s">
        <v>40</v>
      </c>
      <c r="H475" s="1">
        <v>44279</v>
      </c>
      <c r="I475" t="s">
        <v>561</v>
      </c>
      <c r="J475" t="s">
        <v>17</v>
      </c>
      <c r="K475" t="s">
        <v>34</v>
      </c>
      <c r="L475" s="2" t="s">
        <v>167</v>
      </c>
      <c r="M475" t="str">
        <f>TEXT(Table13[[#This Row],[Order Date]],"MMM")</f>
        <v>Mar</v>
      </c>
      <c r="N475">
        <f>YEAR(Table13[[#This Row],[Order Date]])</f>
        <v>2021</v>
      </c>
      <c r="O475" t="str">
        <f>"Q"&amp;ROUNDUP(MONTH(Table13[[#This Row],[Order Date]])/3,0)</f>
        <v>Q1</v>
      </c>
      <c r="P475" s="5">
        <f>Table13[[#This Row],[Profit]]/Table13[[#This Row],[Amount]]</f>
        <v>4.3776824034334763E-2</v>
      </c>
      <c r="Q475" s="6">
        <f>Table13[[#This Row],[Amount]]/Table13[[#This Row],[Quantity]]</f>
        <v>388.33333333333331</v>
      </c>
    </row>
    <row r="476" spans="1:17" x14ac:dyDescent="0.3">
      <c r="A476" t="s">
        <v>562</v>
      </c>
      <c r="B476">
        <v>9386</v>
      </c>
      <c r="C476">
        <v>2555</v>
      </c>
      <c r="D476">
        <v>20</v>
      </c>
      <c r="E476" t="s">
        <v>30</v>
      </c>
      <c r="F476" t="s">
        <v>57</v>
      </c>
      <c r="G476" t="s">
        <v>47</v>
      </c>
      <c r="H476" s="1">
        <v>44062</v>
      </c>
      <c r="I476" t="s">
        <v>563</v>
      </c>
      <c r="J476" t="s">
        <v>42</v>
      </c>
      <c r="K476" t="s">
        <v>75</v>
      </c>
      <c r="L476" s="2" t="s">
        <v>185</v>
      </c>
      <c r="M476" t="str">
        <f>TEXT(Table13[[#This Row],[Order Date]],"MMM")</f>
        <v>Aug</v>
      </c>
      <c r="N476">
        <f>YEAR(Table13[[#This Row],[Order Date]])</f>
        <v>2020</v>
      </c>
      <c r="O476" t="str">
        <f>"Q"&amp;ROUNDUP(MONTH(Table13[[#This Row],[Order Date]])/3,0)</f>
        <v>Q3</v>
      </c>
      <c r="P476" s="5">
        <f>Table13[[#This Row],[Profit]]/Table13[[#This Row],[Amount]]</f>
        <v>0.27221393564883872</v>
      </c>
      <c r="Q476" s="6">
        <f>Table13[[#This Row],[Amount]]/Table13[[#This Row],[Quantity]]</f>
        <v>469.3</v>
      </c>
    </row>
    <row r="477" spans="1:17" x14ac:dyDescent="0.3">
      <c r="A477" t="s">
        <v>562</v>
      </c>
      <c r="B477">
        <v>9386</v>
      </c>
      <c r="C477">
        <v>2555</v>
      </c>
      <c r="D477">
        <v>20</v>
      </c>
      <c r="E477" t="s">
        <v>30</v>
      </c>
      <c r="F477" t="s">
        <v>57</v>
      </c>
      <c r="G477" t="s">
        <v>47</v>
      </c>
      <c r="H477" s="1">
        <v>44854</v>
      </c>
      <c r="I477" t="s">
        <v>564</v>
      </c>
      <c r="J477" t="s">
        <v>98</v>
      </c>
      <c r="K477" t="s">
        <v>117</v>
      </c>
      <c r="L477" s="2" t="s">
        <v>96</v>
      </c>
      <c r="M477" t="str">
        <f>TEXT(Table13[[#This Row],[Order Date]],"MMM")</f>
        <v>Oct</v>
      </c>
      <c r="N477">
        <f>YEAR(Table13[[#This Row],[Order Date]])</f>
        <v>2022</v>
      </c>
      <c r="O477" t="str">
        <f>"Q"&amp;ROUNDUP(MONTH(Table13[[#This Row],[Order Date]])/3,0)</f>
        <v>Q4</v>
      </c>
      <c r="P477" s="5">
        <f>Table13[[#This Row],[Profit]]/Table13[[#This Row],[Amount]]</f>
        <v>0.27221393564883872</v>
      </c>
      <c r="Q477" s="6">
        <f>Table13[[#This Row],[Amount]]/Table13[[#This Row],[Quantity]]</f>
        <v>469.3</v>
      </c>
    </row>
    <row r="478" spans="1:17" x14ac:dyDescent="0.3">
      <c r="A478" t="s">
        <v>565</v>
      </c>
      <c r="B478">
        <v>3956</v>
      </c>
      <c r="C478">
        <v>142</v>
      </c>
      <c r="D478">
        <v>12</v>
      </c>
      <c r="E478" t="s">
        <v>30</v>
      </c>
      <c r="F478" t="s">
        <v>31</v>
      </c>
      <c r="G478" t="s">
        <v>32</v>
      </c>
      <c r="H478" s="1">
        <v>45189</v>
      </c>
      <c r="I478" t="s">
        <v>566</v>
      </c>
      <c r="J478" t="s">
        <v>17</v>
      </c>
      <c r="K478" t="s">
        <v>150</v>
      </c>
      <c r="L478" s="2" t="s">
        <v>273</v>
      </c>
      <c r="M478" t="str">
        <f>TEXT(Table13[[#This Row],[Order Date]],"MMM")</f>
        <v>Sep</v>
      </c>
      <c r="N478">
        <f>YEAR(Table13[[#This Row],[Order Date]])</f>
        <v>2023</v>
      </c>
      <c r="O478" t="str">
        <f>"Q"&amp;ROUNDUP(MONTH(Table13[[#This Row],[Order Date]])/3,0)</f>
        <v>Q3</v>
      </c>
      <c r="P478" s="5">
        <f>Table13[[#This Row],[Profit]]/Table13[[#This Row],[Amount]]</f>
        <v>3.5894843276036398E-2</v>
      </c>
      <c r="Q478" s="6">
        <f>Table13[[#This Row],[Amount]]/Table13[[#This Row],[Quantity]]</f>
        <v>329.66666666666669</v>
      </c>
    </row>
    <row r="479" spans="1:17" x14ac:dyDescent="0.3">
      <c r="A479" t="s">
        <v>565</v>
      </c>
      <c r="B479">
        <v>3956</v>
      </c>
      <c r="C479">
        <v>142</v>
      </c>
      <c r="D479">
        <v>12</v>
      </c>
      <c r="E479" t="s">
        <v>30</v>
      </c>
      <c r="F479" t="s">
        <v>31</v>
      </c>
      <c r="G479" t="s">
        <v>32</v>
      </c>
      <c r="H479" s="1">
        <v>45652</v>
      </c>
      <c r="I479" t="s">
        <v>567</v>
      </c>
      <c r="J479" t="s">
        <v>71</v>
      </c>
      <c r="K479" t="s">
        <v>72</v>
      </c>
      <c r="L479" s="2" t="s">
        <v>23</v>
      </c>
      <c r="M479" t="str">
        <f>TEXT(Table13[[#This Row],[Order Date]],"MMM")</f>
        <v>Dec</v>
      </c>
      <c r="N479">
        <f>YEAR(Table13[[#This Row],[Order Date]])</f>
        <v>2024</v>
      </c>
      <c r="O479" t="str">
        <f>"Q"&amp;ROUNDUP(MONTH(Table13[[#This Row],[Order Date]])/3,0)</f>
        <v>Q4</v>
      </c>
      <c r="P479" s="5">
        <f>Table13[[#This Row],[Profit]]/Table13[[#This Row],[Amount]]</f>
        <v>3.5894843276036398E-2</v>
      </c>
      <c r="Q479" s="6">
        <f>Table13[[#This Row],[Amount]]/Table13[[#This Row],[Quantity]]</f>
        <v>329.66666666666669</v>
      </c>
    </row>
    <row r="480" spans="1:17" x14ac:dyDescent="0.3">
      <c r="A480" t="s">
        <v>565</v>
      </c>
      <c r="B480">
        <v>6449</v>
      </c>
      <c r="C480">
        <v>2628</v>
      </c>
      <c r="D480">
        <v>11</v>
      </c>
      <c r="E480" t="s">
        <v>45</v>
      </c>
      <c r="F480" t="s">
        <v>109</v>
      </c>
      <c r="G480" t="s">
        <v>40</v>
      </c>
      <c r="H480" s="1">
        <v>45189</v>
      </c>
      <c r="I480" t="s">
        <v>566</v>
      </c>
      <c r="J480" t="s">
        <v>17</v>
      </c>
      <c r="K480" t="s">
        <v>150</v>
      </c>
      <c r="L480" s="2" t="s">
        <v>273</v>
      </c>
      <c r="M480" t="str">
        <f>TEXT(Table13[[#This Row],[Order Date]],"MMM")</f>
        <v>Sep</v>
      </c>
      <c r="N480">
        <f>YEAR(Table13[[#This Row],[Order Date]])</f>
        <v>2023</v>
      </c>
      <c r="O480" t="str">
        <f>"Q"&amp;ROUNDUP(MONTH(Table13[[#This Row],[Order Date]])/3,0)</f>
        <v>Q3</v>
      </c>
      <c r="P480" s="5">
        <f>Table13[[#This Row],[Profit]]/Table13[[#This Row],[Amount]]</f>
        <v>0.40750503954101414</v>
      </c>
      <c r="Q480" s="6">
        <f>Table13[[#This Row],[Amount]]/Table13[[#This Row],[Quantity]]</f>
        <v>586.27272727272725</v>
      </c>
    </row>
    <row r="481" spans="1:17" x14ac:dyDescent="0.3">
      <c r="A481" t="s">
        <v>565</v>
      </c>
      <c r="B481">
        <v>6449</v>
      </c>
      <c r="C481">
        <v>2628</v>
      </c>
      <c r="D481">
        <v>11</v>
      </c>
      <c r="E481" t="s">
        <v>45</v>
      </c>
      <c r="F481" t="s">
        <v>109</v>
      </c>
      <c r="G481" t="s">
        <v>40</v>
      </c>
      <c r="H481" s="1">
        <v>45652</v>
      </c>
      <c r="I481" t="s">
        <v>567</v>
      </c>
      <c r="J481" t="s">
        <v>71</v>
      </c>
      <c r="K481" t="s">
        <v>72</v>
      </c>
      <c r="L481" s="2" t="s">
        <v>23</v>
      </c>
      <c r="M481" t="str">
        <f>TEXT(Table13[[#This Row],[Order Date]],"MMM")</f>
        <v>Dec</v>
      </c>
      <c r="N481">
        <f>YEAR(Table13[[#This Row],[Order Date]])</f>
        <v>2024</v>
      </c>
      <c r="O481" t="str">
        <f>"Q"&amp;ROUNDUP(MONTH(Table13[[#This Row],[Order Date]])/3,0)</f>
        <v>Q4</v>
      </c>
      <c r="P481" s="5">
        <f>Table13[[#This Row],[Profit]]/Table13[[#This Row],[Amount]]</f>
        <v>0.40750503954101414</v>
      </c>
      <c r="Q481" s="6">
        <f>Table13[[#This Row],[Amount]]/Table13[[#This Row],[Quantity]]</f>
        <v>586.27272727272725</v>
      </c>
    </row>
    <row r="482" spans="1:17" x14ac:dyDescent="0.3">
      <c r="A482" t="s">
        <v>568</v>
      </c>
      <c r="B482">
        <v>6255</v>
      </c>
      <c r="C482">
        <v>437</v>
      </c>
      <c r="D482">
        <v>18</v>
      </c>
      <c r="E482" t="s">
        <v>30</v>
      </c>
      <c r="F482" t="s">
        <v>57</v>
      </c>
      <c r="G482" t="s">
        <v>65</v>
      </c>
      <c r="H482" s="1">
        <v>44533</v>
      </c>
      <c r="I482" t="s">
        <v>569</v>
      </c>
      <c r="J482" t="s">
        <v>25</v>
      </c>
      <c r="K482" t="s">
        <v>68</v>
      </c>
      <c r="L482" s="2" t="s">
        <v>90</v>
      </c>
      <c r="M482" t="str">
        <f>TEXT(Table13[[#This Row],[Order Date]],"MMM")</f>
        <v>Dec</v>
      </c>
      <c r="N482">
        <f>YEAR(Table13[[#This Row],[Order Date]])</f>
        <v>2021</v>
      </c>
      <c r="O482" t="str">
        <f>"Q"&amp;ROUNDUP(MONTH(Table13[[#This Row],[Order Date]])/3,0)</f>
        <v>Q4</v>
      </c>
      <c r="P482" s="5">
        <f>Table13[[#This Row],[Profit]]/Table13[[#This Row],[Amount]]</f>
        <v>6.9864108713029574E-2</v>
      </c>
      <c r="Q482" s="6">
        <f>Table13[[#This Row],[Amount]]/Table13[[#This Row],[Quantity]]</f>
        <v>347.5</v>
      </c>
    </row>
    <row r="483" spans="1:17" x14ac:dyDescent="0.3">
      <c r="A483" t="s">
        <v>568</v>
      </c>
      <c r="B483">
        <v>2109</v>
      </c>
      <c r="C483">
        <v>681</v>
      </c>
      <c r="D483">
        <v>20</v>
      </c>
      <c r="E483" t="s">
        <v>13</v>
      </c>
      <c r="F483" t="s">
        <v>14</v>
      </c>
      <c r="G483" t="s">
        <v>15</v>
      </c>
      <c r="H483" s="1">
        <v>44533</v>
      </c>
      <c r="I483" t="s">
        <v>569</v>
      </c>
      <c r="J483" t="s">
        <v>25</v>
      </c>
      <c r="K483" t="s">
        <v>68</v>
      </c>
      <c r="L483" s="2" t="s">
        <v>90</v>
      </c>
      <c r="M483" t="str">
        <f>TEXT(Table13[[#This Row],[Order Date]],"MMM")</f>
        <v>Dec</v>
      </c>
      <c r="N483">
        <f>YEAR(Table13[[#This Row],[Order Date]])</f>
        <v>2021</v>
      </c>
      <c r="O483" t="str">
        <f>"Q"&amp;ROUNDUP(MONTH(Table13[[#This Row],[Order Date]])/3,0)</f>
        <v>Q4</v>
      </c>
      <c r="P483" s="5">
        <f>Table13[[#This Row],[Profit]]/Table13[[#This Row],[Amount]]</f>
        <v>0.3229018492176387</v>
      </c>
      <c r="Q483" s="6">
        <f>Table13[[#This Row],[Amount]]/Table13[[#This Row],[Quantity]]</f>
        <v>105.45</v>
      </c>
    </row>
    <row r="484" spans="1:17" x14ac:dyDescent="0.3">
      <c r="A484" t="s">
        <v>570</v>
      </c>
      <c r="B484">
        <v>6707</v>
      </c>
      <c r="C484">
        <v>1041</v>
      </c>
      <c r="D484">
        <v>20</v>
      </c>
      <c r="E484" t="s">
        <v>13</v>
      </c>
      <c r="F484" t="s">
        <v>82</v>
      </c>
      <c r="G484" t="s">
        <v>47</v>
      </c>
      <c r="H484" s="1">
        <v>44453</v>
      </c>
      <c r="I484" t="s">
        <v>571</v>
      </c>
      <c r="J484" t="s">
        <v>71</v>
      </c>
      <c r="K484" t="s">
        <v>86</v>
      </c>
      <c r="L484" s="2" t="s">
        <v>224</v>
      </c>
      <c r="M484" t="str">
        <f>TEXT(Table13[[#This Row],[Order Date]],"MMM")</f>
        <v>Sep</v>
      </c>
      <c r="N484">
        <f>YEAR(Table13[[#This Row],[Order Date]])</f>
        <v>2021</v>
      </c>
      <c r="O484" t="str">
        <f>"Q"&amp;ROUNDUP(MONTH(Table13[[#This Row],[Order Date]])/3,0)</f>
        <v>Q3</v>
      </c>
      <c r="P484" s="5">
        <f>Table13[[#This Row],[Profit]]/Table13[[#This Row],[Amount]]</f>
        <v>0.15521097360966155</v>
      </c>
      <c r="Q484" s="6">
        <f>Table13[[#This Row],[Amount]]/Table13[[#This Row],[Quantity]]</f>
        <v>335.35</v>
      </c>
    </row>
    <row r="485" spans="1:17" x14ac:dyDescent="0.3">
      <c r="A485" t="s">
        <v>572</v>
      </c>
      <c r="B485">
        <v>7633</v>
      </c>
      <c r="C485">
        <v>184</v>
      </c>
      <c r="D485">
        <v>13</v>
      </c>
      <c r="E485" t="s">
        <v>30</v>
      </c>
      <c r="F485" t="s">
        <v>31</v>
      </c>
      <c r="G485" t="s">
        <v>65</v>
      </c>
      <c r="H485" s="1">
        <v>44469</v>
      </c>
      <c r="I485" t="s">
        <v>573</v>
      </c>
      <c r="J485" t="s">
        <v>21</v>
      </c>
      <c r="K485" t="s">
        <v>63</v>
      </c>
      <c r="L485" s="2" t="s">
        <v>224</v>
      </c>
      <c r="M485" t="str">
        <f>TEXT(Table13[[#This Row],[Order Date]],"MMM")</f>
        <v>Sep</v>
      </c>
      <c r="N485">
        <f>YEAR(Table13[[#This Row],[Order Date]])</f>
        <v>2021</v>
      </c>
      <c r="O485" t="str">
        <f>"Q"&amp;ROUNDUP(MONTH(Table13[[#This Row],[Order Date]])/3,0)</f>
        <v>Q3</v>
      </c>
      <c r="P485" s="5">
        <f>Table13[[#This Row],[Profit]]/Table13[[#This Row],[Amount]]</f>
        <v>2.4105856150923623E-2</v>
      </c>
      <c r="Q485" s="6">
        <f>Table13[[#This Row],[Amount]]/Table13[[#This Row],[Quantity]]</f>
        <v>587.15384615384619</v>
      </c>
    </row>
    <row r="486" spans="1:17" x14ac:dyDescent="0.3">
      <c r="A486" t="s">
        <v>574</v>
      </c>
      <c r="B486">
        <v>975</v>
      </c>
      <c r="C486">
        <v>224</v>
      </c>
      <c r="D486">
        <v>18</v>
      </c>
      <c r="E486" t="s">
        <v>30</v>
      </c>
      <c r="F486" t="s">
        <v>31</v>
      </c>
      <c r="G486" t="s">
        <v>65</v>
      </c>
      <c r="H486" s="1">
        <v>44552</v>
      </c>
      <c r="I486" t="s">
        <v>575</v>
      </c>
      <c r="J486" t="s">
        <v>42</v>
      </c>
      <c r="K486" t="s">
        <v>75</v>
      </c>
      <c r="L486" s="2" t="s">
        <v>90</v>
      </c>
      <c r="M486" t="str">
        <f>TEXT(Table13[[#This Row],[Order Date]],"MMM")</f>
        <v>Dec</v>
      </c>
      <c r="N486">
        <f>YEAR(Table13[[#This Row],[Order Date]])</f>
        <v>2021</v>
      </c>
      <c r="O486" t="str">
        <f>"Q"&amp;ROUNDUP(MONTH(Table13[[#This Row],[Order Date]])/3,0)</f>
        <v>Q4</v>
      </c>
      <c r="P486" s="5">
        <f>Table13[[#This Row],[Profit]]/Table13[[#This Row],[Amount]]</f>
        <v>0.22974358974358974</v>
      </c>
      <c r="Q486" s="6">
        <f>Table13[[#This Row],[Amount]]/Table13[[#This Row],[Quantity]]</f>
        <v>54.166666666666664</v>
      </c>
    </row>
    <row r="487" spans="1:17" x14ac:dyDescent="0.3">
      <c r="A487" t="s">
        <v>574</v>
      </c>
      <c r="B487">
        <v>4492</v>
      </c>
      <c r="C487">
        <v>1450</v>
      </c>
      <c r="D487">
        <v>7</v>
      </c>
      <c r="E487" t="s">
        <v>45</v>
      </c>
      <c r="F487" t="s">
        <v>46</v>
      </c>
      <c r="G487" t="s">
        <v>40</v>
      </c>
      <c r="H487" s="1">
        <v>44552</v>
      </c>
      <c r="I487" t="s">
        <v>575</v>
      </c>
      <c r="J487" t="s">
        <v>42</v>
      </c>
      <c r="K487" t="s">
        <v>75</v>
      </c>
      <c r="L487" s="2" t="s">
        <v>90</v>
      </c>
      <c r="M487" t="str">
        <f>TEXT(Table13[[#This Row],[Order Date]],"MMM")</f>
        <v>Dec</v>
      </c>
      <c r="N487">
        <f>YEAR(Table13[[#This Row],[Order Date]])</f>
        <v>2021</v>
      </c>
      <c r="O487" t="str">
        <f>"Q"&amp;ROUNDUP(MONTH(Table13[[#This Row],[Order Date]])/3,0)</f>
        <v>Q4</v>
      </c>
      <c r="P487" s="5">
        <f>Table13[[#This Row],[Profit]]/Table13[[#This Row],[Amount]]</f>
        <v>0.32279608192341941</v>
      </c>
      <c r="Q487" s="6">
        <f>Table13[[#This Row],[Amount]]/Table13[[#This Row],[Quantity]]</f>
        <v>641.71428571428567</v>
      </c>
    </row>
    <row r="488" spans="1:17" x14ac:dyDescent="0.3">
      <c r="A488" t="s">
        <v>574</v>
      </c>
      <c r="B488">
        <v>7957</v>
      </c>
      <c r="C488">
        <v>2834</v>
      </c>
      <c r="D488">
        <v>12</v>
      </c>
      <c r="E488" t="s">
        <v>45</v>
      </c>
      <c r="F488" t="s">
        <v>49</v>
      </c>
      <c r="G488" t="s">
        <v>15</v>
      </c>
      <c r="H488" s="1">
        <v>44552</v>
      </c>
      <c r="I488" t="s">
        <v>575</v>
      </c>
      <c r="J488" t="s">
        <v>42</v>
      </c>
      <c r="K488" t="s">
        <v>75</v>
      </c>
      <c r="L488" s="2" t="s">
        <v>90</v>
      </c>
      <c r="M488" t="str">
        <f>TEXT(Table13[[#This Row],[Order Date]],"MMM")</f>
        <v>Dec</v>
      </c>
      <c r="N488">
        <f>YEAR(Table13[[#This Row],[Order Date]])</f>
        <v>2021</v>
      </c>
      <c r="O488" t="str">
        <f>"Q"&amp;ROUNDUP(MONTH(Table13[[#This Row],[Order Date]])/3,0)</f>
        <v>Q4</v>
      </c>
      <c r="P488" s="5">
        <f>Table13[[#This Row],[Profit]]/Table13[[#This Row],[Amount]]</f>
        <v>0.35616438356164382</v>
      </c>
      <c r="Q488" s="6">
        <f>Table13[[#This Row],[Amount]]/Table13[[#This Row],[Quantity]]</f>
        <v>663.08333333333337</v>
      </c>
    </row>
    <row r="489" spans="1:17" x14ac:dyDescent="0.3">
      <c r="A489" t="s">
        <v>576</v>
      </c>
      <c r="B489">
        <v>4906</v>
      </c>
      <c r="C489">
        <v>975</v>
      </c>
      <c r="D489">
        <v>7</v>
      </c>
      <c r="E489" t="s">
        <v>45</v>
      </c>
      <c r="F489" t="s">
        <v>46</v>
      </c>
      <c r="G489" t="s">
        <v>32</v>
      </c>
      <c r="H489" s="1">
        <v>44699</v>
      </c>
      <c r="I489" t="s">
        <v>577</v>
      </c>
      <c r="J489" t="s">
        <v>71</v>
      </c>
      <c r="K489" t="s">
        <v>138</v>
      </c>
      <c r="L489" s="2" t="s">
        <v>180</v>
      </c>
      <c r="M489" t="str">
        <f>TEXT(Table13[[#This Row],[Order Date]],"MMM")</f>
        <v>May</v>
      </c>
      <c r="N489">
        <f>YEAR(Table13[[#This Row],[Order Date]])</f>
        <v>2022</v>
      </c>
      <c r="O489" t="str">
        <f>"Q"&amp;ROUNDUP(MONTH(Table13[[#This Row],[Order Date]])/3,0)</f>
        <v>Q2</v>
      </c>
      <c r="P489" s="5">
        <f>Table13[[#This Row],[Profit]]/Table13[[#This Row],[Amount]]</f>
        <v>0.19873624133713819</v>
      </c>
      <c r="Q489" s="6">
        <f>Table13[[#This Row],[Amount]]/Table13[[#This Row],[Quantity]]</f>
        <v>700.85714285714289</v>
      </c>
    </row>
    <row r="490" spans="1:17" x14ac:dyDescent="0.3">
      <c r="A490" t="s">
        <v>578</v>
      </c>
      <c r="B490">
        <v>1379</v>
      </c>
      <c r="C490">
        <v>250</v>
      </c>
      <c r="D490">
        <v>3</v>
      </c>
      <c r="E490" t="s">
        <v>30</v>
      </c>
      <c r="F490" t="s">
        <v>31</v>
      </c>
      <c r="G490" t="s">
        <v>47</v>
      </c>
      <c r="H490" s="1">
        <v>44112</v>
      </c>
      <c r="I490" t="s">
        <v>579</v>
      </c>
      <c r="J490" t="s">
        <v>25</v>
      </c>
      <c r="K490" t="s">
        <v>26</v>
      </c>
      <c r="L490" s="2" t="s">
        <v>119</v>
      </c>
      <c r="M490" t="str">
        <f>TEXT(Table13[[#This Row],[Order Date]],"MMM")</f>
        <v>Oct</v>
      </c>
      <c r="N490">
        <f>YEAR(Table13[[#This Row],[Order Date]])</f>
        <v>2020</v>
      </c>
      <c r="O490" t="str">
        <f>"Q"&amp;ROUNDUP(MONTH(Table13[[#This Row],[Order Date]])/3,0)</f>
        <v>Q4</v>
      </c>
      <c r="P490" s="5">
        <f>Table13[[#This Row],[Profit]]/Table13[[#This Row],[Amount]]</f>
        <v>0.18129079042784627</v>
      </c>
      <c r="Q490" s="6">
        <f>Table13[[#This Row],[Amount]]/Table13[[#This Row],[Quantity]]</f>
        <v>459.66666666666669</v>
      </c>
    </row>
    <row r="491" spans="1:17" x14ac:dyDescent="0.3">
      <c r="A491" t="s">
        <v>578</v>
      </c>
      <c r="B491">
        <v>4244</v>
      </c>
      <c r="C491">
        <v>340</v>
      </c>
      <c r="D491">
        <v>10</v>
      </c>
      <c r="E491" t="s">
        <v>13</v>
      </c>
      <c r="F491" t="s">
        <v>39</v>
      </c>
      <c r="G491" t="s">
        <v>32</v>
      </c>
      <c r="H491" s="1">
        <v>44112</v>
      </c>
      <c r="I491" t="s">
        <v>579</v>
      </c>
      <c r="J491" t="s">
        <v>25</v>
      </c>
      <c r="K491" t="s">
        <v>26</v>
      </c>
      <c r="L491" s="2" t="s">
        <v>119</v>
      </c>
      <c r="M491" t="str">
        <f>TEXT(Table13[[#This Row],[Order Date]],"MMM")</f>
        <v>Oct</v>
      </c>
      <c r="N491">
        <f>YEAR(Table13[[#This Row],[Order Date]])</f>
        <v>2020</v>
      </c>
      <c r="O491" t="str">
        <f>"Q"&amp;ROUNDUP(MONTH(Table13[[#This Row],[Order Date]])/3,0)</f>
        <v>Q4</v>
      </c>
      <c r="P491" s="5">
        <f>Table13[[#This Row],[Profit]]/Table13[[#This Row],[Amount]]</f>
        <v>8.0113100848256361E-2</v>
      </c>
      <c r="Q491" s="6">
        <f>Table13[[#This Row],[Amount]]/Table13[[#This Row],[Quantity]]</f>
        <v>424.4</v>
      </c>
    </row>
    <row r="492" spans="1:17" x14ac:dyDescent="0.3">
      <c r="A492" t="s">
        <v>580</v>
      </c>
      <c r="B492">
        <v>5911</v>
      </c>
      <c r="C492">
        <v>2333</v>
      </c>
      <c r="D492">
        <v>14</v>
      </c>
      <c r="E492" t="s">
        <v>45</v>
      </c>
      <c r="F492" t="s">
        <v>109</v>
      </c>
      <c r="G492" t="s">
        <v>40</v>
      </c>
      <c r="H492" s="1">
        <v>44793</v>
      </c>
      <c r="I492" t="s">
        <v>581</v>
      </c>
      <c r="J492" t="s">
        <v>42</v>
      </c>
      <c r="K492" t="s">
        <v>75</v>
      </c>
      <c r="L492" s="2" t="s">
        <v>209</v>
      </c>
      <c r="M492" t="str">
        <f>TEXT(Table13[[#This Row],[Order Date]],"MMM")</f>
        <v>Aug</v>
      </c>
      <c r="N492">
        <f>YEAR(Table13[[#This Row],[Order Date]])</f>
        <v>2022</v>
      </c>
      <c r="O492" t="str">
        <f>"Q"&amp;ROUNDUP(MONTH(Table13[[#This Row],[Order Date]])/3,0)</f>
        <v>Q3</v>
      </c>
      <c r="P492" s="5">
        <f>Table13[[#This Row],[Profit]]/Table13[[#This Row],[Amount]]</f>
        <v>0.39468787007274575</v>
      </c>
      <c r="Q492" s="6">
        <f>Table13[[#This Row],[Amount]]/Table13[[#This Row],[Quantity]]</f>
        <v>422.21428571428572</v>
      </c>
    </row>
    <row r="493" spans="1:17" x14ac:dyDescent="0.3">
      <c r="A493" t="s">
        <v>580</v>
      </c>
      <c r="B493">
        <v>5911</v>
      </c>
      <c r="C493">
        <v>2333</v>
      </c>
      <c r="D493">
        <v>14</v>
      </c>
      <c r="E493" t="s">
        <v>45</v>
      </c>
      <c r="F493" t="s">
        <v>109</v>
      </c>
      <c r="G493" t="s">
        <v>40</v>
      </c>
      <c r="H493" s="1">
        <v>45621</v>
      </c>
      <c r="I493" t="s">
        <v>582</v>
      </c>
      <c r="J493" t="s">
        <v>42</v>
      </c>
      <c r="K493" t="s">
        <v>92</v>
      </c>
      <c r="L493" s="2" t="s">
        <v>255</v>
      </c>
      <c r="M493" t="str">
        <f>TEXT(Table13[[#This Row],[Order Date]],"MMM")</f>
        <v>Nov</v>
      </c>
      <c r="N493">
        <f>YEAR(Table13[[#This Row],[Order Date]])</f>
        <v>2024</v>
      </c>
      <c r="O493" t="str">
        <f>"Q"&amp;ROUNDUP(MONTH(Table13[[#This Row],[Order Date]])/3,0)</f>
        <v>Q4</v>
      </c>
      <c r="P493" s="5">
        <f>Table13[[#This Row],[Profit]]/Table13[[#This Row],[Amount]]</f>
        <v>0.39468787007274575</v>
      </c>
      <c r="Q493" s="6">
        <f>Table13[[#This Row],[Amount]]/Table13[[#This Row],[Quantity]]</f>
        <v>422.21428571428572</v>
      </c>
    </row>
    <row r="494" spans="1:17" x14ac:dyDescent="0.3">
      <c r="A494" t="s">
        <v>580</v>
      </c>
      <c r="B494">
        <v>1818</v>
      </c>
      <c r="C494">
        <v>738</v>
      </c>
      <c r="D494">
        <v>11</v>
      </c>
      <c r="E494" t="s">
        <v>30</v>
      </c>
      <c r="F494" t="s">
        <v>57</v>
      </c>
      <c r="G494" t="s">
        <v>40</v>
      </c>
      <c r="H494" s="1">
        <v>44793</v>
      </c>
      <c r="I494" t="s">
        <v>581</v>
      </c>
      <c r="J494" t="s">
        <v>42</v>
      </c>
      <c r="K494" t="s">
        <v>75</v>
      </c>
      <c r="L494" s="2" t="s">
        <v>209</v>
      </c>
      <c r="M494" t="str">
        <f>TEXT(Table13[[#This Row],[Order Date]],"MMM")</f>
        <v>Aug</v>
      </c>
      <c r="N494">
        <f>YEAR(Table13[[#This Row],[Order Date]])</f>
        <v>2022</v>
      </c>
      <c r="O494" t="str">
        <f>"Q"&amp;ROUNDUP(MONTH(Table13[[#This Row],[Order Date]])/3,0)</f>
        <v>Q3</v>
      </c>
      <c r="P494" s="5">
        <f>Table13[[#This Row],[Profit]]/Table13[[#This Row],[Amount]]</f>
        <v>0.40594059405940597</v>
      </c>
      <c r="Q494" s="6">
        <f>Table13[[#This Row],[Amount]]/Table13[[#This Row],[Quantity]]</f>
        <v>165.27272727272728</v>
      </c>
    </row>
    <row r="495" spans="1:17" x14ac:dyDescent="0.3">
      <c r="A495" t="s">
        <v>580</v>
      </c>
      <c r="B495">
        <v>1818</v>
      </c>
      <c r="C495">
        <v>738</v>
      </c>
      <c r="D495">
        <v>11</v>
      </c>
      <c r="E495" t="s">
        <v>30</v>
      </c>
      <c r="F495" t="s">
        <v>57</v>
      </c>
      <c r="G495" t="s">
        <v>40</v>
      </c>
      <c r="H495" s="1">
        <v>45621</v>
      </c>
      <c r="I495" t="s">
        <v>582</v>
      </c>
      <c r="J495" t="s">
        <v>42</v>
      </c>
      <c r="K495" t="s">
        <v>92</v>
      </c>
      <c r="L495" s="2" t="s">
        <v>255</v>
      </c>
      <c r="M495" t="str">
        <f>TEXT(Table13[[#This Row],[Order Date]],"MMM")</f>
        <v>Nov</v>
      </c>
      <c r="N495">
        <f>YEAR(Table13[[#This Row],[Order Date]])</f>
        <v>2024</v>
      </c>
      <c r="O495" t="str">
        <f>"Q"&amp;ROUNDUP(MONTH(Table13[[#This Row],[Order Date]])/3,0)</f>
        <v>Q4</v>
      </c>
      <c r="P495" s="5">
        <f>Table13[[#This Row],[Profit]]/Table13[[#This Row],[Amount]]</f>
        <v>0.40594059405940597</v>
      </c>
      <c r="Q495" s="6">
        <f>Table13[[#This Row],[Amount]]/Table13[[#This Row],[Quantity]]</f>
        <v>165.27272727272728</v>
      </c>
    </row>
    <row r="496" spans="1:17" x14ac:dyDescent="0.3">
      <c r="A496" t="s">
        <v>583</v>
      </c>
      <c r="B496">
        <v>2140</v>
      </c>
      <c r="C496">
        <v>970</v>
      </c>
      <c r="D496">
        <v>4</v>
      </c>
      <c r="E496" t="s">
        <v>30</v>
      </c>
      <c r="F496" t="s">
        <v>64</v>
      </c>
      <c r="G496" t="s">
        <v>47</v>
      </c>
      <c r="H496" s="1">
        <v>44104</v>
      </c>
      <c r="I496" t="s">
        <v>584</v>
      </c>
      <c r="J496" t="s">
        <v>42</v>
      </c>
      <c r="K496" t="s">
        <v>75</v>
      </c>
      <c r="L496" s="2" t="s">
        <v>389</v>
      </c>
      <c r="M496" t="str">
        <f>TEXT(Table13[[#This Row],[Order Date]],"MMM")</f>
        <v>Sep</v>
      </c>
      <c r="N496">
        <f>YEAR(Table13[[#This Row],[Order Date]])</f>
        <v>2020</v>
      </c>
      <c r="O496" t="str">
        <f>"Q"&amp;ROUNDUP(MONTH(Table13[[#This Row],[Order Date]])/3,0)</f>
        <v>Q3</v>
      </c>
      <c r="P496" s="5">
        <f>Table13[[#This Row],[Profit]]/Table13[[#This Row],[Amount]]</f>
        <v>0.45327102803738317</v>
      </c>
      <c r="Q496" s="6">
        <f>Table13[[#This Row],[Amount]]/Table13[[#This Row],[Quantity]]</f>
        <v>535</v>
      </c>
    </row>
    <row r="497" spans="1:17" x14ac:dyDescent="0.3">
      <c r="A497" t="s">
        <v>583</v>
      </c>
      <c r="B497">
        <v>2140</v>
      </c>
      <c r="C497">
        <v>970</v>
      </c>
      <c r="D497">
        <v>4</v>
      </c>
      <c r="E497" t="s">
        <v>30</v>
      </c>
      <c r="F497" t="s">
        <v>64</v>
      </c>
      <c r="G497" t="s">
        <v>47</v>
      </c>
      <c r="H497" s="1">
        <v>45708</v>
      </c>
      <c r="I497" t="s">
        <v>585</v>
      </c>
      <c r="J497" t="s">
        <v>17</v>
      </c>
      <c r="K497" t="s">
        <v>34</v>
      </c>
      <c r="L497" s="2" t="s">
        <v>73</v>
      </c>
      <c r="M497" t="str">
        <f>TEXT(Table13[[#This Row],[Order Date]],"MMM")</f>
        <v>Feb</v>
      </c>
      <c r="N497">
        <f>YEAR(Table13[[#This Row],[Order Date]])</f>
        <v>2025</v>
      </c>
      <c r="O497" t="str">
        <f>"Q"&amp;ROUNDUP(MONTH(Table13[[#This Row],[Order Date]])/3,0)</f>
        <v>Q1</v>
      </c>
      <c r="P497" s="5">
        <f>Table13[[#This Row],[Profit]]/Table13[[#This Row],[Amount]]</f>
        <v>0.45327102803738317</v>
      </c>
      <c r="Q497" s="6">
        <f>Table13[[#This Row],[Amount]]/Table13[[#This Row],[Quantity]]</f>
        <v>535</v>
      </c>
    </row>
    <row r="498" spans="1:17" x14ac:dyDescent="0.3">
      <c r="A498" t="s">
        <v>583</v>
      </c>
      <c r="B498">
        <v>2140</v>
      </c>
      <c r="C498">
        <v>970</v>
      </c>
      <c r="D498">
        <v>4</v>
      </c>
      <c r="E498" t="s">
        <v>30</v>
      </c>
      <c r="F498" t="s">
        <v>64</v>
      </c>
      <c r="G498" t="s">
        <v>47</v>
      </c>
      <c r="H498" s="1">
        <v>44640</v>
      </c>
      <c r="I498" t="s">
        <v>586</v>
      </c>
      <c r="J498" t="s">
        <v>42</v>
      </c>
      <c r="K498" t="s">
        <v>92</v>
      </c>
      <c r="L498" s="2" t="s">
        <v>134</v>
      </c>
      <c r="M498" t="str">
        <f>TEXT(Table13[[#This Row],[Order Date]],"MMM")</f>
        <v>Mar</v>
      </c>
      <c r="N498">
        <f>YEAR(Table13[[#This Row],[Order Date]])</f>
        <v>2022</v>
      </c>
      <c r="O498" t="str">
        <f>"Q"&amp;ROUNDUP(MONTH(Table13[[#This Row],[Order Date]])/3,0)</f>
        <v>Q1</v>
      </c>
      <c r="P498" s="5">
        <f>Table13[[#This Row],[Profit]]/Table13[[#This Row],[Amount]]</f>
        <v>0.45327102803738317</v>
      </c>
      <c r="Q498" s="6">
        <f>Table13[[#This Row],[Amount]]/Table13[[#This Row],[Quantity]]</f>
        <v>535</v>
      </c>
    </row>
    <row r="499" spans="1:17" x14ac:dyDescent="0.3">
      <c r="A499" t="s">
        <v>583</v>
      </c>
      <c r="B499">
        <v>2670</v>
      </c>
      <c r="C499">
        <v>1026</v>
      </c>
      <c r="D499">
        <v>1</v>
      </c>
      <c r="E499" t="s">
        <v>13</v>
      </c>
      <c r="F499" t="s">
        <v>39</v>
      </c>
      <c r="G499" t="s">
        <v>32</v>
      </c>
      <c r="H499" s="1">
        <v>44104</v>
      </c>
      <c r="I499" t="s">
        <v>584</v>
      </c>
      <c r="J499" t="s">
        <v>42</v>
      </c>
      <c r="K499" t="s">
        <v>75</v>
      </c>
      <c r="L499" s="2" t="s">
        <v>389</v>
      </c>
      <c r="M499" t="str">
        <f>TEXT(Table13[[#This Row],[Order Date]],"MMM")</f>
        <v>Sep</v>
      </c>
      <c r="N499">
        <f>YEAR(Table13[[#This Row],[Order Date]])</f>
        <v>2020</v>
      </c>
      <c r="O499" t="str">
        <f>"Q"&amp;ROUNDUP(MONTH(Table13[[#This Row],[Order Date]])/3,0)</f>
        <v>Q3</v>
      </c>
      <c r="P499" s="5">
        <f>Table13[[#This Row],[Profit]]/Table13[[#This Row],[Amount]]</f>
        <v>0.38426966292134829</v>
      </c>
      <c r="Q499" s="6">
        <f>Table13[[#This Row],[Amount]]/Table13[[#This Row],[Quantity]]</f>
        <v>2670</v>
      </c>
    </row>
    <row r="500" spans="1:17" x14ac:dyDescent="0.3">
      <c r="A500" t="s">
        <v>583</v>
      </c>
      <c r="B500">
        <v>2670</v>
      </c>
      <c r="C500">
        <v>1026</v>
      </c>
      <c r="D500">
        <v>1</v>
      </c>
      <c r="E500" t="s">
        <v>13</v>
      </c>
      <c r="F500" t="s">
        <v>39</v>
      </c>
      <c r="G500" t="s">
        <v>32</v>
      </c>
      <c r="H500" s="1">
        <v>45708</v>
      </c>
      <c r="I500" t="s">
        <v>585</v>
      </c>
      <c r="J500" t="s">
        <v>17</v>
      </c>
      <c r="K500" t="s">
        <v>34</v>
      </c>
      <c r="L500" s="2" t="s">
        <v>73</v>
      </c>
      <c r="M500" t="str">
        <f>TEXT(Table13[[#This Row],[Order Date]],"MMM")</f>
        <v>Feb</v>
      </c>
      <c r="N500">
        <f>YEAR(Table13[[#This Row],[Order Date]])</f>
        <v>2025</v>
      </c>
      <c r="O500" t="str">
        <f>"Q"&amp;ROUNDUP(MONTH(Table13[[#This Row],[Order Date]])/3,0)</f>
        <v>Q1</v>
      </c>
      <c r="P500" s="5">
        <f>Table13[[#This Row],[Profit]]/Table13[[#This Row],[Amount]]</f>
        <v>0.38426966292134829</v>
      </c>
      <c r="Q500" s="6">
        <f>Table13[[#This Row],[Amount]]/Table13[[#This Row],[Quantity]]</f>
        <v>2670</v>
      </c>
    </row>
    <row r="501" spans="1:17" x14ac:dyDescent="0.3">
      <c r="A501" t="s">
        <v>583</v>
      </c>
      <c r="B501">
        <v>2670</v>
      </c>
      <c r="C501">
        <v>1026</v>
      </c>
      <c r="D501">
        <v>1</v>
      </c>
      <c r="E501" t="s">
        <v>13</v>
      </c>
      <c r="F501" t="s">
        <v>39</v>
      </c>
      <c r="G501" t="s">
        <v>32</v>
      </c>
      <c r="H501" s="1">
        <v>44640</v>
      </c>
      <c r="I501" t="s">
        <v>586</v>
      </c>
      <c r="J501" t="s">
        <v>42</v>
      </c>
      <c r="K501" t="s">
        <v>92</v>
      </c>
      <c r="L501" s="2" t="s">
        <v>134</v>
      </c>
      <c r="M501" t="str">
        <f>TEXT(Table13[[#This Row],[Order Date]],"MMM")</f>
        <v>Mar</v>
      </c>
      <c r="N501">
        <f>YEAR(Table13[[#This Row],[Order Date]])</f>
        <v>2022</v>
      </c>
      <c r="O501" t="str">
        <f>"Q"&amp;ROUNDUP(MONTH(Table13[[#This Row],[Order Date]])/3,0)</f>
        <v>Q1</v>
      </c>
      <c r="P501" s="5">
        <f>Table13[[#This Row],[Profit]]/Table13[[#This Row],[Amount]]</f>
        <v>0.38426966292134829</v>
      </c>
      <c r="Q501" s="6">
        <f>Table13[[#This Row],[Amount]]/Table13[[#This Row],[Quantity]]</f>
        <v>2670</v>
      </c>
    </row>
    <row r="502" spans="1:17" x14ac:dyDescent="0.3">
      <c r="A502" t="s">
        <v>587</v>
      </c>
      <c r="B502">
        <v>1108</v>
      </c>
      <c r="C502">
        <v>167</v>
      </c>
      <c r="D502">
        <v>18</v>
      </c>
      <c r="E502" t="s">
        <v>13</v>
      </c>
      <c r="F502" t="s">
        <v>39</v>
      </c>
      <c r="G502" t="s">
        <v>32</v>
      </c>
      <c r="H502" s="1">
        <v>45723</v>
      </c>
      <c r="I502" t="s">
        <v>588</v>
      </c>
      <c r="J502" t="s">
        <v>21</v>
      </c>
      <c r="K502" t="s">
        <v>63</v>
      </c>
      <c r="L502" s="2" t="s">
        <v>157</v>
      </c>
      <c r="M502" t="str">
        <f>TEXT(Table13[[#This Row],[Order Date]],"MMM")</f>
        <v>Mar</v>
      </c>
      <c r="N502">
        <f>YEAR(Table13[[#This Row],[Order Date]])</f>
        <v>2025</v>
      </c>
      <c r="O502" t="str">
        <f>"Q"&amp;ROUNDUP(MONTH(Table13[[#This Row],[Order Date]])/3,0)</f>
        <v>Q1</v>
      </c>
      <c r="P502" s="5">
        <f>Table13[[#This Row],[Profit]]/Table13[[#This Row],[Amount]]</f>
        <v>0.15072202166064982</v>
      </c>
      <c r="Q502" s="6">
        <f>Table13[[#This Row],[Amount]]/Table13[[#This Row],[Quantity]]</f>
        <v>61.555555555555557</v>
      </c>
    </row>
    <row r="503" spans="1:17" x14ac:dyDescent="0.3">
      <c r="A503" t="s">
        <v>587</v>
      </c>
      <c r="B503">
        <v>9776</v>
      </c>
      <c r="C503">
        <v>3750</v>
      </c>
      <c r="D503">
        <v>9</v>
      </c>
      <c r="E503" t="s">
        <v>30</v>
      </c>
      <c r="F503" t="s">
        <v>78</v>
      </c>
      <c r="G503" t="s">
        <v>15</v>
      </c>
      <c r="H503" s="1">
        <v>45723</v>
      </c>
      <c r="I503" t="s">
        <v>588</v>
      </c>
      <c r="J503" t="s">
        <v>21</v>
      </c>
      <c r="K503" t="s">
        <v>63</v>
      </c>
      <c r="L503" s="2" t="s">
        <v>157</v>
      </c>
      <c r="M503" t="str">
        <f>TEXT(Table13[[#This Row],[Order Date]],"MMM")</f>
        <v>Mar</v>
      </c>
      <c r="N503">
        <f>YEAR(Table13[[#This Row],[Order Date]])</f>
        <v>2025</v>
      </c>
      <c r="O503" t="str">
        <f>"Q"&amp;ROUNDUP(MONTH(Table13[[#This Row],[Order Date]])/3,0)</f>
        <v>Q1</v>
      </c>
      <c r="P503" s="5">
        <f>Table13[[#This Row],[Profit]]/Table13[[#This Row],[Amount]]</f>
        <v>0.38359247135842883</v>
      </c>
      <c r="Q503" s="6">
        <f>Table13[[#This Row],[Amount]]/Table13[[#This Row],[Quantity]]</f>
        <v>1086.2222222222222</v>
      </c>
    </row>
    <row r="504" spans="1:17" x14ac:dyDescent="0.3">
      <c r="A504" t="s">
        <v>587</v>
      </c>
      <c r="B504">
        <v>535</v>
      </c>
      <c r="C504">
        <v>72</v>
      </c>
      <c r="D504">
        <v>6</v>
      </c>
      <c r="E504" t="s">
        <v>45</v>
      </c>
      <c r="F504" t="s">
        <v>109</v>
      </c>
      <c r="G504" t="s">
        <v>65</v>
      </c>
      <c r="H504" s="1">
        <v>45723</v>
      </c>
      <c r="I504" t="s">
        <v>588</v>
      </c>
      <c r="J504" t="s">
        <v>21</v>
      </c>
      <c r="K504" t="s">
        <v>63</v>
      </c>
      <c r="L504" s="2" t="s">
        <v>157</v>
      </c>
      <c r="M504" t="str">
        <f>TEXT(Table13[[#This Row],[Order Date]],"MMM")</f>
        <v>Mar</v>
      </c>
      <c r="N504">
        <f>YEAR(Table13[[#This Row],[Order Date]])</f>
        <v>2025</v>
      </c>
      <c r="O504" t="str">
        <f>"Q"&amp;ROUNDUP(MONTH(Table13[[#This Row],[Order Date]])/3,0)</f>
        <v>Q1</v>
      </c>
      <c r="P504" s="5">
        <f>Table13[[#This Row],[Profit]]/Table13[[#This Row],[Amount]]</f>
        <v>0.13457943925233645</v>
      </c>
      <c r="Q504" s="6">
        <f>Table13[[#This Row],[Amount]]/Table13[[#This Row],[Quantity]]</f>
        <v>89.166666666666671</v>
      </c>
    </row>
    <row r="505" spans="1:17" x14ac:dyDescent="0.3">
      <c r="A505" t="s">
        <v>589</v>
      </c>
      <c r="B505">
        <v>7564</v>
      </c>
      <c r="C505">
        <v>3463</v>
      </c>
      <c r="D505">
        <v>5</v>
      </c>
      <c r="E505" t="s">
        <v>30</v>
      </c>
      <c r="F505" t="s">
        <v>64</v>
      </c>
      <c r="G505" t="s">
        <v>47</v>
      </c>
      <c r="H505" s="1">
        <v>45459</v>
      </c>
      <c r="I505" t="s">
        <v>590</v>
      </c>
      <c r="J505" t="s">
        <v>17</v>
      </c>
      <c r="K505" t="s">
        <v>150</v>
      </c>
      <c r="L505" s="2" t="s">
        <v>262</v>
      </c>
      <c r="M505" t="str">
        <f>TEXT(Table13[[#This Row],[Order Date]],"MMM")</f>
        <v>Jun</v>
      </c>
      <c r="N505">
        <f>YEAR(Table13[[#This Row],[Order Date]])</f>
        <v>2024</v>
      </c>
      <c r="O505" t="str">
        <f>"Q"&amp;ROUNDUP(MONTH(Table13[[#This Row],[Order Date]])/3,0)</f>
        <v>Q2</v>
      </c>
      <c r="P505" s="5">
        <f>Table13[[#This Row],[Profit]]/Table13[[#This Row],[Amount]]</f>
        <v>0.45782654680063456</v>
      </c>
      <c r="Q505" s="6">
        <f>Table13[[#This Row],[Amount]]/Table13[[#This Row],[Quantity]]</f>
        <v>1512.8</v>
      </c>
    </row>
    <row r="506" spans="1:17" x14ac:dyDescent="0.3">
      <c r="A506" t="s">
        <v>589</v>
      </c>
      <c r="B506">
        <v>7564</v>
      </c>
      <c r="C506">
        <v>3463</v>
      </c>
      <c r="D506">
        <v>5</v>
      </c>
      <c r="E506" t="s">
        <v>30</v>
      </c>
      <c r="F506" t="s">
        <v>64</v>
      </c>
      <c r="G506" t="s">
        <v>47</v>
      </c>
      <c r="H506" s="1">
        <v>44156</v>
      </c>
      <c r="I506" t="s">
        <v>591</v>
      </c>
      <c r="J506" t="s">
        <v>21</v>
      </c>
      <c r="K506" t="s">
        <v>172</v>
      </c>
      <c r="L506" s="2" t="s">
        <v>80</v>
      </c>
      <c r="M506" t="str">
        <f>TEXT(Table13[[#This Row],[Order Date]],"MMM")</f>
        <v>Nov</v>
      </c>
      <c r="N506">
        <f>YEAR(Table13[[#This Row],[Order Date]])</f>
        <v>2020</v>
      </c>
      <c r="O506" t="str">
        <f>"Q"&amp;ROUNDUP(MONTH(Table13[[#This Row],[Order Date]])/3,0)</f>
        <v>Q4</v>
      </c>
      <c r="P506" s="5">
        <f>Table13[[#This Row],[Profit]]/Table13[[#This Row],[Amount]]</f>
        <v>0.45782654680063456</v>
      </c>
      <c r="Q506" s="6">
        <f>Table13[[#This Row],[Amount]]/Table13[[#This Row],[Quantity]]</f>
        <v>1512.8</v>
      </c>
    </row>
    <row r="507" spans="1:17" x14ac:dyDescent="0.3">
      <c r="A507" t="s">
        <v>589</v>
      </c>
      <c r="B507">
        <v>7564</v>
      </c>
      <c r="C507">
        <v>3463</v>
      </c>
      <c r="D507">
        <v>5</v>
      </c>
      <c r="E507" t="s">
        <v>30</v>
      </c>
      <c r="F507" t="s">
        <v>64</v>
      </c>
      <c r="G507" t="s">
        <v>47</v>
      </c>
      <c r="H507" s="1">
        <v>45566</v>
      </c>
      <c r="I507" t="s">
        <v>592</v>
      </c>
      <c r="J507" t="s">
        <v>17</v>
      </c>
      <c r="K507" t="s">
        <v>18</v>
      </c>
      <c r="L507" s="2" t="s">
        <v>360</v>
      </c>
      <c r="M507" t="str">
        <f>TEXT(Table13[[#This Row],[Order Date]],"MMM")</f>
        <v>Oct</v>
      </c>
      <c r="N507">
        <f>YEAR(Table13[[#This Row],[Order Date]])</f>
        <v>2024</v>
      </c>
      <c r="O507" t="str">
        <f>"Q"&amp;ROUNDUP(MONTH(Table13[[#This Row],[Order Date]])/3,0)</f>
        <v>Q4</v>
      </c>
      <c r="P507" s="5">
        <f>Table13[[#This Row],[Profit]]/Table13[[#This Row],[Amount]]</f>
        <v>0.45782654680063456</v>
      </c>
      <c r="Q507" s="6">
        <f>Table13[[#This Row],[Amount]]/Table13[[#This Row],[Quantity]]</f>
        <v>1512.8</v>
      </c>
    </row>
    <row r="508" spans="1:17" x14ac:dyDescent="0.3">
      <c r="A508" t="s">
        <v>589</v>
      </c>
      <c r="B508">
        <v>7564</v>
      </c>
      <c r="C508">
        <v>3463</v>
      </c>
      <c r="D508">
        <v>5</v>
      </c>
      <c r="E508" t="s">
        <v>30</v>
      </c>
      <c r="F508" t="s">
        <v>64</v>
      </c>
      <c r="G508" t="s">
        <v>47</v>
      </c>
      <c r="H508" s="1">
        <v>45474</v>
      </c>
      <c r="I508" t="s">
        <v>593</v>
      </c>
      <c r="J508" t="s">
        <v>71</v>
      </c>
      <c r="K508" t="s">
        <v>138</v>
      </c>
      <c r="L508" s="2" t="s">
        <v>215</v>
      </c>
      <c r="M508" t="str">
        <f>TEXT(Table13[[#This Row],[Order Date]],"MMM")</f>
        <v>Jul</v>
      </c>
      <c r="N508">
        <f>YEAR(Table13[[#This Row],[Order Date]])</f>
        <v>2024</v>
      </c>
      <c r="O508" t="str">
        <f>"Q"&amp;ROUNDUP(MONTH(Table13[[#This Row],[Order Date]])/3,0)</f>
        <v>Q3</v>
      </c>
      <c r="P508" s="5">
        <f>Table13[[#This Row],[Profit]]/Table13[[#This Row],[Amount]]</f>
        <v>0.45782654680063456</v>
      </c>
      <c r="Q508" s="6">
        <f>Table13[[#This Row],[Amount]]/Table13[[#This Row],[Quantity]]</f>
        <v>1512.8</v>
      </c>
    </row>
    <row r="509" spans="1:17" x14ac:dyDescent="0.3">
      <c r="A509" t="s">
        <v>589</v>
      </c>
      <c r="B509">
        <v>3409</v>
      </c>
      <c r="C509">
        <v>1605</v>
      </c>
      <c r="D509">
        <v>20</v>
      </c>
      <c r="E509" t="s">
        <v>13</v>
      </c>
      <c r="F509" t="s">
        <v>14</v>
      </c>
      <c r="G509" t="s">
        <v>15</v>
      </c>
      <c r="H509" s="1">
        <v>45459</v>
      </c>
      <c r="I509" t="s">
        <v>590</v>
      </c>
      <c r="J509" t="s">
        <v>17</v>
      </c>
      <c r="K509" t="s">
        <v>150</v>
      </c>
      <c r="L509" s="2" t="s">
        <v>262</v>
      </c>
      <c r="M509" t="str">
        <f>TEXT(Table13[[#This Row],[Order Date]],"MMM")</f>
        <v>Jun</v>
      </c>
      <c r="N509">
        <f>YEAR(Table13[[#This Row],[Order Date]])</f>
        <v>2024</v>
      </c>
      <c r="O509" t="str">
        <f>"Q"&amp;ROUNDUP(MONTH(Table13[[#This Row],[Order Date]])/3,0)</f>
        <v>Q2</v>
      </c>
      <c r="P509" s="5">
        <f>Table13[[#This Row],[Profit]]/Table13[[#This Row],[Amount]]</f>
        <v>0.47081255500146668</v>
      </c>
      <c r="Q509" s="6">
        <f>Table13[[#This Row],[Amount]]/Table13[[#This Row],[Quantity]]</f>
        <v>170.45</v>
      </c>
    </row>
    <row r="510" spans="1:17" x14ac:dyDescent="0.3">
      <c r="A510" t="s">
        <v>589</v>
      </c>
      <c r="B510">
        <v>3409</v>
      </c>
      <c r="C510">
        <v>1605</v>
      </c>
      <c r="D510">
        <v>20</v>
      </c>
      <c r="E510" t="s">
        <v>13</v>
      </c>
      <c r="F510" t="s">
        <v>14</v>
      </c>
      <c r="G510" t="s">
        <v>15</v>
      </c>
      <c r="H510" s="1">
        <v>44156</v>
      </c>
      <c r="I510" t="s">
        <v>591</v>
      </c>
      <c r="J510" t="s">
        <v>21</v>
      </c>
      <c r="K510" t="s">
        <v>172</v>
      </c>
      <c r="L510" s="2" t="s">
        <v>80</v>
      </c>
      <c r="M510" t="str">
        <f>TEXT(Table13[[#This Row],[Order Date]],"MMM")</f>
        <v>Nov</v>
      </c>
      <c r="N510">
        <f>YEAR(Table13[[#This Row],[Order Date]])</f>
        <v>2020</v>
      </c>
      <c r="O510" t="str">
        <f>"Q"&amp;ROUNDUP(MONTH(Table13[[#This Row],[Order Date]])/3,0)</f>
        <v>Q4</v>
      </c>
      <c r="P510" s="5">
        <f>Table13[[#This Row],[Profit]]/Table13[[#This Row],[Amount]]</f>
        <v>0.47081255500146668</v>
      </c>
      <c r="Q510" s="6">
        <f>Table13[[#This Row],[Amount]]/Table13[[#This Row],[Quantity]]</f>
        <v>170.45</v>
      </c>
    </row>
    <row r="511" spans="1:17" x14ac:dyDescent="0.3">
      <c r="A511" t="s">
        <v>589</v>
      </c>
      <c r="B511">
        <v>3409</v>
      </c>
      <c r="C511">
        <v>1605</v>
      </c>
      <c r="D511">
        <v>20</v>
      </c>
      <c r="E511" t="s">
        <v>13</v>
      </c>
      <c r="F511" t="s">
        <v>14</v>
      </c>
      <c r="G511" t="s">
        <v>15</v>
      </c>
      <c r="H511" s="1">
        <v>45566</v>
      </c>
      <c r="I511" t="s">
        <v>592</v>
      </c>
      <c r="J511" t="s">
        <v>17</v>
      </c>
      <c r="K511" t="s">
        <v>18</v>
      </c>
      <c r="L511" s="2" t="s">
        <v>360</v>
      </c>
      <c r="M511" t="str">
        <f>TEXT(Table13[[#This Row],[Order Date]],"MMM")</f>
        <v>Oct</v>
      </c>
      <c r="N511">
        <f>YEAR(Table13[[#This Row],[Order Date]])</f>
        <v>2024</v>
      </c>
      <c r="O511" t="str">
        <f>"Q"&amp;ROUNDUP(MONTH(Table13[[#This Row],[Order Date]])/3,0)</f>
        <v>Q4</v>
      </c>
      <c r="P511" s="5">
        <f>Table13[[#This Row],[Profit]]/Table13[[#This Row],[Amount]]</f>
        <v>0.47081255500146668</v>
      </c>
      <c r="Q511" s="6">
        <f>Table13[[#This Row],[Amount]]/Table13[[#This Row],[Quantity]]</f>
        <v>170.45</v>
      </c>
    </row>
    <row r="512" spans="1:17" x14ac:dyDescent="0.3">
      <c r="A512" t="s">
        <v>589</v>
      </c>
      <c r="B512">
        <v>3409</v>
      </c>
      <c r="C512">
        <v>1605</v>
      </c>
      <c r="D512">
        <v>20</v>
      </c>
      <c r="E512" t="s">
        <v>13</v>
      </c>
      <c r="F512" t="s">
        <v>14</v>
      </c>
      <c r="G512" t="s">
        <v>15</v>
      </c>
      <c r="H512" s="1">
        <v>45474</v>
      </c>
      <c r="I512" t="s">
        <v>593</v>
      </c>
      <c r="J512" t="s">
        <v>71</v>
      </c>
      <c r="K512" t="s">
        <v>138</v>
      </c>
      <c r="L512" s="2" t="s">
        <v>215</v>
      </c>
      <c r="M512" t="str">
        <f>TEXT(Table13[[#This Row],[Order Date]],"MMM")</f>
        <v>Jul</v>
      </c>
      <c r="N512">
        <f>YEAR(Table13[[#This Row],[Order Date]])</f>
        <v>2024</v>
      </c>
      <c r="O512" t="str">
        <f>"Q"&amp;ROUNDUP(MONTH(Table13[[#This Row],[Order Date]])/3,0)</f>
        <v>Q3</v>
      </c>
      <c r="P512" s="5">
        <f>Table13[[#This Row],[Profit]]/Table13[[#This Row],[Amount]]</f>
        <v>0.47081255500146668</v>
      </c>
      <c r="Q512" s="6">
        <f>Table13[[#This Row],[Amount]]/Table13[[#This Row],[Quantity]]</f>
        <v>170.45</v>
      </c>
    </row>
    <row r="513" spans="1:17" x14ac:dyDescent="0.3">
      <c r="A513" t="s">
        <v>594</v>
      </c>
      <c r="B513">
        <v>9751</v>
      </c>
      <c r="C513">
        <v>2459</v>
      </c>
      <c r="D513">
        <v>13</v>
      </c>
      <c r="E513" t="s">
        <v>30</v>
      </c>
      <c r="F513" t="s">
        <v>31</v>
      </c>
      <c r="G513" t="s">
        <v>65</v>
      </c>
      <c r="H513" s="1">
        <v>44158</v>
      </c>
      <c r="I513" t="s">
        <v>595</v>
      </c>
      <c r="J513" t="s">
        <v>25</v>
      </c>
      <c r="K513" t="s">
        <v>26</v>
      </c>
      <c r="L513" s="2" t="s">
        <v>80</v>
      </c>
      <c r="M513" t="str">
        <f>TEXT(Table13[[#This Row],[Order Date]],"MMM")</f>
        <v>Nov</v>
      </c>
      <c r="N513">
        <f>YEAR(Table13[[#This Row],[Order Date]])</f>
        <v>2020</v>
      </c>
      <c r="O513" t="str">
        <f>"Q"&amp;ROUNDUP(MONTH(Table13[[#This Row],[Order Date]])/3,0)</f>
        <v>Q4</v>
      </c>
      <c r="P513" s="5">
        <f>Table13[[#This Row],[Profit]]/Table13[[#This Row],[Amount]]</f>
        <v>0.25217926366526511</v>
      </c>
      <c r="Q513" s="6">
        <f>Table13[[#This Row],[Amount]]/Table13[[#This Row],[Quantity]]</f>
        <v>750.07692307692309</v>
      </c>
    </row>
    <row r="514" spans="1:17" x14ac:dyDescent="0.3">
      <c r="A514" t="s">
        <v>596</v>
      </c>
      <c r="B514">
        <v>6385</v>
      </c>
      <c r="C514">
        <v>2656</v>
      </c>
      <c r="D514">
        <v>11</v>
      </c>
      <c r="E514" t="s">
        <v>13</v>
      </c>
      <c r="F514" t="s">
        <v>28</v>
      </c>
      <c r="G514" t="s">
        <v>47</v>
      </c>
      <c r="H514" s="1">
        <v>45003</v>
      </c>
      <c r="I514" t="s">
        <v>597</v>
      </c>
      <c r="J514" t="s">
        <v>17</v>
      </c>
      <c r="K514" t="s">
        <v>34</v>
      </c>
      <c r="L514" s="2" t="s">
        <v>245</v>
      </c>
      <c r="M514" t="str">
        <f>TEXT(Table13[[#This Row],[Order Date]],"MMM")</f>
        <v>Mar</v>
      </c>
      <c r="N514">
        <f>YEAR(Table13[[#This Row],[Order Date]])</f>
        <v>2023</v>
      </c>
      <c r="O514" t="str">
        <f>"Q"&amp;ROUNDUP(MONTH(Table13[[#This Row],[Order Date]])/3,0)</f>
        <v>Q1</v>
      </c>
      <c r="P514" s="5">
        <f>Table13[[#This Row],[Profit]]/Table13[[#This Row],[Amount]]</f>
        <v>0.4159749412685983</v>
      </c>
      <c r="Q514" s="6">
        <f>Table13[[#This Row],[Amount]]/Table13[[#This Row],[Quantity]]</f>
        <v>580.4545454545455</v>
      </c>
    </row>
    <row r="515" spans="1:17" x14ac:dyDescent="0.3">
      <c r="A515" t="s">
        <v>596</v>
      </c>
      <c r="B515">
        <v>6385</v>
      </c>
      <c r="C515">
        <v>2656</v>
      </c>
      <c r="D515">
        <v>11</v>
      </c>
      <c r="E515" t="s">
        <v>13</v>
      </c>
      <c r="F515" t="s">
        <v>28</v>
      </c>
      <c r="G515" t="s">
        <v>47</v>
      </c>
      <c r="H515" s="1">
        <v>44853</v>
      </c>
      <c r="I515" t="s">
        <v>598</v>
      </c>
      <c r="J515" t="s">
        <v>17</v>
      </c>
      <c r="K515" t="s">
        <v>150</v>
      </c>
      <c r="L515" s="2" t="s">
        <v>96</v>
      </c>
      <c r="M515" t="str">
        <f>TEXT(Table13[[#This Row],[Order Date]],"MMM")</f>
        <v>Oct</v>
      </c>
      <c r="N515">
        <f>YEAR(Table13[[#This Row],[Order Date]])</f>
        <v>2022</v>
      </c>
      <c r="O515" t="str">
        <f>"Q"&amp;ROUNDUP(MONTH(Table13[[#This Row],[Order Date]])/3,0)</f>
        <v>Q4</v>
      </c>
      <c r="P515" s="5">
        <f>Table13[[#This Row],[Profit]]/Table13[[#This Row],[Amount]]</f>
        <v>0.4159749412685983</v>
      </c>
      <c r="Q515" s="6">
        <f>Table13[[#This Row],[Amount]]/Table13[[#This Row],[Quantity]]</f>
        <v>580.4545454545455</v>
      </c>
    </row>
    <row r="516" spans="1:17" x14ac:dyDescent="0.3">
      <c r="A516" t="s">
        <v>599</v>
      </c>
      <c r="B516">
        <v>6355</v>
      </c>
      <c r="C516">
        <v>1335</v>
      </c>
      <c r="D516">
        <v>15</v>
      </c>
      <c r="E516" t="s">
        <v>13</v>
      </c>
      <c r="F516" t="s">
        <v>14</v>
      </c>
      <c r="G516" t="s">
        <v>32</v>
      </c>
      <c r="H516" s="1">
        <v>45169</v>
      </c>
      <c r="I516" t="s">
        <v>600</v>
      </c>
      <c r="J516" t="s">
        <v>71</v>
      </c>
      <c r="K516" t="s">
        <v>86</v>
      </c>
      <c r="L516" s="2" t="s">
        <v>121</v>
      </c>
      <c r="M516" t="str">
        <f>TEXT(Table13[[#This Row],[Order Date]],"MMM")</f>
        <v>Aug</v>
      </c>
      <c r="N516">
        <f>YEAR(Table13[[#This Row],[Order Date]])</f>
        <v>2023</v>
      </c>
      <c r="O516" t="str">
        <f>"Q"&amp;ROUNDUP(MONTH(Table13[[#This Row],[Order Date]])/3,0)</f>
        <v>Q3</v>
      </c>
      <c r="P516" s="5">
        <f>Table13[[#This Row],[Profit]]/Table13[[#This Row],[Amount]]</f>
        <v>0.21007081038552322</v>
      </c>
      <c r="Q516" s="6">
        <f>Table13[[#This Row],[Amount]]/Table13[[#This Row],[Quantity]]</f>
        <v>423.66666666666669</v>
      </c>
    </row>
    <row r="517" spans="1:17" x14ac:dyDescent="0.3">
      <c r="A517" t="s">
        <v>599</v>
      </c>
      <c r="B517">
        <v>6355</v>
      </c>
      <c r="C517">
        <v>1335</v>
      </c>
      <c r="D517">
        <v>15</v>
      </c>
      <c r="E517" t="s">
        <v>13</v>
      </c>
      <c r="F517" t="s">
        <v>14</v>
      </c>
      <c r="G517" t="s">
        <v>32</v>
      </c>
      <c r="H517" s="1">
        <v>44353</v>
      </c>
      <c r="I517" t="s">
        <v>601</v>
      </c>
      <c r="J517" t="s">
        <v>71</v>
      </c>
      <c r="K517" t="s">
        <v>86</v>
      </c>
      <c r="L517" s="2" t="s">
        <v>125</v>
      </c>
      <c r="M517" t="str">
        <f>TEXT(Table13[[#This Row],[Order Date]],"MMM")</f>
        <v>Jun</v>
      </c>
      <c r="N517">
        <f>YEAR(Table13[[#This Row],[Order Date]])</f>
        <v>2021</v>
      </c>
      <c r="O517" t="str">
        <f>"Q"&amp;ROUNDUP(MONTH(Table13[[#This Row],[Order Date]])/3,0)</f>
        <v>Q2</v>
      </c>
      <c r="P517" s="5">
        <f>Table13[[#This Row],[Profit]]/Table13[[#This Row],[Amount]]</f>
        <v>0.21007081038552322</v>
      </c>
      <c r="Q517" s="6">
        <f>Table13[[#This Row],[Amount]]/Table13[[#This Row],[Quantity]]</f>
        <v>423.66666666666669</v>
      </c>
    </row>
    <row r="518" spans="1:17" x14ac:dyDescent="0.3">
      <c r="A518" t="s">
        <v>602</v>
      </c>
      <c r="B518">
        <v>7377</v>
      </c>
      <c r="C518">
        <v>320</v>
      </c>
      <c r="D518">
        <v>15</v>
      </c>
      <c r="E518" t="s">
        <v>13</v>
      </c>
      <c r="F518" t="s">
        <v>28</v>
      </c>
      <c r="G518" t="s">
        <v>32</v>
      </c>
      <c r="H518" s="1">
        <v>44916</v>
      </c>
      <c r="I518" t="s">
        <v>603</v>
      </c>
      <c r="J518" t="s">
        <v>71</v>
      </c>
      <c r="K518" t="s">
        <v>86</v>
      </c>
      <c r="L518" s="2" t="s">
        <v>152</v>
      </c>
      <c r="M518" t="str">
        <f>TEXT(Table13[[#This Row],[Order Date]],"MMM")</f>
        <v>Dec</v>
      </c>
      <c r="N518">
        <f>YEAR(Table13[[#This Row],[Order Date]])</f>
        <v>2022</v>
      </c>
      <c r="O518" t="str">
        <f>"Q"&amp;ROUNDUP(MONTH(Table13[[#This Row],[Order Date]])/3,0)</f>
        <v>Q4</v>
      </c>
      <c r="P518" s="5">
        <f>Table13[[#This Row],[Profit]]/Table13[[#This Row],[Amount]]</f>
        <v>4.3378066964890875E-2</v>
      </c>
      <c r="Q518" s="6">
        <f>Table13[[#This Row],[Amount]]/Table13[[#This Row],[Quantity]]</f>
        <v>491.8</v>
      </c>
    </row>
    <row r="519" spans="1:17" x14ac:dyDescent="0.3">
      <c r="A519" t="s">
        <v>602</v>
      </c>
      <c r="B519">
        <v>2054</v>
      </c>
      <c r="C519">
        <v>371</v>
      </c>
      <c r="D519">
        <v>12</v>
      </c>
      <c r="E519" t="s">
        <v>30</v>
      </c>
      <c r="F519" t="s">
        <v>57</v>
      </c>
      <c r="G519" t="s">
        <v>40</v>
      </c>
      <c r="H519" s="1">
        <v>44916</v>
      </c>
      <c r="I519" t="s">
        <v>603</v>
      </c>
      <c r="J519" t="s">
        <v>71</v>
      </c>
      <c r="K519" t="s">
        <v>86</v>
      </c>
      <c r="L519" s="2" t="s">
        <v>152</v>
      </c>
      <c r="M519" t="str">
        <f>TEXT(Table13[[#This Row],[Order Date]],"MMM")</f>
        <v>Dec</v>
      </c>
      <c r="N519">
        <f>YEAR(Table13[[#This Row],[Order Date]])</f>
        <v>2022</v>
      </c>
      <c r="O519" t="str">
        <f>"Q"&amp;ROUNDUP(MONTH(Table13[[#This Row],[Order Date]])/3,0)</f>
        <v>Q4</v>
      </c>
      <c r="P519" s="5">
        <f>Table13[[#This Row],[Profit]]/Table13[[#This Row],[Amount]]</f>
        <v>0.18062317429406036</v>
      </c>
      <c r="Q519" s="6">
        <f>Table13[[#This Row],[Amount]]/Table13[[#This Row],[Quantity]]</f>
        <v>171.16666666666666</v>
      </c>
    </row>
    <row r="520" spans="1:17" x14ac:dyDescent="0.3">
      <c r="A520" t="s">
        <v>604</v>
      </c>
      <c r="B520">
        <v>7497</v>
      </c>
      <c r="C520">
        <v>319</v>
      </c>
      <c r="D520">
        <v>18</v>
      </c>
      <c r="E520" t="s">
        <v>45</v>
      </c>
      <c r="F520" t="s">
        <v>49</v>
      </c>
      <c r="G520" t="s">
        <v>65</v>
      </c>
      <c r="H520" s="1">
        <v>45334</v>
      </c>
      <c r="I520" t="s">
        <v>605</v>
      </c>
      <c r="J520" t="s">
        <v>21</v>
      </c>
      <c r="K520" t="s">
        <v>172</v>
      </c>
      <c r="L520" s="2" t="s">
        <v>218</v>
      </c>
      <c r="M520" t="str">
        <f>TEXT(Table13[[#This Row],[Order Date]],"MMM")</f>
        <v>Feb</v>
      </c>
      <c r="N520">
        <f>YEAR(Table13[[#This Row],[Order Date]])</f>
        <v>2024</v>
      </c>
      <c r="O520" t="str">
        <f>"Q"&amp;ROUNDUP(MONTH(Table13[[#This Row],[Order Date]])/3,0)</f>
        <v>Q1</v>
      </c>
      <c r="P520" s="5">
        <f>Table13[[#This Row],[Profit]]/Table13[[#This Row],[Amount]]</f>
        <v>4.2550353474723225E-2</v>
      </c>
      <c r="Q520" s="6">
        <f>Table13[[#This Row],[Amount]]/Table13[[#This Row],[Quantity]]</f>
        <v>416.5</v>
      </c>
    </row>
    <row r="521" spans="1:17" x14ac:dyDescent="0.3">
      <c r="A521" t="s">
        <v>606</v>
      </c>
      <c r="B521">
        <v>2565</v>
      </c>
      <c r="C521">
        <v>983</v>
      </c>
      <c r="D521">
        <v>20</v>
      </c>
      <c r="E521" t="s">
        <v>13</v>
      </c>
      <c r="F521" t="s">
        <v>14</v>
      </c>
      <c r="G521" t="s">
        <v>32</v>
      </c>
      <c r="H521" s="1">
        <v>44900</v>
      </c>
      <c r="I521" t="s">
        <v>607</v>
      </c>
      <c r="J521" t="s">
        <v>17</v>
      </c>
      <c r="K521" t="s">
        <v>18</v>
      </c>
      <c r="L521" s="2" t="s">
        <v>152</v>
      </c>
      <c r="M521" t="str">
        <f>TEXT(Table13[[#This Row],[Order Date]],"MMM")</f>
        <v>Dec</v>
      </c>
      <c r="N521">
        <f>YEAR(Table13[[#This Row],[Order Date]])</f>
        <v>2022</v>
      </c>
      <c r="O521" t="str">
        <f>"Q"&amp;ROUNDUP(MONTH(Table13[[#This Row],[Order Date]])/3,0)</f>
        <v>Q4</v>
      </c>
      <c r="P521" s="5">
        <f>Table13[[#This Row],[Profit]]/Table13[[#This Row],[Amount]]</f>
        <v>0.38323586744639376</v>
      </c>
      <c r="Q521" s="6">
        <f>Table13[[#This Row],[Amount]]/Table13[[#This Row],[Quantity]]</f>
        <v>128.25</v>
      </c>
    </row>
    <row r="522" spans="1:17" x14ac:dyDescent="0.3">
      <c r="A522" t="s">
        <v>606</v>
      </c>
      <c r="B522">
        <v>5024</v>
      </c>
      <c r="C522">
        <v>1544</v>
      </c>
      <c r="D522">
        <v>19</v>
      </c>
      <c r="E522" t="s">
        <v>30</v>
      </c>
      <c r="F522" t="s">
        <v>31</v>
      </c>
      <c r="G522" t="s">
        <v>65</v>
      </c>
      <c r="H522" s="1">
        <v>44900</v>
      </c>
      <c r="I522" t="s">
        <v>607</v>
      </c>
      <c r="J522" t="s">
        <v>17</v>
      </c>
      <c r="K522" t="s">
        <v>18</v>
      </c>
      <c r="L522" s="2" t="s">
        <v>152</v>
      </c>
      <c r="M522" t="str">
        <f>TEXT(Table13[[#This Row],[Order Date]],"MMM")</f>
        <v>Dec</v>
      </c>
      <c r="N522">
        <f>YEAR(Table13[[#This Row],[Order Date]])</f>
        <v>2022</v>
      </c>
      <c r="O522" t="str">
        <f>"Q"&amp;ROUNDUP(MONTH(Table13[[#This Row],[Order Date]])/3,0)</f>
        <v>Q4</v>
      </c>
      <c r="P522" s="5">
        <f>Table13[[#This Row],[Profit]]/Table13[[#This Row],[Amount]]</f>
        <v>0.3073248407643312</v>
      </c>
      <c r="Q522" s="6">
        <f>Table13[[#This Row],[Amount]]/Table13[[#This Row],[Quantity]]</f>
        <v>264.42105263157896</v>
      </c>
    </row>
    <row r="523" spans="1:17" x14ac:dyDescent="0.3">
      <c r="A523" t="s">
        <v>608</v>
      </c>
      <c r="B523">
        <v>8243</v>
      </c>
      <c r="C523">
        <v>1346</v>
      </c>
      <c r="D523">
        <v>15</v>
      </c>
      <c r="E523" t="s">
        <v>30</v>
      </c>
      <c r="F523" t="s">
        <v>78</v>
      </c>
      <c r="G523" t="s">
        <v>32</v>
      </c>
      <c r="H523" s="1">
        <v>44290</v>
      </c>
      <c r="I523" t="s">
        <v>609</v>
      </c>
      <c r="J523" t="s">
        <v>71</v>
      </c>
      <c r="K523" t="s">
        <v>138</v>
      </c>
      <c r="L523" s="2" t="s">
        <v>139</v>
      </c>
      <c r="M523" t="str">
        <f>TEXT(Table13[[#This Row],[Order Date]],"MMM")</f>
        <v>Apr</v>
      </c>
      <c r="N523">
        <f>YEAR(Table13[[#This Row],[Order Date]])</f>
        <v>2021</v>
      </c>
      <c r="O523" t="str">
        <f>"Q"&amp;ROUNDUP(MONTH(Table13[[#This Row],[Order Date]])/3,0)</f>
        <v>Q2</v>
      </c>
      <c r="P523" s="5">
        <f>Table13[[#This Row],[Profit]]/Table13[[#This Row],[Amount]]</f>
        <v>0.16329006429697926</v>
      </c>
      <c r="Q523" s="6">
        <f>Table13[[#This Row],[Amount]]/Table13[[#This Row],[Quantity]]</f>
        <v>549.5333333333333</v>
      </c>
    </row>
    <row r="524" spans="1:17" x14ac:dyDescent="0.3">
      <c r="A524" t="s">
        <v>610</v>
      </c>
      <c r="B524">
        <v>7792</v>
      </c>
      <c r="C524">
        <v>1403</v>
      </c>
      <c r="D524">
        <v>13</v>
      </c>
      <c r="E524" t="s">
        <v>30</v>
      </c>
      <c r="F524" t="s">
        <v>64</v>
      </c>
      <c r="G524" t="s">
        <v>15</v>
      </c>
      <c r="H524" s="1">
        <v>44239</v>
      </c>
      <c r="I524" t="s">
        <v>611</v>
      </c>
      <c r="J524" t="s">
        <v>21</v>
      </c>
      <c r="K524" t="s">
        <v>172</v>
      </c>
      <c r="L524" s="2" t="s">
        <v>292</v>
      </c>
      <c r="M524" t="str">
        <f>TEXT(Table13[[#This Row],[Order Date]],"MMM")</f>
        <v>Feb</v>
      </c>
      <c r="N524">
        <f>YEAR(Table13[[#This Row],[Order Date]])</f>
        <v>2021</v>
      </c>
      <c r="O524" t="str">
        <f>"Q"&amp;ROUNDUP(MONTH(Table13[[#This Row],[Order Date]])/3,0)</f>
        <v>Q1</v>
      </c>
      <c r="P524" s="5">
        <f>Table13[[#This Row],[Profit]]/Table13[[#This Row],[Amount]]</f>
        <v>0.18005646817248461</v>
      </c>
      <c r="Q524" s="6">
        <f>Table13[[#This Row],[Amount]]/Table13[[#This Row],[Quantity]]</f>
        <v>599.38461538461536</v>
      </c>
    </row>
    <row r="525" spans="1:17" x14ac:dyDescent="0.3">
      <c r="A525" t="s">
        <v>610</v>
      </c>
      <c r="B525">
        <v>7792</v>
      </c>
      <c r="C525">
        <v>1403</v>
      </c>
      <c r="D525">
        <v>13</v>
      </c>
      <c r="E525" t="s">
        <v>30</v>
      </c>
      <c r="F525" t="s">
        <v>64</v>
      </c>
      <c r="G525" t="s">
        <v>15</v>
      </c>
      <c r="H525" s="1">
        <v>44922</v>
      </c>
      <c r="I525" t="s">
        <v>612</v>
      </c>
      <c r="J525" t="s">
        <v>25</v>
      </c>
      <c r="K525" t="s">
        <v>68</v>
      </c>
      <c r="L525" s="2" t="s">
        <v>152</v>
      </c>
      <c r="M525" t="str">
        <f>TEXT(Table13[[#This Row],[Order Date]],"MMM")</f>
        <v>Dec</v>
      </c>
      <c r="N525">
        <f>YEAR(Table13[[#This Row],[Order Date]])</f>
        <v>2022</v>
      </c>
      <c r="O525" t="str">
        <f>"Q"&amp;ROUNDUP(MONTH(Table13[[#This Row],[Order Date]])/3,0)</f>
        <v>Q4</v>
      </c>
      <c r="P525" s="5">
        <f>Table13[[#This Row],[Profit]]/Table13[[#This Row],[Amount]]</f>
        <v>0.18005646817248461</v>
      </c>
      <c r="Q525" s="6">
        <f>Table13[[#This Row],[Amount]]/Table13[[#This Row],[Quantity]]</f>
        <v>599.38461538461536</v>
      </c>
    </row>
    <row r="526" spans="1:17" x14ac:dyDescent="0.3">
      <c r="A526" t="s">
        <v>610</v>
      </c>
      <c r="B526">
        <v>7792</v>
      </c>
      <c r="C526">
        <v>1403</v>
      </c>
      <c r="D526">
        <v>13</v>
      </c>
      <c r="E526" t="s">
        <v>30</v>
      </c>
      <c r="F526" t="s">
        <v>64</v>
      </c>
      <c r="G526" t="s">
        <v>15</v>
      </c>
      <c r="H526" s="1">
        <v>45310</v>
      </c>
      <c r="I526" t="s">
        <v>613</v>
      </c>
      <c r="J526" t="s">
        <v>42</v>
      </c>
      <c r="K526" t="s">
        <v>75</v>
      </c>
      <c r="L526" s="2" t="s">
        <v>76</v>
      </c>
      <c r="M526" t="str">
        <f>TEXT(Table13[[#This Row],[Order Date]],"MMM")</f>
        <v>Jan</v>
      </c>
      <c r="N526">
        <f>YEAR(Table13[[#This Row],[Order Date]])</f>
        <v>2024</v>
      </c>
      <c r="O526" t="str">
        <f>"Q"&amp;ROUNDUP(MONTH(Table13[[#This Row],[Order Date]])/3,0)</f>
        <v>Q1</v>
      </c>
      <c r="P526" s="5">
        <f>Table13[[#This Row],[Profit]]/Table13[[#This Row],[Amount]]</f>
        <v>0.18005646817248461</v>
      </c>
      <c r="Q526" s="6">
        <f>Table13[[#This Row],[Amount]]/Table13[[#This Row],[Quantity]]</f>
        <v>599.38461538461536</v>
      </c>
    </row>
    <row r="527" spans="1:17" x14ac:dyDescent="0.3">
      <c r="A527" t="s">
        <v>610</v>
      </c>
      <c r="B527">
        <v>2346</v>
      </c>
      <c r="C527">
        <v>388</v>
      </c>
      <c r="D527">
        <v>14</v>
      </c>
      <c r="E527" t="s">
        <v>45</v>
      </c>
      <c r="F527" t="s">
        <v>49</v>
      </c>
      <c r="G527" t="s">
        <v>32</v>
      </c>
      <c r="H527" s="1">
        <v>44239</v>
      </c>
      <c r="I527" t="s">
        <v>611</v>
      </c>
      <c r="J527" t="s">
        <v>21</v>
      </c>
      <c r="K527" t="s">
        <v>172</v>
      </c>
      <c r="L527" s="2" t="s">
        <v>292</v>
      </c>
      <c r="M527" t="str">
        <f>TEXT(Table13[[#This Row],[Order Date]],"MMM")</f>
        <v>Feb</v>
      </c>
      <c r="N527">
        <f>YEAR(Table13[[#This Row],[Order Date]])</f>
        <v>2021</v>
      </c>
      <c r="O527" t="str">
        <f>"Q"&amp;ROUNDUP(MONTH(Table13[[#This Row],[Order Date]])/3,0)</f>
        <v>Q1</v>
      </c>
      <c r="P527" s="5">
        <f>Table13[[#This Row],[Profit]]/Table13[[#This Row],[Amount]]</f>
        <v>0.16538789428815004</v>
      </c>
      <c r="Q527" s="6">
        <f>Table13[[#This Row],[Amount]]/Table13[[#This Row],[Quantity]]</f>
        <v>167.57142857142858</v>
      </c>
    </row>
    <row r="528" spans="1:17" x14ac:dyDescent="0.3">
      <c r="A528" t="s">
        <v>610</v>
      </c>
      <c r="B528">
        <v>2346</v>
      </c>
      <c r="C528">
        <v>388</v>
      </c>
      <c r="D528">
        <v>14</v>
      </c>
      <c r="E528" t="s">
        <v>45</v>
      </c>
      <c r="F528" t="s">
        <v>49</v>
      </c>
      <c r="G528" t="s">
        <v>32</v>
      </c>
      <c r="H528" s="1">
        <v>44922</v>
      </c>
      <c r="I528" t="s">
        <v>612</v>
      </c>
      <c r="J528" t="s">
        <v>25</v>
      </c>
      <c r="K528" t="s">
        <v>68</v>
      </c>
      <c r="L528" s="2" t="s">
        <v>152</v>
      </c>
      <c r="M528" t="str">
        <f>TEXT(Table13[[#This Row],[Order Date]],"MMM")</f>
        <v>Dec</v>
      </c>
      <c r="N528">
        <f>YEAR(Table13[[#This Row],[Order Date]])</f>
        <v>2022</v>
      </c>
      <c r="O528" t="str">
        <f>"Q"&amp;ROUNDUP(MONTH(Table13[[#This Row],[Order Date]])/3,0)</f>
        <v>Q4</v>
      </c>
      <c r="P528" s="5">
        <f>Table13[[#This Row],[Profit]]/Table13[[#This Row],[Amount]]</f>
        <v>0.16538789428815004</v>
      </c>
      <c r="Q528" s="6">
        <f>Table13[[#This Row],[Amount]]/Table13[[#This Row],[Quantity]]</f>
        <v>167.57142857142858</v>
      </c>
    </row>
    <row r="529" spans="1:17" x14ac:dyDescent="0.3">
      <c r="A529" t="s">
        <v>610</v>
      </c>
      <c r="B529">
        <v>2346</v>
      </c>
      <c r="C529">
        <v>388</v>
      </c>
      <c r="D529">
        <v>14</v>
      </c>
      <c r="E529" t="s">
        <v>45</v>
      </c>
      <c r="F529" t="s">
        <v>49</v>
      </c>
      <c r="G529" t="s">
        <v>32</v>
      </c>
      <c r="H529" s="1">
        <v>45310</v>
      </c>
      <c r="I529" t="s">
        <v>613</v>
      </c>
      <c r="J529" t="s">
        <v>42</v>
      </c>
      <c r="K529" t="s">
        <v>75</v>
      </c>
      <c r="L529" s="2" t="s">
        <v>76</v>
      </c>
      <c r="M529" t="str">
        <f>TEXT(Table13[[#This Row],[Order Date]],"MMM")</f>
        <v>Jan</v>
      </c>
      <c r="N529">
        <f>YEAR(Table13[[#This Row],[Order Date]])</f>
        <v>2024</v>
      </c>
      <c r="O529" t="str">
        <f>"Q"&amp;ROUNDUP(MONTH(Table13[[#This Row],[Order Date]])/3,0)</f>
        <v>Q1</v>
      </c>
      <c r="P529" s="5">
        <f>Table13[[#This Row],[Profit]]/Table13[[#This Row],[Amount]]</f>
        <v>0.16538789428815004</v>
      </c>
      <c r="Q529" s="6">
        <f>Table13[[#This Row],[Amount]]/Table13[[#This Row],[Quantity]]</f>
        <v>167.57142857142858</v>
      </c>
    </row>
    <row r="530" spans="1:17" x14ac:dyDescent="0.3">
      <c r="A530" t="s">
        <v>614</v>
      </c>
      <c r="B530">
        <v>7346</v>
      </c>
      <c r="C530">
        <v>1043</v>
      </c>
      <c r="D530">
        <v>10</v>
      </c>
      <c r="E530" t="s">
        <v>45</v>
      </c>
      <c r="F530" t="s">
        <v>60</v>
      </c>
      <c r="G530" t="s">
        <v>47</v>
      </c>
      <c r="H530" s="1">
        <v>44920</v>
      </c>
      <c r="I530" t="s">
        <v>615</v>
      </c>
      <c r="J530" t="s">
        <v>98</v>
      </c>
      <c r="K530" t="s">
        <v>99</v>
      </c>
      <c r="L530" s="2" t="s">
        <v>152</v>
      </c>
      <c r="M530" t="str">
        <f>TEXT(Table13[[#This Row],[Order Date]],"MMM")</f>
        <v>Dec</v>
      </c>
      <c r="N530">
        <f>YEAR(Table13[[#This Row],[Order Date]])</f>
        <v>2022</v>
      </c>
      <c r="O530" t="str">
        <f>"Q"&amp;ROUNDUP(MONTH(Table13[[#This Row],[Order Date]])/3,0)</f>
        <v>Q4</v>
      </c>
      <c r="P530" s="5">
        <f>Table13[[#This Row],[Profit]]/Table13[[#This Row],[Amount]]</f>
        <v>0.1419820310372992</v>
      </c>
      <c r="Q530" s="6">
        <f>Table13[[#This Row],[Amount]]/Table13[[#This Row],[Quantity]]</f>
        <v>734.6</v>
      </c>
    </row>
    <row r="531" spans="1:17" x14ac:dyDescent="0.3">
      <c r="A531" t="s">
        <v>614</v>
      </c>
      <c r="B531">
        <v>9770</v>
      </c>
      <c r="C531">
        <v>4132</v>
      </c>
      <c r="D531">
        <v>7</v>
      </c>
      <c r="E531" t="s">
        <v>13</v>
      </c>
      <c r="F531" t="s">
        <v>14</v>
      </c>
      <c r="G531" t="s">
        <v>15</v>
      </c>
      <c r="H531" s="1">
        <v>44920</v>
      </c>
      <c r="I531" t="s">
        <v>615</v>
      </c>
      <c r="J531" t="s">
        <v>98</v>
      </c>
      <c r="K531" t="s">
        <v>99</v>
      </c>
      <c r="L531" s="2" t="s">
        <v>152</v>
      </c>
      <c r="M531" t="str">
        <f>TEXT(Table13[[#This Row],[Order Date]],"MMM")</f>
        <v>Dec</v>
      </c>
      <c r="N531">
        <f>YEAR(Table13[[#This Row],[Order Date]])</f>
        <v>2022</v>
      </c>
      <c r="O531" t="str">
        <f>"Q"&amp;ROUNDUP(MONTH(Table13[[#This Row],[Order Date]])/3,0)</f>
        <v>Q4</v>
      </c>
      <c r="P531" s="5">
        <f>Table13[[#This Row],[Profit]]/Table13[[#This Row],[Amount]]</f>
        <v>0.42292732855680654</v>
      </c>
      <c r="Q531" s="6">
        <f>Table13[[#This Row],[Amount]]/Table13[[#This Row],[Quantity]]</f>
        <v>1395.7142857142858</v>
      </c>
    </row>
    <row r="532" spans="1:17" x14ac:dyDescent="0.3">
      <c r="A532" t="s">
        <v>614</v>
      </c>
      <c r="B532">
        <v>7179</v>
      </c>
      <c r="C532">
        <v>683</v>
      </c>
      <c r="D532">
        <v>13</v>
      </c>
      <c r="E532" t="s">
        <v>13</v>
      </c>
      <c r="F532" t="s">
        <v>39</v>
      </c>
      <c r="G532" t="s">
        <v>47</v>
      </c>
      <c r="H532" s="1">
        <v>44920</v>
      </c>
      <c r="I532" t="s">
        <v>615</v>
      </c>
      <c r="J532" t="s">
        <v>98</v>
      </c>
      <c r="K532" t="s">
        <v>99</v>
      </c>
      <c r="L532" s="2" t="s">
        <v>152</v>
      </c>
      <c r="M532" t="str">
        <f>TEXT(Table13[[#This Row],[Order Date]],"MMM")</f>
        <v>Dec</v>
      </c>
      <c r="N532">
        <f>YEAR(Table13[[#This Row],[Order Date]])</f>
        <v>2022</v>
      </c>
      <c r="O532" t="str">
        <f>"Q"&amp;ROUNDUP(MONTH(Table13[[#This Row],[Order Date]])/3,0)</f>
        <v>Q4</v>
      </c>
      <c r="P532" s="5">
        <f>Table13[[#This Row],[Profit]]/Table13[[#This Row],[Amount]]</f>
        <v>9.5138598690625437E-2</v>
      </c>
      <c r="Q532" s="6">
        <f>Table13[[#This Row],[Amount]]/Table13[[#This Row],[Quantity]]</f>
        <v>552.23076923076928</v>
      </c>
    </row>
    <row r="533" spans="1:17" x14ac:dyDescent="0.3">
      <c r="A533" t="s">
        <v>616</v>
      </c>
      <c r="B533">
        <v>5449</v>
      </c>
      <c r="C533">
        <v>2389</v>
      </c>
      <c r="D533">
        <v>2</v>
      </c>
      <c r="E533" t="s">
        <v>13</v>
      </c>
      <c r="F533" t="s">
        <v>82</v>
      </c>
      <c r="G533" t="s">
        <v>15</v>
      </c>
      <c r="H533" s="1">
        <v>44840</v>
      </c>
      <c r="I533" t="s">
        <v>617</v>
      </c>
      <c r="J533" t="s">
        <v>17</v>
      </c>
      <c r="K533" t="s">
        <v>18</v>
      </c>
      <c r="L533" s="2" t="s">
        <v>96</v>
      </c>
      <c r="M533" t="str">
        <f>TEXT(Table13[[#This Row],[Order Date]],"MMM")</f>
        <v>Oct</v>
      </c>
      <c r="N533">
        <f>YEAR(Table13[[#This Row],[Order Date]])</f>
        <v>2022</v>
      </c>
      <c r="O533" t="str">
        <f>"Q"&amp;ROUNDUP(MONTH(Table13[[#This Row],[Order Date]])/3,0)</f>
        <v>Q4</v>
      </c>
      <c r="P533" s="5">
        <f>Table13[[#This Row],[Profit]]/Table13[[#This Row],[Amount]]</f>
        <v>0.43842906955404659</v>
      </c>
      <c r="Q533" s="6">
        <f>Table13[[#This Row],[Amount]]/Table13[[#This Row],[Quantity]]</f>
        <v>2724.5</v>
      </c>
    </row>
    <row r="534" spans="1:17" x14ac:dyDescent="0.3">
      <c r="A534" t="s">
        <v>618</v>
      </c>
      <c r="B534">
        <v>2895</v>
      </c>
      <c r="C534">
        <v>104</v>
      </c>
      <c r="D534">
        <v>6</v>
      </c>
      <c r="E534" t="s">
        <v>45</v>
      </c>
      <c r="F534" t="s">
        <v>49</v>
      </c>
      <c r="G534" t="s">
        <v>65</v>
      </c>
      <c r="H534" s="1">
        <v>43948</v>
      </c>
      <c r="I534" t="s">
        <v>619</v>
      </c>
      <c r="J534" t="s">
        <v>25</v>
      </c>
      <c r="K534" t="s">
        <v>26</v>
      </c>
      <c r="L534" s="2" t="s">
        <v>162</v>
      </c>
      <c r="M534" t="str">
        <f>TEXT(Table13[[#This Row],[Order Date]],"MMM")</f>
        <v>Apr</v>
      </c>
      <c r="N534">
        <f>YEAR(Table13[[#This Row],[Order Date]])</f>
        <v>2020</v>
      </c>
      <c r="O534" t="str">
        <f>"Q"&amp;ROUNDUP(MONTH(Table13[[#This Row],[Order Date]])/3,0)</f>
        <v>Q2</v>
      </c>
      <c r="P534" s="5">
        <f>Table13[[#This Row],[Profit]]/Table13[[#This Row],[Amount]]</f>
        <v>3.5924006908462869E-2</v>
      </c>
      <c r="Q534" s="6">
        <f>Table13[[#This Row],[Amount]]/Table13[[#This Row],[Quantity]]</f>
        <v>482.5</v>
      </c>
    </row>
    <row r="535" spans="1:17" x14ac:dyDescent="0.3">
      <c r="A535" t="s">
        <v>618</v>
      </c>
      <c r="B535">
        <v>2895</v>
      </c>
      <c r="C535">
        <v>104</v>
      </c>
      <c r="D535">
        <v>6</v>
      </c>
      <c r="E535" t="s">
        <v>45</v>
      </c>
      <c r="F535" t="s">
        <v>49</v>
      </c>
      <c r="G535" t="s">
        <v>65</v>
      </c>
      <c r="H535" s="1">
        <v>45425</v>
      </c>
      <c r="I535" t="s">
        <v>620</v>
      </c>
      <c r="J535" t="s">
        <v>71</v>
      </c>
      <c r="K535" t="s">
        <v>138</v>
      </c>
      <c r="L535" s="2" t="s">
        <v>35</v>
      </c>
      <c r="M535" t="str">
        <f>TEXT(Table13[[#This Row],[Order Date]],"MMM")</f>
        <v>May</v>
      </c>
      <c r="N535">
        <f>YEAR(Table13[[#This Row],[Order Date]])</f>
        <v>2024</v>
      </c>
      <c r="O535" t="str">
        <f>"Q"&amp;ROUNDUP(MONTH(Table13[[#This Row],[Order Date]])/3,0)</f>
        <v>Q2</v>
      </c>
      <c r="P535" s="5">
        <f>Table13[[#This Row],[Profit]]/Table13[[#This Row],[Amount]]</f>
        <v>3.5924006908462869E-2</v>
      </c>
      <c r="Q535" s="6">
        <f>Table13[[#This Row],[Amount]]/Table13[[#This Row],[Quantity]]</f>
        <v>482.5</v>
      </c>
    </row>
    <row r="536" spans="1:17" x14ac:dyDescent="0.3">
      <c r="A536" t="s">
        <v>618</v>
      </c>
      <c r="B536">
        <v>697</v>
      </c>
      <c r="C536">
        <v>116</v>
      </c>
      <c r="D536">
        <v>1</v>
      </c>
      <c r="E536" t="s">
        <v>45</v>
      </c>
      <c r="F536" t="s">
        <v>49</v>
      </c>
      <c r="G536" t="s">
        <v>15</v>
      </c>
      <c r="H536" s="1">
        <v>43948</v>
      </c>
      <c r="I536" t="s">
        <v>619</v>
      </c>
      <c r="J536" t="s">
        <v>25</v>
      </c>
      <c r="K536" t="s">
        <v>26</v>
      </c>
      <c r="L536" s="2" t="s">
        <v>162</v>
      </c>
      <c r="M536" t="str">
        <f>TEXT(Table13[[#This Row],[Order Date]],"MMM")</f>
        <v>Apr</v>
      </c>
      <c r="N536">
        <f>YEAR(Table13[[#This Row],[Order Date]])</f>
        <v>2020</v>
      </c>
      <c r="O536" t="str">
        <f>"Q"&amp;ROUNDUP(MONTH(Table13[[#This Row],[Order Date]])/3,0)</f>
        <v>Q2</v>
      </c>
      <c r="P536" s="5">
        <f>Table13[[#This Row],[Profit]]/Table13[[#This Row],[Amount]]</f>
        <v>0.16642754662840745</v>
      </c>
      <c r="Q536" s="6">
        <f>Table13[[#This Row],[Amount]]/Table13[[#This Row],[Quantity]]</f>
        <v>697</v>
      </c>
    </row>
    <row r="537" spans="1:17" x14ac:dyDescent="0.3">
      <c r="A537" t="s">
        <v>618</v>
      </c>
      <c r="B537">
        <v>697</v>
      </c>
      <c r="C537">
        <v>116</v>
      </c>
      <c r="D537">
        <v>1</v>
      </c>
      <c r="E537" t="s">
        <v>45</v>
      </c>
      <c r="F537" t="s">
        <v>49</v>
      </c>
      <c r="G537" t="s">
        <v>15</v>
      </c>
      <c r="H537" s="1">
        <v>45425</v>
      </c>
      <c r="I537" t="s">
        <v>620</v>
      </c>
      <c r="J537" t="s">
        <v>71</v>
      </c>
      <c r="K537" t="s">
        <v>138</v>
      </c>
      <c r="L537" s="2" t="s">
        <v>35</v>
      </c>
      <c r="M537" t="str">
        <f>TEXT(Table13[[#This Row],[Order Date]],"MMM")</f>
        <v>May</v>
      </c>
      <c r="N537">
        <f>YEAR(Table13[[#This Row],[Order Date]])</f>
        <v>2024</v>
      </c>
      <c r="O537" t="str">
        <f>"Q"&amp;ROUNDUP(MONTH(Table13[[#This Row],[Order Date]])/3,0)</f>
        <v>Q2</v>
      </c>
      <c r="P537" s="5">
        <f>Table13[[#This Row],[Profit]]/Table13[[#This Row],[Amount]]</f>
        <v>0.16642754662840745</v>
      </c>
      <c r="Q537" s="6">
        <f>Table13[[#This Row],[Amount]]/Table13[[#This Row],[Quantity]]</f>
        <v>697</v>
      </c>
    </row>
    <row r="538" spans="1:17" x14ac:dyDescent="0.3">
      <c r="A538" t="s">
        <v>621</v>
      </c>
      <c r="B538">
        <v>6145</v>
      </c>
      <c r="C538">
        <v>1414</v>
      </c>
      <c r="D538">
        <v>4</v>
      </c>
      <c r="E538" t="s">
        <v>45</v>
      </c>
      <c r="F538" t="s">
        <v>49</v>
      </c>
      <c r="G538" t="s">
        <v>65</v>
      </c>
      <c r="H538" s="1">
        <v>44127</v>
      </c>
      <c r="I538" t="s">
        <v>622</v>
      </c>
      <c r="J538" t="s">
        <v>42</v>
      </c>
      <c r="K538" t="s">
        <v>43</v>
      </c>
      <c r="L538" s="2" t="s">
        <v>119</v>
      </c>
      <c r="M538" t="str">
        <f>TEXT(Table13[[#This Row],[Order Date]],"MMM")</f>
        <v>Oct</v>
      </c>
      <c r="N538">
        <f>YEAR(Table13[[#This Row],[Order Date]])</f>
        <v>2020</v>
      </c>
      <c r="O538" t="str">
        <f>"Q"&amp;ROUNDUP(MONTH(Table13[[#This Row],[Order Date]])/3,0)</f>
        <v>Q4</v>
      </c>
      <c r="P538" s="5">
        <f>Table13[[#This Row],[Profit]]/Table13[[#This Row],[Amount]]</f>
        <v>0.23010577705451588</v>
      </c>
      <c r="Q538" s="6">
        <f>Table13[[#This Row],[Amount]]/Table13[[#This Row],[Quantity]]</f>
        <v>1536.25</v>
      </c>
    </row>
    <row r="539" spans="1:17" x14ac:dyDescent="0.3">
      <c r="A539" t="s">
        <v>621</v>
      </c>
      <c r="B539">
        <v>2504</v>
      </c>
      <c r="C539">
        <v>440</v>
      </c>
      <c r="D539">
        <v>18</v>
      </c>
      <c r="E539" t="s">
        <v>13</v>
      </c>
      <c r="F539" t="s">
        <v>28</v>
      </c>
      <c r="G539" t="s">
        <v>15</v>
      </c>
      <c r="H539" s="1">
        <v>44127</v>
      </c>
      <c r="I539" t="s">
        <v>622</v>
      </c>
      <c r="J539" t="s">
        <v>42</v>
      </c>
      <c r="K539" t="s">
        <v>43</v>
      </c>
      <c r="L539" s="2" t="s">
        <v>119</v>
      </c>
      <c r="M539" t="str">
        <f>TEXT(Table13[[#This Row],[Order Date]],"MMM")</f>
        <v>Oct</v>
      </c>
      <c r="N539">
        <f>YEAR(Table13[[#This Row],[Order Date]])</f>
        <v>2020</v>
      </c>
      <c r="O539" t="str">
        <f>"Q"&amp;ROUNDUP(MONTH(Table13[[#This Row],[Order Date]])/3,0)</f>
        <v>Q4</v>
      </c>
      <c r="P539" s="5">
        <f>Table13[[#This Row],[Profit]]/Table13[[#This Row],[Amount]]</f>
        <v>0.1757188498402556</v>
      </c>
      <c r="Q539" s="6">
        <f>Table13[[#This Row],[Amount]]/Table13[[#This Row],[Quantity]]</f>
        <v>139.11111111111111</v>
      </c>
    </row>
    <row r="540" spans="1:17" x14ac:dyDescent="0.3">
      <c r="A540" t="s">
        <v>621</v>
      </c>
      <c r="B540">
        <v>3124</v>
      </c>
      <c r="C540">
        <v>138</v>
      </c>
      <c r="D540">
        <v>16</v>
      </c>
      <c r="E540" t="s">
        <v>13</v>
      </c>
      <c r="F540" t="s">
        <v>82</v>
      </c>
      <c r="G540" t="s">
        <v>32</v>
      </c>
      <c r="H540" s="1">
        <v>44127</v>
      </c>
      <c r="I540" t="s">
        <v>622</v>
      </c>
      <c r="J540" t="s">
        <v>42</v>
      </c>
      <c r="K540" t="s">
        <v>43</v>
      </c>
      <c r="L540" s="2" t="s">
        <v>119</v>
      </c>
      <c r="M540" t="str">
        <f>TEXT(Table13[[#This Row],[Order Date]],"MMM")</f>
        <v>Oct</v>
      </c>
      <c r="N540">
        <f>YEAR(Table13[[#This Row],[Order Date]])</f>
        <v>2020</v>
      </c>
      <c r="O540" t="str">
        <f>"Q"&amp;ROUNDUP(MONTH(Table13[[#This Row],[Order Date]])/3,0)</f>
        <v>Q4</v>
      </c>
      <c r="P540" s="5">
        <f>Table13[[#This Row],[Profit]]/Table13[[#This Row],[Amount]]</f>
        <v>4.4174135723431499E-2</v>
      </c>
      <c r="Q540" s="6">
        <f>Table13[[#This Row],[Amount]]/Table13[[#This Row],[Quantity]]</f>
        <v>195.25</v>
      </c>
    </row>
    <row r="541" spans="1:17" x14ac:dyDescent="0.3">
      <c r="A541" t="s">
        <v>623</v>
      </c>
      <c r="B541">
        <v>6934</v>
      </c>
      <c r="C541">
        <v>1226</v>
      </c>
      <c r="D541">
        <v>1</v>
      </c>
      <c r="E541" t="s">
        <v>13</v>
      </c>
      <c r="F541" t="s">
        <v>14</v>
      </c>
      <c r="G541" t="s">
        <v>32</v>
      </c>
      <c r="H541" s="1">
        <v>44358</v>
      </c>
      <c r="I541" t="s">
        <v>624</v>
      </c>
      <c r="J541" t="s">
        <v>98</v>
      </c>
      <c r="K541" t="s">
        <v>107</v>
      </c>
      <c r="L541" s="2" t="s">
        <v>125</v>
      </c>
      <c r="M541" t="str">
        <f>TEXT(Table13[[#This Row],[Order Date]],"MMM")</f>
        <v>Jun</v>
      </c>
      <c r="N541">
        <f>YEAR(Table13[[#This Row],[Order Date]])</f>
        <v>2021</v>
      </c>
      <c r="O541" t="str">
        <f>"Q"&amp;ROUNDUP(MONTH(Table13[[#This Row],[Order Date]])/3,0)</f>
        <v>Q2</v>
      </c>
      <c r="P541" s="5">
        <f>Table13[[#This Row],[Profit]]/Table13[[#This Row],[Amount]]</f>
        <v>0.1768099221228728</v>
      </c>
      <c r="Q541" s="6">
        <f>Table13[[#This Row],[Amount]]/Table13[[#This Row],[Quantity]]</f>
        <v>6934</v>
      </c>
    </row>
    <row r="542" spans="1:17" x14ac:dyDescent="0.3">
      <c r="A542" t="s">
        <v>623</v>
      </c>
      <c r="B542">
        <v>6934</v>
      </c>
      <c r="C542">
        <v>1226</v>
      </c>
      <c r="D542">
        <v>1</v>
      </c>
      <c r="E542" t="s">
        <v>13</v>
      </c>
      <c r="F542" t="s">
        <v>14</v>
      </c>
      <c r="G542" t="s">
        <v>32</v>
      </c>
      <c r="H542" s="1">
        <v>44447</v>
      </c>
      <c r="I542" t="s">
        <v>595</v>
      </c>
      <c r="J542" t="s">
        <v>25</v>
      </c>
      <c r="K542" t="s">
        <v>68</v>
      </c>
      <c r="L542" s="2" t="s">
        <v>224</v>
      </c>
      <c r="M542" t="str">
        <f>TEXT(Table13[[#This Row],[Order Date]],"MMM")</f>
        <v>Sep</v>
      </c>
      <c r="N542">
        <f>YEAR(Table13[[#This Row],[Order Date]])</f>
        <v>2021</v>
      </c>
      <c r="O542" t="str">
        <f>"Q"&amp;ROUNDUP(MONTH(Table13[[#This Row],[Order Date]])/3,0)</f>
        <v>Q3</v>
      </c>
      <c r="P542" s="5">
        <f>Table13[[#This Row],[Profit]]/Table13[[#This Row],[Amount]]</f>
        <v>0.1768099221228728</v>
      </c>
      <c r="Q542" s="6">
        <f>Table13[[#This Row],[Amount]]/Table13[[#This Row],[Quantity]]</f>
        <v>6934</v>
      </c>
    </row>
    <row r="543" spans="1:17" x14ac:dyDescent="0.3">
      <c r="A543" t="s">
        <v>625</v>
      </c>
      <c r="B543">
        <v>4202</v>
      </c>
      <c r="C543">
        <v>1171</v>
      </c>
      <c r="D543">
        <v>3</v>
      </c>
      <c r="E543" t="s">
        <v>30</v>
      </c>
      <c r="F543" t="s">
        <v>57</v>
      </c>
      <c r="G543" t="s">
        <v>65</v>
      </c>
      <c r="H543" s="1">
        <v>44888</v>
      </c>
      <c r="I543" t="s">
        <v>626</v>
      </c>
      <c r="J543" t="s">
        <v>21</v>
      </c>
      <c r="K543" t="s">
        <v>172</v>
      </c>
      <c r="L543" s="2" t="s">
        <v>44</v>
      </c>
      <c r="M543" t="str">
        <f>TEXT(Table13[[#This Row],[Order Date]],"MMM")</f>
        <v>Nov</v>
      </c>
      <c r="N543">
        <f>YEAR(Table13[[#This Row],[Order Date]])</f>
        <v>2022</v>
      </c>
      <c r="O543" t="str">
        <f>"Q"&amp;ROUNDUP(MONTH(Table13[[#This Row],[Order Date]])/3,0)</f>
        <v>Q4</v>
      </c>
      <c r="P543" s="5">
        <f>Table13[[#This Row],[Profit]]/Table13[[#This Row],[Amount]]</f>
        <v>0.27867682056163734</v>
      </c>
      <c r="Q543" s="6">
        <f>Table13[[#This Row],[Amount]]/Table13[[#This Row],[Quantity]]</f>
        <v>1400.6666666666667</v>
      </c>
    </row>
    <row r="544" spans="1:17" x14ac:dyDescent="0.3">
      <c r="A544" t="s">
        <v>625</v>
      </c>
      <c r="B544">
        <v>4202</v>
      </c>
      <c r="C544">
        <v>1171</v>
      </c>
      <c r="D544">
        <v>3</v>
      </c>
      <c r="E544" t="s">
        <v>30</v>
      </c>
      <c r="F544" t="s">
        <v>57</v>
      </c>
      <c r="G544" t="s">
        <v>65</v>
      </c>
      <c r="H544" s="1">
        <v>44865</v>
      </c>
      <c r="I544" t="s">
        <v>627</v>
      </c>
      <c r="J544" t="s">
        <v>25</v>
      </c>
      <c r="K544" t="s">
        <v>68</v>
      </c>
      <c r="L544" s="2" t="s">
        <v>96</v>
      </c>
      <c r="M544" t="str">
        <f>TEXT(Table13[[#This Row],[Order Date]],"MMM")</f>
        <v>Oct</v>
      </c>
      <c r="N544">
        <f>YEAR(Table13[[#This Row],[Order Date]])</f>
        <v>2022</v>
      </c>
      <c r="O544" t="str">
        <f>"Q"&amp;ROUNDUP(MONTH(Table13[[#This Row],[Order Date]])/3,0)</f>
        <v>Q4</v>
      </c>
      <c r="P544" s="5">
        <f>Table13[[#This Row],[Profit]]/Table13[[#This Row],[Amount]]</f>
        <v>0.27867682056163734</v>
      </c>
      <c r="Q544" s="6">
        <f>Table13[[#This Row],[Amount]]/Table13[[#This Row],[Quantity]]</f>
        <v>1400.6666666666667</v>
      </c>
    </row>
    <row r="545" spans="1:17" x14ac:dyDescent="0.3">
      <c r="A545" t="s">
        <v>625</v>
      </c>
      <c r="B545">
        <v>4202</v>
      </c>
      <c r="C545">
        <v>1171</v>
      </c>
      <c r="D545">
        <v>3</v>
      </c>
      <c r="E545" t="s">
        <v>30</v>
      </c>
      <c r="F545" t="s">
        <v>57</v>
      </c>
      <c r="G545" t="s">
        <v>65</v>
      </c>
      <c r="H545" s="1">
        <v>45236</v>
      </c>
      <c r="I545" t="s">
        <v>628</v>
      </c>
      <c r="J545" t="s">
        <v>17</v>
      </c>
      <c r="K545" t="s">
        <v>150</v>
      </c>
      <c r="L545" s="2" t="s">
        <v>52</v>
      </c>
      <c r="M545" t="str">
        <f>TEXT(Table13[[#This Row],[Order Date]],"MMM")</f>
        <v>Nov</v>
      </c>
      <c r="N545">
        <f>YEAR(Table13[[#This Row],[Order Date]])</f>
        <v>2023</v>
      </c>
      <c r="O545" t="str">
        <f>"Q"&amp;ROUNDUP(MONTH(Table13[[#This Row],[Order Date]])/3,0)</f>
        <v>Q4</v>
      </c>
      <c r="P545" s="5">
        <f>Table13[[#This Row],[Profit]]/Table13[[#This Row],[Amount]]</f>
        <v>0.27867682056163734</v>
      </c>
      <c r="Q545" s="6">
        <f>Table13[[#This Row],[Amount]]/Table13[[#This Row],[Quantity]]</f>
        <v>1400.6666666666667</v>
      </c>
    </row>
    <row r="546" spans="1:17" x14ac:dyDescent="0.3">
      <c r="A546" t="s">
        <v>625</v>
      </c>
      <c r="B546">
        <v>4202</v>
      </c>
      <c r="C546">
        <v>1171</v>
      </c>
      <c r="D546">
        <v>3</v>
      </c>
      <c r="E546" t="s">
        <v>30</v>
      </c>
      <c r="F546" t="s">
        <v>57</v>
      </c>
      <c r="G546" t="s">
        <v>65</v>
      </c>
      <c r="H546" s="1">
        <v>45242</v>
      </c>
      <c r="I546" t="s">
        <v>629</v>
      </c>
      <c r="J546" t="s">
        <v>71</v>
      </c>
      <c r="K546" t="s">
        <v>138</v>
      </c>
      <c r="L546" s="2" t="s">
        <v>52</v>
      </c>
      <c r="M546" t="str">
        <f>TEXT(Table13[[#This Row],[Order Date]],"MMM")</f>
        <v>Nov</v>
      </c>
      <c r="N546">
        <f>YEAR(Table13[[#This Row],[Order Date]])</f>
        <v>2023</v>
      </c>
      <c r="O546" t="str">
        <f>"Q"&amp;ROUNDUP(MONTH(Table13[[#This Row],[Order Date]])/3,0)</f>
        <v>Q4</v>
      </c>
      <c r="P546" s="5">
        <f>Table13[[#This Row],[Profit]]/Table13[[#This Row],[Amount]]</f>
        <v>0.27867682056163734</v>
      </c>
      <c r="Q546" s="6">
        <f>Table13[[#This Row],[Amount]]/Table13[[#This Row],[Quantity]]</f>
        <v>1400.6666666666667</v>
      </c>
    </row>
    <row r="547" spans="1:17" x14ac:dyDescent="0.3">
      <c r="A547" t="s">
        <v>630</v>
      </c>
      <c r="B547">
        <v>2239</v>
      </c>
      <c r="C547">
        <v>828</v>
      </c>
      <c r="D547">
        <v>1</v>
      </c>
      <c r="E547" t="s">
        <v>13</v>
      </c>
      <c r="F547" t="s">
        <v>28</v>
      </c>
      <c r="G547" t="s">
        <v>15</v>
      </c>
      <c r="H547" s="1">
        <v>45103</v>
      </c>
      <c r="I547" t="s">
        <v>631</v>
      </c>
      <c r="J547" t="s">
        <v>42</v>
      </c>
      <c r="K547" t="s">
        <v>43</v>
      </c>
      <c r="L547" s="2" t="s">
        <v>19</v>
      </c>
      <c r="M547" t="str">
        <f>TEXT(Table13[[#This Row],[Order Date]],"MMM")</f>
        <v>Jun</v>
      </c>
      <c r="N547">
        <f>YEAR(Table13[[#This Row],[Order Date]])</f>
        <v>2023</v>
      </c>
      <c r="O547" t="str">
        <f>"Q"&amp;ROUNDUP(MONTH(Table13[[#This Row],[Order Date]])/3,0)</f>
        <v>Q2</v>
      </c>
      <c r="P547" s="5">
        <f>Table13[[#This Row],[Profit]]/Table13[[#This Row],[Amount]]</f>
        <v>0.36980794997766858</v>
      </c>
      <c r="Q547" s="6">
        <f>Table13[[#This Row],[Amount]]/Table13[[#This Row],[Quantity]]</f>
        <v>2239</v>
      </c>
    </row>
    <row r="548" spans="1:17" x14ac:dyDescent="0.3">
      <c r="A548" t="s">
        <v>630</v>
      </c>
      <c r="B548">
        <v>2239</v>
      </c>
      <c r="C548">
        <v>828</v>
      </c>
      <c r="D548">
        <v>1</v>
      </c>
      <c r="E548" t="s">
        <v>13</v>
      </c>
      <c r="F548" t="s">
        <v>28</v>
      </c>
      <c r="G548" t="s">
        <v>15</v>
      </c>
      <c r="H548" s="1">
        <v>45199</v>
      </c>
      <c r="I548" t="s">
        <v>632</v>
      </c>
      <c r="J548" t="s">
        <v>21</v>
      </c>
      <c r="K548" t="s">
        <v>22</v>
      </c>
      <c r="L548" s="2" t="s">
        <v>273</v>
      </c>
      <c r="M548" t="str">
        <f>TEXT(Table13[[#This Row],[Order Date]],"MMM")</f>
        <v>Sep</v>
      </c>
      <c r="N548">
        <f>YEAR(Table13[[#This Row],[Order Date]])</f>
        <v>2023</v>
      </c>
      <c r="O548" t="str">
        <f>"Q"&amp;ROUNDUP(MONTH(Table13[[#This Row],[Order Date]])/3,0)</f>
        <v>Q3</v>
      </c>
      <c r="P548" s="5">
        <f>Table13[[#This Row],[Profit]]/Table13[[#This Row],[Amount]]</f>
        <v>0.36980794997766858</v>
      </c>
      <c r="Q548" s="6">
        <f>Table13[[#This Row],[Amount]]/Table13[[#This Row],[Quantity]]</f>
        <v>2239</v>
      </c>
    </row>
    <row r="549" spans="1:17" x14ac:dyDescent="0.3">
      <c r="A549" t="s">
        <v>630</v>
      </c>
      <c r="B549">
        <v>2450</v>
      </c>
      <c r="C549">
        <v>1002</v>
      </c>
      <c r="D549">
        <v>4</v>
      </c>
      <c r="E549" t="s">
        <v>13</v>
      </c>
      <c r="F549" t="s">
        <v>82</v>
      </c>
      <c r="G549" t="s">
        <v>32</v>
      </c>
      <c r="H549" s="1">
        <v>45103</v>
      </c>
      <c r="I549" t="s">
        <v>631</v>
      </c>
      <c r="J549" t="s">
        <v>42</v>
      </c>
      <c r="K549" t="s">
        <v>43</v>
      </c>
      <c r="L549" s="2" t="s">
        <v>19</v>
      </c>
      <c r="M549" t="str">
        <f>TEXT(Table13[[#This Row],[Order Date]],"MMM")</f>
        <v>Jun</v>
      </c>
      <c r="N549">
        <f>YEAR(Table13[[#This Row],[Order Date]])</f>
        <v>2023</v>
      </c>
      <c r="O549" t="str">
        <f>"Q"&amp;ROUNDUP(MONTH(Table13[[#This Row],[Order Date]])/3,0)</f>
        <v>Q2</v>
      </c>
      <c r="P549" s="5">
        <f>Table13[[#This Row],[Profit]]/Table13[[#This Row],[Amount]]</f>
        <v>0.40897959183673471</v>
      </c>
      <c r="Q549" s="6">
        <f>Table13[[#This Row],[Amount]]/Table13[[#This Row],[Quantity]]</f>
        <v>612.5</v>
      </c>
    </row>
    <row r="550" spans="1:17" x14ac:dyDescent="0.3">
      <c r="A550" t="s">
        <v>630</v>
      </c>
      <c r="B550">
        <v>2450</v>
      </c>
      <c r="C550">
        <v>1002</v>
      </c>
      <c r="D550">
        <v>4</v>
      </c>
      <c r="E550" t="s">
        <v>13</v>
      </c>
      <c r="F550" t="s">
        <v>82</v>
      </c>
      <c r="G550" t="s">
        <v>32</v>
      </c>
      <c r="H550" s="1">
        <v>45199</v>
      </c>
      <c r="I550" t="s">
        <v>632</v>
      </c>
      <c r="J550" t="s">
        <v>21</v>
      </c>
      <c r="K550" t="s">
        <v>22</v>
      </c>
      <c r="L550" s="2" t="s">
        <v>273</v>
      </c>
      <c r="M550" t="str">
        <f>TEXT(Table13[[#This Row],[Order Date]],"MMM")</f>
        <v>Sep</v>
      </c>
      <c r="N550">
        <f>YEAR(Table13[[#This Row],[Order Date]])</f>
        <v>2023</v>
      </c>
      <c r="O550" t="str">
        <f>"Q"&amp;ROUNDUP(MONTH(Table13[[#This Row],[Order Date]])/3,0)</f>
        <v>Q3</v>
      </c>
      <c r="P550" s="5">
        <f>Table13[[#This Row],[Profit]]/Table13[[#This Row],[Amount]]</f>
        <v>0.40897959183673471</v>
      </c>
      <c r="Q550" s="6">
        <f>Table13[[#This Row],[Amount]]/Table13[[#This Row],[Quantity]]</f>
        <v>612.5</v>
      </c>
    </row>
    <row r="551" spans="1:17" x14ac:dyDescent="0.3">
      <c r="A551" t="s">
        <v>633</v>
      </c>
      <c r="B551">
        <v>9827</v>
      </c>
      <c r="C551">
        <v>4208</v>
      </c>
      <c r="D551">
        <v>13</v>
      </c>
      <c r="E551" t="s">
        <v>45</v>
      </c>
      <c r="F551" t="s">
        <v>49</v>
      </c>
      <c r="G551" t="s">
        <v>32</v>
      </c>
      <c r="H551" s="1">
        <v>44086</v>
      </c>
      <c r="I551" t="s">
        <v>634</v>
      </c>
      <c r="J551" t="s">
        <v>25</v>
      </c>
      <c r="K551" t="s">
        <v>51</v>
      </c>
      <c r="L551" s="2" t="s">
        <v>389</v>
      </c>
      <c r="M551" t="str">
        <f>TEXT(Table13[[#This Row],[Order Date]],"MMM")</f>
        <v>Sep</v>
      </c>
      <c r="N551">
        <f>YEAR(Table13[[#This Row],[Order Date]])</f>
        <v>2020</v>
      </c>
      <c r="O551" t="str">
        <f>"Q"&amp;ROUNDUP(MONTH(Table13[[#This Row],[Order Date]])/3,0)</f>
        <v>Q3</v>
      </c>
      <c r="P551" s="5">
        <f>Table13[[#This Row],[Profit]]/Table13[[#This Row],[Amount]]</f>
        <v>0.42820799837183271</v>
      </c>
      <c r="Q551" s="6">
        <f>Table13[[#This Row],[Amount]]/Table13[[#This Row],[Quantity]]</f>
        <v>755.92307692307691</v>
      </c>
    </row>
    <row r="552" spans="1:17" x14ac:dyDescent="0.3">
      <c r="A552" t="s">
        <v>633</v>
      </c>
      <c r="B552">
        <v>8077</v>
      </c>
      <c r="C552">
        <v>240</v>
      </c>
      <c r="D552">
        <v>15</v>
      </c>
      <c r="E552" t="s">
        <v>45</v>
      </c>
      <c r="F552" t="s">
        <v>60</v>
      </c>
      <c r="G552" t="s">
        <v>47</v>
      </c>
      <c r="H552" s="1">
        <v>44086</v>
      </c>
      <c r="I552" t="s">
        <v>634</v>
      </c>
      <c r="J552" t="s">
        <v>25</v>
      </c>
      <c r="K552" t="s">
        <v>51</v>
      </c>
      <c r="L552" s="2" t="s">
        <v>389</v>
      </c>
      <c r="M552" t="str">
        <f>TEXT(Table13[[#This Row],[Order Date]],"MMM")</f>
        <v>Sep</v>
      </c>
      <c r="N552">
        <f>YEAR(Table13[[#This Row],[Order Date]])</f>
        <v>2020</v>
      </c>
      <c r="O552" t="str">
        <f>"Q"&amp;ROUNDUP(MONTH(Table13[[#This Row],[Order Date]])/3,0)</f>
        <v>Q3</v>
      </c>
      <c r="P552" s="5">
        <f>Table13[[#This Row],[Profit]]/Table13[[#This Row],[Amount]]</f>
        <v>2.9714002723783581E-2</v>
      </c>
      <c r="Q552" s="6">
        <f>Table13[[#This Row],[Amount]]/Table13[[#This Row],[Quantity]]</f>
        <v>538.4666666666667</v>
      </c>
    </row>
    <row r="553" spans="1:17" x14ac:dyDescent="0.3">
      <c r="A553" t="s">
        <v>635</v>
      </c>
      <c r="B553">
        <v>5152</v>
      </c>
      <c r="C553">
        <v>2045</v>
      </c>
      <c r="D553">
        <v>14</v>
      </c>
      <c r="E553" t="s">
        <v>13</v>
      </c>
      <c r="F553" t="s">
        <v>82</v>
      </c>
      <c r="G553" t="s">
        <v>15</v>
      </c>
      <c r="H553" s="1">
        <v>44162</v>
      </c>
      <c r="I553" t="s">
        <v>636</v>
      </c>
      <c r="J553" t="s">
        <v>21</v>
      </c>
      <c r="K553" t="s">
        <v>63</v>
      </c>
      <c r="L553" s="2" t="s">
        <v>80</v>
      </c>
      <c r="M553" t="str">
        <f>TEXT(Table13[[#This Row],[Order Date]],"MMM")</f>
        <v>Nov</v>
      </c>
      <c r="N553">
        <f>YEAR(Table13[[#This Row],[Order Date]])</f>
        <v>2020</v>
      </c>
      <c r="O553" t="str">
        <f>"Q"&amp;ROUNDUP(MONTH(Table13[[#This Row],[Order Date]])/3,0)</f>
        <v>Q4</v>
      </c>
      <c r="P553" s="5">
        <f>Table13[[#This Row],[Profit]]/Table13[[#This Row],[Amount]]</f>
        <v>0.39693322981366458</v>
      </c>
      <c r="Q553" s="6">
        <f>Table13[[#This Row],[Amount]]/Table13[[#This Row],[Quantity]]</f>
        <v>368</v>
      </c>
    </row>
    <row r="554" spans="1:17" x14ac:dyDescent="0.3">
      <c r="A554" t="s">
        <v>635</v>
      </c>
      <c r="B554">
        <v>5152</v>
      </c>
      <c r="C554">
        <v>2045</v>
      </c>
      <c r="D554">
        <v>14</v>
      </c>
      <c r="E554" t="s">
        <v>13</v>
      </c>
      <c r="F554" t="s">
        <v>82</v>
      </c>
      <c r="G554" t="s">
        <v>15</v>
      </c>
      <c r="H554" s="1">
        <v>44798</v>
      </c>
      <c r="I554" t="s">
        <v>637</v>
      </c>
      <c r="J554" t="s">
        <v>42</v>
      </c>
      <c r="K554" t="s">
        <v>43</v>
      </c>
      <c r="L554" s="2" t="s">
        <v>209</v>
      </c>
      <c r="M554" t="str">
        <f>TEXT(Table13[[#This Row],[Order Date]],"MMM")</f>
        <v>Aug</v>
      </c>
      <c r="N554">
        <f>YEAR(Table13[[#This Row],[Order Date]])</f>
        <v>2022</v>
      </c>
      <c r="O554" t="str">
        <f>"Q"&amp;ROUNDUP(MONTH(Table13[[#This Row],[Order Date]])/3,0)</f>
        <v>Q3</v>
      </c>
      <c r="P554" s="5">
        <f>Table13[[#This Row],[Profit]]/Table13[[#This Row],[Amount]]</f>
        <v>0.39693322981366458</v>
      </c>
      <c r="Q554" s="6">
        <f>Table13[[#This Row],[Amount]]/Table13[[#This Row],[Quantity]]</f>
        <v>368</v>
      </c>
    </row>
    <row r="555" spans="1:17" x14ac:dyDescent="0.3">
      <c r="A555" t="s">
        <v>635</v>
      </c>
      <c r="B555">
        <v>5152</v>
      </c>
      <c r="C555">
        <v>2045</v>
      </c>
      <c r="D555">
        <v>14</v>
      </c>
      <c r="E555" t="s">
        <v>13</v>
      </c>
      <c r="F555" t="s">
        <v>82</v>
      </c>
      <c r="G555" t="s">
        <v>15</v>
      </c>
      <c r="H555" s="1">
        <v>45161</v>
      </c>
      <c r="I555" t="s">
        <v>638</v>
      </c>
      <c r="J555" t="s">
        <v>21</v>
      </c>
      <c r="K555" t="s">
        <v>22</v>
      </c>
      <c r="L555" s="2" t="s">
        <v>121</v>
      </c>
      <c r="M555" t="str">
        <f>TEXT(Table13[[#This Row],[Order Date]],"MMM")</f>
        <v>Aug</v>
      </c>
      <c r="N555">
        <f>YEAR(Table13[[#This Row],[Order Date]])</f>
        <v>2023</v>
      </c>
      <c r="O555" t="str">
        <f>"Q"&amp;ROUNDUP(MONTH(Table13[[#This Row],[Order Date]])/3,0)</f>
        <v>Q3</v>
      </c>
      <c r="P555" s="5">
        <f>Table13[[#This Row],[Profit]]/Table13[[#This Row],[Amount]]</f>
        <v>0.39693322981366458</v>
      </c>
      <c r="Q555" s="6">
        <f>Table13[[#This Row],[Amount]]/Table13[[#This Row],[Quantity]]</f>
        <v>368</v>
      </c>
    </row>
    <row r="556" spans="1:17" x14ac:dyDescent="0.3">
      <c r="A556" t="s">
        <v>635</v>
      </c>
      <c r="B556">
        <v>5152</v>
      </c>
      <c r="C556">
        <v>2045</v>
      </c>
      <c r="D556">
        <v>14</v>
      </c>
      <c r="E556" t="s">
        <v>13</v>
      </c>
      <c r="F556" t="s">
        <v>82</v>
      </c>
      <c r="G556" t="s">
        <v>15</v>
      </c>
      <c r="H556" s="1">
        <v>45210</v>
      </c>
      <c r="I556" t="s">
        <v>639</v>
      </c>
      <c r="J556" t="s">
        <v>25</v>
      </c>
      <c r="K556" t="s">
        <v>68</v>
      </c>
      <c r="L556" s="2" t="s">
        <v>442</v>
      </c>
      <c r="M556" t="str">
        <f>TEXT(Table13[[#This Row],[Order Date]],"MMM")</f>
        <v>Oct</v>
      </c>
      <c r="N556">
        <f>YEAR(Table13[[#This Row],[Order Date]])</f>
        <v>2023</v>
      </c>
      <c r="O556" t="str">
        <f>"Q"&amp;ROUNDUP(MONTH(Table13[[#This Row],[Order Date]])/3,0)</f>
        <v>Q4</v>
      </c>
      <c r="P556" s="5">
        <f>Table13[[#This Row],[Profit]]/Table13[[#This Row],[Amount]]</f>
        <v>0.39693322981366458</v>
      </c>
      <c r="Q556" s="6">
        <f>Table13[[#This Row],[Amount]]/Table13[[#This Row],[Quantity]]</f>
        <v>368</v>
      </c>
    </row>
    <row r="557" spans="1:17" x14ac:dyDescent="0.3">
      <c r="A557" t="s">
        <v>640</v>
      </c>
      <c r="B557">
        <v>2542</v>
      </c>
      <c r="C557">
        <v>190</v>
      </c>
      <c r="D557">
        <v>1</v>
      </c>
      <c r="E557" t="s">
        <v>30</v>
      </c>
      <c r="F557" t="s">
        <v>57</v>
      </c>
      <c r="G557" t="s">
        <v>47</v>
      </c>
      <c r="H557" s="1">
        <v>44672</v>
      </c>
      <c r="I557" t="s">
        <v>641</v>
      </c>
      <c r="J557" t="s">
        <v>71</v>
      </c>
      <c r="K557" t="s">
        <v>138</v>
      </c>
      <c r="L557" s="2" t="s">
        <v>187</v>
      </c>
      <c r="M557" t="str">
        <f>TEXT(Table13[[#This Row],[Order Date]],"MMM")</f>
        <v>Apr</v>
      </c>
      <c r="N557">
        <f>YEAR(Table13[[#This Row],[Order Date]])</f>
        <v>2022</v>
      </c>
      <c r="O557" t="str">
        <f>"Q"&amp;ROUNDUP(MONTH(Table13[[#This Row],[Order Date]])/3,0)</f>
        <v>Q2</v>
      </c>
      <c r="P557" s="5">
        <f>Table13[[#This Row],[Profit]]/Table13[[#This Row],[Amount]]</f>
        <v>7.4744295830055069E-2</v>
      </c>
      <c r="Q557" s="6">
        <f>Table13[[#This Row],[Amount]]/Table13[[#This Row],[Quantity]]</f>
        <v>2542</v>
      </c>
    </row>
    <row r="558" spans="1:17" x14ac:dyDescent="0.3">
      <c r="A558" t="s">
        <v>642</v>
      </c>
      <c r="B558">
        <v>8102</v>
      </c>
      <c r="C558">
        <v>1800</v>
      </c>
      <c r="D558">
        <v>5</v>
      </c>
      <c r="E558" t="s">
        <v>30</v>
      </c>
      <c r="F558" t="s">
        <v>57</v>
      </c>
      <c r="G558" t="s">
        <v>15</v>
      </c>
      <c r="H558" s="1">
        <v>45183</v>
      </c>
      <c r="I558" t="s">
        <v>643</v>
      </c>
      <c r="J558" t="s">
        <v>42</v>
      </c>
      <c r="K558" t="s">
        <v>92</v>
      </c>
      <c r="L558" s="2" t="s">
        <v>273</v>
      </c>
      <c r="M558" t="str">
        <f>TEXT(Table13[[#This Row],[Order Date]],"MMM")</f>
        <v>Sep</v>
      </c>
      <c r="N558">
        <f>YEAR(Table13[[#This Row],[Order Date]])</f>
        <v>2023</v>
      </c>
      <c r="O558" t="str">
        <f>"Q"&amp;ROUNDUP(MONTH(Table13[[#This Row],[Order Date]])/3,0)</f>
        <v>Q3</v>
      </c>
      <c r="P558" s="5">
        <f>Table13[[#This Row],[Profit]]/Table13[[#This Row],[Amount]]</f>
        <v>0.22216736608244878</v>
      </c>
      <c r="Q558" s="6">
        <f>Table13[[#This Row],[Amount]]/Table13[[#This Row],[Quantity]]</f>
        <v>1620.4</v>
      </c>
    </row>
    <row r="559" spans="1:17" x14ac:dyDescent="0.3">
      <c r="A559" t="s">
        <v>642</v>
      </c>
      <c r="B559">
        <v>8102</v>
      </c>
      <c r="C559">
        <v>1800</v>
      </c>
      <c r="D559">
        <v>5</v>
      </c>
      <c r="E559" t="s">
        <v>30</v>
      </c>
      <c r="F559" t="s">
        <v>57</v>
      </c>
      <c r="G559" t="s">
        <v>15</v>
      </c>
      <c r="H559" s="1">
        <v>43950</v>
      </c>
      <c r="I559" t="s">
        <v>644</v>
      </c>
      <c r="J559" t="s">
        <v>25</v>
      </c>
      <c r="K559" t="s">
        <v>26</v>
      </c>
      <c r="L559" s="2" t="s">
        <v>162</v>
      </c>
      <c r="M559" t="str">
        <f>TEXT(Table13[[#This Row],[Order Date]],"MMM")</f>
        <v>Apr</v>
      </c>
      <c r="N559">
        <f>YEAR(Table13[[#This Row],[Order Date]])</f>
        <v>2020</v>
      </c>
      <c r="O559" t="str">
        <f>"Q"&amp;ROUNDUP(MONTH(Table13[[#This Row],[Order Date]])/3,0)</f>
        <v>Q2</v>
      </c>
      <c r="P559" s="5">
        <f>Table13[[#This Row],[Profit]]/Table13[[#This Row],[Amount]]</f>
        <v>0.22216736608244878</v>
      </c>
      <c r="Q559" s="6">
        <f>Table13[[#This Row],[Amount]]/Table13[[#This Row],[Quantity]]</f>
        <v>1620.4</v>
      </c>
    </row>
    <row r="560" spans="1:17" x14ac:dyDescent="0.3">
      <c r="A560" t="s">
        <v>642</v>
      </c>
      <c r="B560">
        <v>8102</v>
      </c>
      <c r="C560">
        <v>1800</v>
      </c>
      <c r="D560">
        <v>5</v>
      </c>
      <c r="E560" t="s">
        <v>30</v>
      </c>
      <c r="F560" t="s">
        <v>57</v>
      </c>
      <c r="G560" t="s">
        <v>15</v>
      </c>
      <c r="H560" s="1">
        <v>44180</v>
      </c>
      <c r="I560" t="s">
        <v>645</v>
      </c>
      <c r="J560" t="s">
        <v>98</v>
      </c>
      <c r="K560" t="s">
        <v>117</v>
      </c>
      <c r="L560" s="2" t="s">
        <v>287</v>
      </c>
      <c r="M560" t="str">
        <f>TEXT(Table13[[#This Row],[Order Date]],"MMM")</f>
        <v>Dec</v>
      </c>
      <c r="N560">
        <f>YEAR(Table13[[#This Row],[Order Date]])</f>
        <v>2020</v>
      </c>
      <c r="O560" t="str">
        <f>"Q"&amp;ROUNDUP(MONTH(Table13[[#This Row],[Order Date]])/3,0)</f>
        <v>Q4</v>
      </c>
      <c r="P560" s="5">
        <f>Table13[[#This Row],[Profit]]/Table13[[#This Row],[Amount]]</f>
        <v>0.22216736608244878</v>
      </c>
      <c r="Q560" s="6">
        <f>Table13[[#This Row],[Amount]]/Table13[[#This Row],[Quantity]]</f>
        <v>1620.4</v>
      </c>
    </row>
    <row r="561" spans="1:17" x14ac:dyDescent="0.3">
      <c r="A561" t="s">
        <v>642</v>
      </c>
      <c r="B561">
        <v>3234</v>
      </c>
      <c r="C561">
        <v>1274</v>
      </c>
      <c r="D561">
        <v>10</v>
      </c>
      <c r="E561" t="s">
        <v>45</v>
      </c>
      <c r="F561" t="s">
        <v>46</v>
      </c>
      <c r="G561" t="s">
        <v>40</v>
      </c>
      <c r="H561" s="1">
        <v>45183</v>
      </c>
      <c r="I561" t="s">
        <v>643</v>
      </c>
      <c r="J561" t="s">
        <v>42</v>
      </c>
      <c r="K561" t="s">
        <v>92</v>
      </c>
      <c r="L561" s="2" t="s">
        <v>273</v>
      </c>
      <c r="M561" t="str">
        <f>TEXT(Table13[[#This Row],[Order Date]],"MMM")</f>
        <v>Sep</v>
      </c>
      <c r="N561">
        <f>YEAR(Table13[[#This Row],[Order Date]])</f>
        <v>2023</v>
      </c>
      <c r="O561" t="str">
        <f>"Q"&amp;ROUNDUP(MONTH(Table13[[#This Row],[Order Date]])/3,0)</f>
        <v>Q3</v>
      </c>
      <c r="P561" s="5">
        <f>Table13[[#This Row],[Profit]]/Table13[[#This Row],[Amount]]</f>
        <v>0.39393939393939392</v>
      </c>
      <c r="Q561" s="6">
        <f>Table13[[#This Row],[Amount]]/Table13[[#This Row],[Quantity]]</f>
        <v>323.39999999999998</v>
      </c>
    </row>
    <row r="562" spans="1:17" x14ac:dyDescent="0.3">
      <c r="A562" t="s">
        <v>642</v>
      </c>
      <c r="B562">
        <v>3234</v>
      </c>
      <c r="C562">
        <v>1274</v>
      </c>
      <c r="D562">
        <v>10</v>
      </c>
      <c r="E562" t="s">
        <v>45</v>
      </c>
      <c r="F562" t="s">
        <v>46</v>
      </c>
      <c r="G562" t="s">
        <v>40</v>
      </c>
      <c r="H562" s="1">
        <v>43950</v>
      </c>
      <c r="I562" t="s">
        <v>644</v>
      </c>
      <c r="J562" t="s">
        <v>25</v>
      </c>
      <c r="K562" t="s">
        <v>26</v>
      </c>
      <c r="L562" s="2" t="s">
        <v>162</v>
      </c>
      <c r="M562" t="str">
        <f>TEXT(Table13[[#This Row],[Order Date]],"MMM")</f>
        <v>Apr</v>
      </c>
      <c r="N562">
        <f>YEAR(Table13[[#This Row],[Order Date]])</f>
        <v>2020</v>
      </c>
      <c r="O562" t="str">
        <f>"Q"&amp;ROUNDUP(MONTH(Table13[[#This Row],[Order Date]])/3,0)</f>
        <v>Q2</v>
      </c>
      <c r="P562" s="5">
        <f>Table13[[#This Row],[Profit]]/Table13[[#This Row],[Amount]]</f>
        <v>0.39393939393939392</v>
      </c>
      <c r="Q562" s="6">
        <f>Table13[[#This Row],[Amount]]/Table13[[#This Row],[Quantity]]</f>
        <v>323.39999999999998</v>
      </c>
    </row>
    <row r="563" spans="1:17" x14ac:dyDescent="0.3">
      <c r="A563" t="s">
        <v>642</v>
      </c>
      <c r="B563">
        <v>3234</v>
      </c>
      <c r="C563">
        <v>1274</v>
      </c>
      <c r="D563">
        <v>10</v>
      </c>
      <c r="E563" t="s">
        <v>45</v>
      </c>
      <c r="F563" t="s">
        <v>46</v>
      </c>
      <c r="G563" t="s">
        <v>40</v>
      </c>
      <c r="H563" s="1">
        <v>44180</v>
      </c>
      <c r="I563" t="s">
        <v>645</v>
      </c>
      <c r="J563" t="s">
        <v>98</v>
      </c>
      <c r="K563" t="s">
        <v>117</v>
      </c>
      <c r="L563" s="2" t="s">
        <v>287</v>
      </c>
      <c r="M563" t="str">
        <f>TEXT(Table13[[#This Row],[Order Date]],"MMM")</f>
        <v>Dec</v>
      </c>
      <c r="N563">
        <f>YEAR(Table13[[#This Row],[Order Date]])</f>
        <v>2020</v>
      </c>
      <c r="O563" t="str">
        <f>"Q"&amp;ROUNDUP(MONTH(Table13[[#This Row],[Order Date]])/3,0)</f>
        <v>Q4</v>
      </c>
      <c r="P563" s="5">
        <f>Table13[[#This Row],[Profit]]/Table13[[#This Row],[Amount]]</f>
        <v>0.39393939393939392</v>
      </c>
      <c r="Q563" s="6">
        <f>Table13[[#This Row],[Amount]]/Table13[[#This Row],[Quantity]]</f>
        <v>323.39999999999998</v>
      </c>
    </row>
    <row r="564" spans="1:17" x14ac:dyDescent="0.3">
      <c r="A564" t="s">
        <v>646</v>
      </c>
      <c r="B564">
        <v>6200</v>
      </c>
      <c r="C564">
        <v>2321</v>
      </c>
      <c r="D564">
        <v>18</v>
      </c>
      <c r="E564" t="s">
        <v>45</v>
      </c>
      <c r="F564" t="s">
        <v>46</v>
      </c>
      <c r="G564" t="s">
        <v>47</v>
      </c>
      <c r="H564" s="1">
        <v>45484</v>
      </c>
      <c r="I564" t="s">
        <v>647</v>
      </c>
      <c r="J564" t="s">
        <v>42</v>
      </c>
      <c r="K564" t="s">
        <v>43</v>
      </c>
      <c r="L564" s="2" t="s">
        <v>215</v>
      </c>
      <c r="M564" t="str">
        <f>TEXT(Table13[[#This Row],[Order Date]],"MMM")</f>
        <v>Jul</v>
      </c>
      <c r="N564">
        <f>YEAR(Table13[[#This Row],[Order Date]])</f>
        <v>2024</v>
      </c>
      <c r="O564" t="str">
        <f>"Q"&amp;ROUNDUP(MONTH(Table13[[#This Row],[Order Date]])/3,0)</f>
        <v>Q3</v>
      </c>
      <c r="P564" s="5">
        <f>Table13[[#This Row],[Profit]]/Table13[[#This Row],[Amount]]</f>
        <v>0.3743548387096774</v>
      </c>
      <c r="Q564" s="6">
        <f>Table13[[#This Row],[Amount]]/Table13[[#This Row],[Quantity]]</f>
        <v>344.44444444444446</v>
      </c>
    </row>
    <row r="565" spans="1:17" x14ac:dyDescent="0.3">
      <c r="A565" t="s">
        <v>646</v>
      </c>
      <c r="B565">
        <v>6200</v>
      </c>
      <c r="C565">
        <v>2321</v>
      </c>
      <c r="D565">
        <v>18</v>
      </c>
      <c r="E565" t="s">
        <v>45</v>
      </c>
      <c r="F565" t="s">
        <v>46</v>
      </c>
      <c r="G565" t="s">
        <v>47</v>
      </c>
      <c r="H565" s="1">
        <v>45556</v>
      </c>
      <c r="I565" t="s">
        <v>648</v>
      </c>
      <c r="J565" t="s">
        <v>17</v>
      </c>
      <c r="K565" t="s">
        <v>18</v>
      </c>
      <c r="L565" s="2" t="s">
        <v>159</v>
      </c>
      <c r="M565" t="str">
        <f>TEXT(Table13[[#This Row],[Order Date]],"MMM")</f>
        <v>Sep</v>
      </c>
      <c r="N565">
        <f>YEAR(Table13[[#This Row],[Order Date]])</f>
        <v>2024</v>
      </c>
      <c r="O565" t="str">
        <f>"Q"&amp;ROUNDUP(MONTH(Table13[[#This Row],[Order Date]])/3,0)</f>
        <v>Q3</v>
      </c>
      <c r="P565" s="5">
        <f>Table13[[#This Row],[Profit]]/Table13[[#This Row],[Amount]]</f>
        <v>0.3743548387096774</v>
      </c>
      <c r="Q565" s="6">
        <f>Table13[[#This Row],[Amount]]/Table13[[#This Row],[Quantity]]</f>
        <v>344.44444444444446</v>
      </c>
    </row>
    <row r="566" spans="1:17" x14ac:dyDescent="0.3">
      <c r="A566" t="s">
        <v>649</v>
      </c>
      <c r="B566">
        <v>4470</v>
      </c>
      <c r="C566">
        <v>413</v>
      </c>
      <c r="D566">
        <v>13</v>
      </c>
      <c r="E566" t="s">
        <v>13</v>
      </c>
      <c r="F566" t="s">
        <v>39</v>
      </c>
      <c r="G566" t="s">
        <v>15</v>
      </c>
      <c r="H566" s="1">
        <v>45690</v>
      </c>
      <c r="I566" t="s">
        <v>650</v>
      </c>
      <c r="J566" t="s">
        <v>42</v>
      </c>
      <c r="K566" t="s">
        <v>43</v>
      </c>
      <c r="L566" s="2" t="s">
        <v>73</v>
      </c>
      <c r="M566" t="str">
        <f>TEXT(Table13[[#This Row],[Order Date]],"MMM")</f>
        <v>Feb</v>
      </c>
      <c r="N566">
        <f>YEAR(Table13[[#This Row],[Order Date]])</f>
        <v>2025</v>
      </c>
      <c r="O566" t="str">
        <f>"Q"&amp;ROUNDUP(MONTH(Table13[[#This Row],[Order Date]])/3,0)</f>
        <v>Q1</v>
      </c>
      <c r="P566" s="5">
        <f>Table13[[#This Row],[Profit]]/Table13[[#This Row],[Amount]]</f>
        <v>9.2393736017897091E-2</v>
      </c>
      <c r="Q566" s="6">
        <f>Table13[[#This Row],[Amount]]/Table13[[#This Row],[Quantity]]</f>
        <v>343.84615384615387</v>
      </c>
    </row>
    <row r="567" spans="1:17" x14ac:dyDescent="0.3">
      <c r="A567" t="s">
        <v>651</v>
      </c>
      <c r="B567">
        <v>916</v>
      </c>
      <c r="C567">
        <v>362</v>
      </c>
      <c r="D567">
        <v>7</v>
      </c>
      <c r="E567" t="s">
        <v>30</v>
      </c>
      <c r="F567" t="s">
        <v>31</v>
      </c>
      <c r="G567" t="s">
        <v>15</v>
      </c>
      <c r="H567" s="1">
        <v>44855</v>
      </c>
      <c r="I567" t="s">
        <v>652</v>
      </c>
      <c r="J567" t="s">
        <v>21</v>
      </c>
      <c r="K567" t="s">
        <v>63</v>
      </c>
      <c r="L567" s="2" t="s">
        <v>96</v>
      </c>
      <c r="M567" t="str">
        <f>TEXT(Table13[[#This Row],[Order Date]],"MMM")</f>
        <v>Oct</v>
      </c>
      <c r="N567">
        <f>YEAR(Table13[[#This Row],[Order Date]])</f>
        <v>2022</v>
      </c>
      <c r="O567" t="str">
        <f>"Q"&amp;ROUNDUP(MONTH(Table13[[#This Row],[Order Date]])/3,0)</f>
        <v>Q4</v>
      </c>
      <c r="P567" s="5">
        <f>Table13[[#This Row],[Profit]]/Table13[[#This Row],[Amount]]</f>
        <v>0.39519650655021832</v>
      </c>
      <c r="Q567" s="6">
        <f>Table13[[#This Row],[Amount]]/Table13[[#This Row],[Quantity]]</f>
        <v>130.85714285714286</v>
      </c>
    </row>
    <row r="568" spans="1:17" x14ac:dyDescent="0.3">
      <c r="A568" t="s">
        <v>651</v>
      </c>
      <c r="B568">
        <v>916</v>
      </c>
      <c r="C568">
        <v>362</v>
      </c>
      <c r="D568">
        <v>7</v>
      </c>
      <c r="E568" t="s">
        <v>30</v>
      </c>
      <c r="F568" t="s">
        <v>31</v>
      </c>
      <c r="G568" t="s">
        <v>15</v>
      </c>
      <c r="H568" s="1">
        <v>44125</v>
      </c>
      <c r="I568" t="s">
        <v>653</v>
      </c>
      <c r="J568" t="s">
        <v>42</v>
      </c>
      <c r="K568" t="s">
        <v>92</v>
      </c>
      <c r="L568" s="2" t="s">
        <v>119</v>
      </c>
      <c r="M568" t="str">
        <f>TEXT(Table13[[#This Row],[Order Date]],"MMM")</f>
        <v>Oct</v>
      </c>
      <c r="N568">
        <f>YEAR(Table13[[#This Row],[Order Date]])</f>
        <v>2020</v>
      </c>
      <c r="O568" t="str">
        <f>"Q"&amp;ROUNDUP(MONTH(Table13[[#This Row],[Order Date]])/3,0)</f>
        <v>Q4</v>
      </c>
      <c r="P568" s="5">
        <f>Table13[[#This Row],[Profit]]/Table13[[#This Row],[Amount]]</f>
        <v>0.39519650655021832</v>
      </c>
      <c r="Q568" s="6">
        <f>Table13[[#This Row],[Amount]]/Table13[[#This Row],[Quantity]]</f>
        <v>130.85714285714286</v>
      </c>
    </row>
    <row r="569" spans="1:17" x14ac:dyDescent="0.3">
      <c r="A569" t="s">
        <v>651</v>
      </c>
      <c r="B569">
        <v>1165</v>
      </c>
      <c r="C569">
        <v>302</v>
      </c>
      <c r="D569">
        <v>20</v>
      </c>
      <c r="E569" t="s">
        <v>45</v>
      </c>
      <c r="F569" t="s">
        <v>60</v>
      </c>
      <c r="G569" t="s">
        <v>15</v>
      </c>
      <c r="H569" s="1">
        <v>44855</v>
      </c>
      <c r="I569" t="s">
        <v>652</v>
      </c>
      <c r="J569" t="s">
        <v>21</v>
      </c>
      <c r="K569" t="s">
        <v>63</v>
      </c>
      <c r="L569" s="2" t="s">
        <v>96</v>
      </c>
      <c r="M569" t="str">
        <f>TEXT(Table13[[#This Row],[Order Date]],"MMM")</f>
        <v>Oct</v>
      </c>
      <c r="N569">
        <f>YEAR(Table13[[#This Row],[Order Date]])</f>
        <v>2022</v>
      </c>
      <c r="O569" t="str">
        <f>"Q"&amp;ROUNDUP(MONTH(Table13[[#This Row],[Order Date]])/3,0)</f>
        <v>Q4</v>
      </c>
      <c r="P569" s="5">
        <f>Table13[[#This Row],[Profit]]/Table13[[#This Row],[Amount]]</f>
        <v>0.2592274678111588</v>
      </c>
      <c r="Q569" s="6">
        <f>Table13[[#This Row],[Amount]]/Table13[[#This Row],[Quantity]]</f>
        <v>58.25</v>
      </c>
    </row>
    <row r="570" spans="1:17" x14ac:dyDescent="0.3">
      <c r="A570" t="s">
        <v>651</v>
      </c>
      <c r="B570">
        <v>1165</v>
      </c>
      <c r="C570">
        <v>302</v>
      </c>
      <c r="D570">
        <v>20</v>
      </c>
      <c r="E570" t="s">
        <v>45</v>
      </c>
      <c r="F570" t="s">
        <v>60</v>
      </c>
      <c r="G570" t="s">
        <v>15</v>
      </c>
      <c r="H570" s="1">
        <v>44125</v>
      </c>
      <c r="I570" t="s">
        <v>653</v>
      </c>
      <c r="J570" t="s">
        <v>42</v>
      </c>
      <c r="K570" t="s">
        <v>92</v>
      </c>
      <c r="L570" s="2" t="s">
        <v>119</v>
      </c>
      <c r="M570" t="str">
        <f>TEXT(Table13[[#This Row],[Order Date]],"MMM")</f>
        <v>Oct</v>
      </c>
      <c r="N570">
        <f>YEAR(Table13[[#This Row],[Order Date]])</f>
        <v>2020</v>
      </c>
      <c r="O570" t="str">
        <f>"Q"&amp;ROUNDUP(MONTH(Table13[[#This Row],[Order Date]])/3,0)</f>
        <v>Q4</v>
      </c>
      <c r="P570" s="5">
        <f>Table13[[#This Row],[Profit]]/Table13[[#This Row],[Amount]]</f>
        <v>0.2592274678111588</v>
      </c>
      <c r="Q570" s="6">
        <f>Table13[[#This Row],[Amount]]/Table13[[#This Row],[Quantity]]</f>
        <v>58.25</v>
      </c>
    </row>
    <row r="571" spans="1:17" x14ac:dyDescent="0.3">
      <c r="A571" t="s">
        <v>651</v>
      </c>
      <c r="B571">
        <v>7846</v>
      </c>
      <c r="C571">
        <v>677</v>
      </c>
      <c r="D571">
        <v>12</v>
      </c>
      <c r="E571" t="s">
        <v>45</v>
      </c>
      <c r="F571" t="s">
        <v>49</v>
      </c>
      <c r="G571" t="s">
        <v>15</v>
      </c>
      <c r="H571" s="1">
        <v>44855</v>
      </c>
      <c r="I571" t="s">
        <v>652</v>
      </c>
      <c r="J571" t="s">
        <v>21</v>
      </c>
      <c r="K571" t="s">
        <v>63</v>
      </c>
      <c r="L571" s="2" t="s">
        <v>96</v>
      </c>
      <c r="M571" t="str">
        <f>TEXT(Table13[[#This Row],[Order Date]],"MMM")</f>
        <v>Oct</v>
      </c>
      <c r="N571">
        <f>YEAR(Table13[[#This Row],[Order Date]])</f>
        <v>2022</v>
      </c>
      <c r="O571" t="str">
        <f>"Q"&amp;ROUNDUP(MONTH(Table13[[#This Row],[Order Date]])/3,0)</f>
        <v>Q4</v>
      </c>
      <c r="P571" s="5">
        <f>Table13[[#This Row],[Profit]]/Table13[[#This Row],[Amount]]</f>
        <v>8.6286005607953103E-2</v>
      </c>
      <c r="Q571" s="6">
        <f>Table13[[#This Row],[Amount]]/Table13[[#This Row],[Quantity]]</f>
        <v>653.83333333333337</v>
      </c>
    </row>
    <row r="572" spans="1:17" x14ac:dyDescent="0.3">
      <c r="A572" t="s">
        <v>651</v>
      </c>
      <c r="B572">
        <v>7846</v>
      </c>
      <c r="C572">
        <v>677</v>
      </c>
      <c r="D572">
        <v>12</v>
      </c>
      <c r="E572" t="s">
        <v>45</v>
      </c>
      <c r="F572" t="s">
        <v>49</v>
      </c>
      <c r="G572" t="s">
        <v>15</v>
      </c>
      <c r="H572" s="1">
        <v>44125</v>
      </c>
      <c r="I572" t="s">
        <v>653</v>
      </c>
      <c r="J572" t="s">
        <v>42</v>
      </c>
      <c r="K572" t="s">
        <v>92</v>
      </c>
      <c r="L572" s="2" t="s">
        <v>119</v>
      </c>
      <c r="M572" t="str">
        <f>TEXT(Table13[[#This Row],[Order Date]],"MMM")</f>
        <v>Oct</v>
      </c>
      <c r="N572">
        <f>YEAR(Table13[[#This Row],[Order Date]])</f>
        <v>2020</v>
      </c>
      <c r="O572" t="str">
        <f>"Q"&amp;ROUNDUP(MONTH(Table13[[#This Row],[Order Date]])/3,0)</f>
        <v>Q4</v>
      </c>
      <c r="P572" s="5">
        <f>Table13[[#This Row],[Profit]]/Table13[[#This Row],[Amount]]</f>
        <v>8.6286005607953103E-2</v>
      </c>
      <c r="Q572" s="6">
        <f>Table13[[#This Row],[Amount]]/Table13[[#This Row],[Quantity]]</f>
        <v>653.83333333333337</v>
      </c>
    </row>
    <row r="573" spans="1:17" x14ac:dyDescent="0.3">
      <c r="A573" t="s">
        <v>654</v>
      </c>
      <c r="B573">
        <v>3022</v>
      </c>
      <c r="C573">
        <v>384</v>
      </c>
      <c r="D573">
        <v>1</v>
      </c>
      <c r="E573" t="s">
        <v>30</v>
      </c>
      <c r="F573" t="s">
        <v>31</v>
      </c>
      <c r="G573" t="s">
        <v>47</v>
      </c>
      <c r="H573" s="1">
        <v>44572</v>
      </c>
      <c r="I573" t="s">
        <v>655</v>
      </c>
      <c r="J573" t="s">
        <v>71</v>
      </c>
      <c r="K573" t="s">
        <v>86</v>
      </c>
      <c r="L573" s="2" t="s">
        <v>87</v>
      </c>
      <c r="M573" t="str">
        <f>TEXT(Table13[[#This Row],[Order Date]],"MMM")</f>
        <v>Jan</v>
      </c>
      <c r="N573">
        <f>YEAR(Table13[[#This Row],[Order Date]])</f>
        <v>2022</v>
      </c>
      <c r="O573" t="str">
        <f>"Q"&amp;ROUNDUP(MONTH(Table13[[#This Row],[Order Date]])/3,0)</f>
        <v>Q1</v>
      </c>
      <c r="P573" s="5">
        <f>Table13[[#This Row],[Profit]]/Table13[[#This Row],[Amount]]</f>
        <v>0.12706816677696889</v>
      </c>
      <c r="Q573" s="6">
        <f>Table13[[#This Row],[Amount]]/Table13[[#This Row],[Quantity]]</f>
        <v>3022</v>
      </c>
    </row>
    <row r="574" spans="1:17" x14ac:dyDescent="0.3">
      <c r="A574" t="s">
        <v>654</v>
      </c>
      <c r="B574">
        <v>3022</v>
      </c>
      <c r="C574">
        <v>384</v>
      </c>
      <c r="D574">
        <v>1</v>
      </c>
      <c r="E574" t="s">
        <v>30</v>
      </c>
      <c r="F574" t="s">
        <v>31</v>
      </c>
      <c r="G574" t="s">
        <v>47</v>
      </c>
      <c r="H574" s="1">
        <v>44244</v>
      </c>
      <c r="I574" t="s">
        <v>656</v>
      </c>
      <c r="J574" t="s">
        <v>21</v>
      </c>
      <c r="K574" t="s">
        <v>22</v>
      </c>
      <c r="L574" s="2" t="s">
        <v>292</v>
      </c>
      <c r="M574" t="str">
        <f>TEXT(Table13[[#This Row],[Order Date]],"MMM")</f>
        <v>Feb</v>
      </c>
      <c r="N574">
        <f>YEAR(Table13[[#This Row],[Order Date]])</f>
        <v>2021</v>
      </c>
      <c r="O574" t="str">
        <f>"Q"&amp;ROUNDUP(MONTH(Table13[[#This Row],[Order Date]])/3,0)</f>
        <v>Q1</v>
      </c>
      <c r="P574" s="5">
        <f>Table13[[#This Row],[Profit]]/Table13[[#This Row],[Amount]]</f>
        <v>0.12706816677696889</v>
      </c>
      <c r="Q574" s="6">
        <f>Table13[[#This Row],[Amount]]/Table13[[#This Row],[Quantity]]</f>
        <v>3022</v>
      </c>
    </row>
    <row r="575" spans="1:17" x14ac:dyDescent="0.3">
      <c r="A575" t="s">
        <v>654</v>
      </c>
      <c r="B575">
        <v>5266</v>
      </c>
      <c r="C575">
        <v>1111</v>
      </c>
      <c r="D575">
        <v>13</v>
      </c>
      <c r="E575" t="s">
        <v>13</v>
      </c>
      <c r="F575" t="s">
        <v>14</v>
      </c>
      <c r="G575" t="s">
        <v>32</v>
      </c>
      <c r="H575" s="1">
        <v>44572</v>
      </c>
      <c r="I575" t="s">
        <v>655</v>
      </c>
      <c r="J575" t="s">
        <v>71</v>
      </c>
      <c r="K575" t="s">
        <v>86</v>
      </c>
      <c r="L575" s="2" t="s">
        <v>87</v>
      </c>
      <c r="M575" t="str">
        <f>TEXT(Table13[[#This Row],[Order Date]],"MMM")</f>
        <v>Jan</v>
      </c>
      <c r="N575">
        <f>YEAR(Table13[[#This Row],[Order Date]])</f>
        <v>2022</v>
      </c>
      <c r="O575" t="str">
        <f>"Q"&amp;ROUNDUP(MONTH(Table13[[#This Row],[Order Date]])/3,0)</f>
        <v>Q1</v>
      </c>
      <c r="P575" s="5">
        <f>Table13[[#This Row],[Profit]]/Table13[[#This Row],[Amount]]</f>
        <v>0.21097607292062287</v>
      </c>
      <c r="Q575" s="6">
        <f>Table13[[#This Row],[Amount]]/Table13[[#This Row],[Quantity]]</f>
        <v>405.07692307692309</v>
      </c>
    </row>
    <row r="576" spans="1:17" x14ac:dyDescent="0.3">
      <c r="A576" t="s">
        <v>654</v>
      </c>
      <c r="B576">
        <v>5266</v>
      </c>
      <c r="C576">
        <v>1111</v>
      </c>
      <c r="D576">
        <v>13</v>
      </c>
      <c r="E576" t="s">
        <v>13</v>
      </c>
      <c r="F576" t="s">
        <v>14</v>
      </c>
      <c r="G576" t="s">
        <v>32</v>
      </c>
      <c r="H576" s="1">
        <v>44244</v>
      </c>
      <c r="I576" t="s">
        <v>656</v>
      </c>
      <c r="J576" t="s">
        <v>21</v>
      </c>
      <c r="K576" t="s">
        <v>22</v>
      </c>
      <c r="L576" s="2" t="s">
        <v>292</v>
      </c>
      <c r="M576" t="str">
        <f>TEXT(Table13[[#This Row],[Order Date]],"MMM")</f>
        <v>Feb</v>
      </c>
      <c r="N576">
        <f>YEAR(Table13[[#This Row],[Order Date]])</f>
        <v>2021</v>
      </c>
      <c r="O576" t="str">
        <f>"Q"&amp;ROUNDUP(MONTH(Table13[[#This Row],[Order Date]])/3,0)</f>
        <v>Q1</v>
      </c>
      <c r="P576" s="5">
        <f>Table13[[#This Row],[Profit]]/Table13[[#This Row],[Amount]]</f>
        <v>0.21097607292062287</v>
      </c>
      <c r="Q576" s="6">
        <f>Table13[[#This Row],[Amount]]/Table13[[#This Row],[Quantity]]</f>
        <v>405.07692307692309</v>
      </c>
    </row>
    <row r="577" spans="1:17" x14ac:dyDescent="0.3">
      <c r="A577" t="s">
        <v>657</v>
      </c>
      <c r="B577">
        <v>4853</v>
      </c>
      <c r="C577">
        <v>1764</v>
      </c>
      <c r="D577">
        <v>9</v>
      </c>
      <c r="E577" t="s">
        <v>30</v>
      </c>
      <c r="F577" t="s">
        <v>31</v>
      </c>
      <c r="G577" t="s">
        <v>32</v>
      </c>
      <c r="H577" s="1">
        <v>44506</v>
      </c>
      <c r="I577" t="s">
        <v>658</v>
      </c>
      <c r="J577" t="s">
        <v>17</v>
      </c>
      <c r="K577" t="s">
        <v>34</v>
      </c>
      <c r="L577" s="2" t="s">
        <v>175</v>
      </c>
      <c r="M577" t="str">
        <f>TEXT(Table13[[#This Row],[Order Date]],"MMM")</f>
        <v>Nov</v>
      </c>
      <c r="N577">
        <f>YEAR(Table13[[#This Row],[Order Date]])</f>
        <v>2021</v>
      </c>
      <c r="O577" t="str">
        <f>"Q"&amp;ROUNDUP(MONTH(Table13[[#This Row],[Order Date]])/3,0)</f>
        <v>Q4</v>
      </c>
      <c r="P577" s="5">
        <f>Table13[[#This Row],[Profit]]/Table13[[#This Row],[Amount]]</f>
        <v>0.36348650319390069</v>
      </c>
      <c r="Q577" s="6">
        <f>Table13[[#This Row],[Amount]]/Table13[[#This Row],[Quantity]]</f>
        <v>539.22222222222217</v>
      </c>
    </row>
    <row r="578" spans="1:17" x14ac:dyDescent="0.3">
      <c r="A578" t="s">
        <v>657</v>
      </c>
      <c r="B578">
        <v>4853</v>
      </c>
      <c r="C578">
        <v>1764</v>
      </c>
      <c r="D578">
        <v>9</v>
      </c>
      <c r="E578" t="s">
        <v>30</v>
      </c>
      <c r="F578" t="s">
        <v>31</v>
      </c>
      <c r="G578" t="s">
        <v>32</v>
      </c>
      <c r="H578" s="1">
        <v>44803</v>
      </c>
      <c r="I578" t="s">
        <v>659</v>
      </c>
      <c r="J578" t="s">
        <v>71</v>
      </c>
      <c r="K578" t="s">
        <v>138</v>
      </c>
      <c r="L578" s="2" t="s">
        <v>209</v>
      </c>
      <c r="M578" t="str">
        <f>TEXT(Table13[[#This Row],[Order Date]],"MMM")</f>
        <v>Aug</v>
      </c>
      <c r="N578">
        <f>YEAR(Table13[[#This Row],[Order Date]])</f>
        <v>2022</v>
      </c>
      <c r="O578" t="str">
        <f>"Q"&amp;ROUNDUP(MONTH(Table13[[#This Row],[Order Date]])/3,0)</f>
        <v>Q3</v>
      </c>
      <c r="P578" s="5">
        <f>Table13[[#This Row],[Profit]]/Table13[[#This Row],[Amount]]</f>
        <v>0.36348650319390069</v>
      </c>
      <c r="Q578" s="6">
        <f>Table13[[#This Row],[Amount]]/Table13[[#This Row],[Quantity]]</f>
        <v>539.22222222222217</v>
      </c>
    </row>
    <row r="579" spans="1:17" x14ac:dyDescent="0.3">
      <c r="A579" t="s">
        <v>660</v>
      </c>
      <c r="B579">
        <v>9832</v>
      </c>
      <c r="C579">
        <v>1270</v>
      </c>
      <c r="D579">
        <v>1</v>
      </c>
      <c r="E579" t="s">
        <v>30</v>
      </c>
      <c r="F579" t="s">
        <v>31</v>
      </c>
      <c r="G579" t="s">
        <v>65</v>
      </c>
      <c r="H579" s="1">
        <v>44841</v>
      </c>
      <c r="I579" t="s">
        <v>661</v>
      </c>
      <c r="J579" t="s">
        <v>42</v>
      </c>
      <c r="K579" t="s">
        <v>92</v>
      </c>
      <c r="L579" s="2" t="s">
        <v>96</v>
      </c>
      <c r="M579" t="str">
        <f>TEXT(Table13[[#This Row],[Order Date]],"MMM")</f>
        <v>Oct</v>
      </c>
      <c r="N579">
        <f>YEAR(Table13[[#This Row],[Order Date]])</f>
        <v>2022</v>
      </c>
      <c r="O579" t="str">
        <f>"Q"&amp;ROUNDUP(MONTH(Table13[[#This Row],[Order Date]])/3,0)</f>
        <v>Q4</v>
      </c>
      <c r="P579" s="5">
        <f>Table13[[#This Row],[Profit]]/Table13[[#This Row],[Amount]]</f>
        <v>0.1291700569568755</v>
      </c>
      <c r="Q579" s="6">
        <f>Table13[[#This Row],[Amount]]/Table13[[#This Row],[Quantity]]</f>
        <v>9832</v>
      </c>
    </row>
    <row r="580" spans="1:17" x14ac:dyDescent="0.3">
      <c r="A580" t="s">
        <v>660</v>
      </c>
      <c r="B580">
        <v>796</v>
      </c>
      <c r="C580">
        <v>153</v>
      </c>
      <c r="D580">
        <v>15</v>
      </c>
      <c r="E580" t="s">
        <v>30</v>
      </c>
      <c r="F580" t="s">
        <v>31</v>
      </c>
      <c r="G580" t="s">
        <v>47</v>
      </c>
      <c r="H580" s="1">
        <v>44841</v>
      </c>
      <c r="I580" t="s">
        <v>661</v>
      </c>
      <c r="J580" t="s">
        <v>42</v>
      </c>
      <c r="K580" t="s">
        <v>92</v>
      </c>
      <c r="L580" s="2" t="s">
        <v>96</v>
      </c>
      <c r="M580" t="str">
        <f>TEXT(Table13[[#This Row],[Order Date]],"MMM")</f>
        <v>Oct</v>
      </c>
      <c r="N580">
        <f>YEAR(Table13[[#This Row],[Order Date]])</f>
        <v>2022</v>
      </c>
      <c r="O580" t="str">
        <f>"Q"&amp;ROUNDUP(MONTH(Table13[[#This Row],[Order Date]])/3,0)</f>
        <v>Q4</v>
      </c>
      <c r="P580" s="5">
        <f>Table13[[#This Row],[Profit]]/Table13[[#This Row],[Amount]]</f>
        <v>0.19221105527638191</v>
      </c>
      <c r="Q580" s="6">
        <f>Table13[[#This Row],[Amount]]/Table13[[#This Row],[Quantity]]</f>
        <v>53.06666666666667</v>
      </c>
    </row>
    <row r="581" spans="1:17" x14ac:dyDescent="0.3">
      <c r="A581" t="s">
        <v>662</v>
      </c>
      <c r="B581">
        <v>883</v>
      </c>
      <c r="C581">
        <v>127</v>
      </c>
      <c r="D581">
        <v>7</v>
      </c>
      <c r="E581" t="s">
        <v>45</v>
      </c>
      <c r="F581" t="s">
        <v>49</v>
      </c>
      <c r="G581" t="s">
        <v>65</v>
      </c>
      <c r="H581" s="1">
        <v>45081</v>
      </c>
      <c r="I581" t="s">
        <v>663</v>
      </c>
      <c r="J581" t="s">
        <v>42</v>
      </c>
      <c r="K581" t="s">
        <v>92</v>
      </c>
      <c r="L581" s="2" t="s">
        <v>19</v>
      </c>
      <c r="M581" t="str">
        <f>TEXT(Table13[[#This Row],[Order Date]],"MMM")</f>
        <v>Jun</v>
      </c>
      <c r="N581">
        <f>YEAR(Table13[[#This Row],[Order Date]])</f>
        <v>2023</v>
      </c>
      <c r="O581" t="str">
        <f>"Q"&amp;ROUNDUP(MONTH(Table13[[#This Row],[Order Date]])/3,0)</f>
        <v>Q2</v>
      </c>
      <c r="P581" s="5">
        <f>Table13[[#This Row],[Profit]]/Table13[[#This Row],[Amount]]</f>
        <v>0.14382785956964891</v>
      </c>
      <c r="Q581" s="6">
        <f>Table13[[#This Row],[Amount]]/Table13[[#This Row],[Quantity]]</f>
        <v>126.14285714285714</v>
      </c>
    </row>
    <row r="582" spans="1:17" x14ac:dyDescent="0.3">
      <c r="A582" t="s">
        <v>662</v>
      </c>
      <c r="B582">
        <v>4539</v>
      </c>
      <c r="C582">
        <v>1155</v>
      </c>
      <c r="D582">
        <v>8</v>
      </c>
      <c r="E582" t="s">
        <v>45</v>
      </c>
      <c r="F582" t="s">
        <v>109</v>
      </c>
      <c r="G582" t="s">
        <v>32</v>
      </c>
      <c r="H582" s="1">
        <v>45081</v>
      </c>
      <c r="I582" t="s">
        <v>663</v>
      </c>
      <c r="J582" t="s">
        <v>42</v>
      </c>
      <c r="K582" t="s">
        <v>92</v>
      </c>
      <c r="L582" s="2" t="s">
        <v>19</v>
      </c>
      <c r="M582" t="str">
        <f>TEXT(Table13[[#This Row],[Order Date]],"MMM")</f>
        <v>Jun</v>
      </c>
      <c r="N582">
        <f>YEAR(Table13[[#This Row],[Order Date]])</f>
        <v>2023</v>
      </c>
      <c r="O582" t="str">
        <f>"Q"&amp;ROUNDUP(MONTH(Table13[[#This Row],[Order Date]])/3,0)</f>
        <v>Q2</v>
      </c>
      <c r="P582" s="5">
        <f>Table13[[#This Row],[Profit]]/Table13[[#This Row],[Amount]]</f>
        <v>0.25446133509583607</v>
      </c>
      <c r="Q582" s="6">
        <f>Table13[[#This Row],[Amount]]/Table13[[#This Row],[Quantity]]</f>
        <v>567.375</v>
      </c>
    </row>
    <row r="583" spans="1:17" x14ac:dyDescent="0.3">
      <c r="A583" t="s">
        <v>662</v>
      </c>
      <c r="B583">
        <v>9659</v>
      </c>
      <c r="C583">
        <v>2226</v>
      </c>
      <c r="D583">
        <v>16</v>
      </c>
      <c r="E583" t="s">
        <v>30</v>
      </c>
      <c r="F583" t="s">
        <v>78</v>
      </c>
      <c r="G583" t="s">
        <v>32</v>
      </c>
      <c r="H583" s="1">
        <v>45081</v>
      </c>
      <c r="I583" t="s">
        <v>663</v>
      </c>
      <c r="J583" t="s">
        <v>42</v>
      </c>
      <c r="K583" t="s">
        <v>92</v>
      </c>
      <c r="L583" s="2" t="s">
        <v>19</v>
      </c>
      <c r="M583" t="str">
        <f>TEXT(Table13[[#This Row],[Order Date]],"MMM")</f>
        <v>Jun</v>
      </c>
      <c r="N583">
        <f>YEAR(Table13[[#This Row],[Order Date]])</f>
        <v>2023</v>
      </c>
      <c r="O583" t="str">
        <f>"Q"&amp;ROUNDUP(MONTH(Table13[[#This Row],[Order Date]])/3,0)</f>
        <v>Q2</v>
      </c>
      <c r="P583" s="5">
        <f>Table13[[#This Row],[Profit]]/Table13[[#This Row],[Amount]]</f>
        <v>0.23045863961072574</v>
      </c>
      <c r="Q583" s="6">
        <f>Table13[[#This Row],[Amount]]/Table13[[#This Row],[Quantity]]</f>
        <v>603.6875</v>
      </c>
    </row>
    <row r="584" spans="1:17" x14ac:dyDescent="0.3">
      <c r="A584" t="s">
        <v>664</v>
      </c>
      <c r="B584">
        <v>9562</v>
      </c>
      <c r="C584">
        <v>325</v>
      </c>
      <c r="D584">
        <v>2</v>
      </c>
      <c r="E584" t="s">
        <v>13</v>
      </c>
      <c r="F584" t="s">
        <v>28</v>
      </c>
      <c r="G584" t="s">
        <v>32</v>
      </c>
      <c r="H584" s="1">
        <v>44694</v>
      </c>
      <c r="I584" t="s">
        <v>665</v>
      </c>
      <c r="J584" t="s">
        <v>42</v>
      </c>
      <c r="K584" t="s">
        <v>75</v>
      </c>
      <c r="L584" s="2" t="s">
        <v>180</v>
      </c>
      <c r="M584" t="str">
        <f>TEXT(Table13[[#This Row],[Order Date]],"MMM")</f>
        <v>May</v>
      </c>
      <c r="N584">
        <f>YEAR(Table13[[#This Row],[Order Date]])</f>
        <v>2022</v>
      </c>
      <c r="O584" t="str">
        <f>"Q"&amp;ROUNDUP(MONTH(Table13[[#This Row],[Order Date]])/3,0)</f>
        <v>Q2</v>
      </c>
      <c r="P584" s="5">
        <f>Table13[[#This Row],[Profit]]/Table13[[#This Row],[Amount]]</f>
        <v>3.3988705291779962E-2</v>
      </c>
      <c r="Q584" s="6">
        <f>Table13[[#This Row],[Amount]]/Table13[[#This Row],[Quantity]]</f>
        <v>4781</v>
      </c>
    </row>
    <row r="585" spans="1:17" x14ac:dyDescent="0.3">
      <c r="A585" t="s">
        <v>666</v>
      </c>
      <c r="B585">
        <v>4688</v>
      </c>
      <c r="C585">
        <v>1841</v>
      </c>
      <c r="D585">
        <v>3</v>
      </c>
      <c r="E585" t="s">
        <v>13</v>
      </c>
      <c r="F585" t="s">
        <v>39</v>
      </c>
      <c r="G585" t="s">
        <v>47</v>
      </c>
      <c r="H585" s="1">
        <v>44949</v>
      </c>
      <c r="I585" t="s">
        <v>667</v>
      </c>
      <c r="J585" t="s">
        <v>42</v>
      </c>
      <c r="K585" t="s">
        <v>92</v>
      </c>
      <c r="L585" s="2" t="s">
        <v>333</v>
      </c>
      <c r="M585" t="str">
        <f>TEXT(Table13[[#This Row],[Order Date]],"MMM")</f>
        <v>Jan</v>
      </c>
      <c r="N585">
        <f>YEAR(Table13[[#This Row],[Order Date]])</f>
        <v>2023</v>
      </c>
      <c r="O585" t="str">
        <f>"Q"&amp;ROUNDUP(MONTH(Table13[[#This Row],[Order Date]])/3,0)</f>
        <v>Q1</v>
      </c>
      <c r="P585" s="5">
        <f>Table13[[#This Row],[Profit]]/Table13[[#This Row],[Amount]]</f>
        <v>0.39270477815699661</v>
      </c>
      <c r="Q585" s="6">
        <f>Table13[[#This Row],[Amount]]/Table13[[#This Row],[Quantity]]</f>
        <v>1562.6666666666667</v>
      </c>
    </row>
    <row r="586" spans="1:17" x14ac:dyDescent="0.3">
      <c r="A586" t="s">
        <v>666</v>
      </c>
      <c r="B586">
        <v>4688</v>
      </c>
      <c r="C586">
        <v>1841</v>
      </c>
      <c r="D586">
        <v>3</v>
      </c>
      <c r="E586" t="s">
        <v>13</v>
      </c>
      <c r="F586" t="s">
        <v>39</v>
      </c>
      <c r="G586" t="s">
        <v>47</v>
      </c>
      <c r="H586" s="1">
        <v>44402</v>
      </c>
      <c r="I586" t="s">
        <v>668</v>
      </c>
      <c r="J586" t="s">
        <v>42</v>
      </c>
      <c r="K586" t="s">
        <v>75</v>
      </c>
      <c r="L586" s="2" t="s">
        <v>27</v>
      </c>
      <c r="M586" t="str">
        <f>TEXT(Table13[[#This Row],[Order Date]],"MMM")</f>
        <v>Jul</v>
      </c>
      <c r="N586">
        <f>YEAR(Table13[[#This Row],[Order Date]])</f>
        <v>2021</v>
      </c>
      <c r="O586" t="str">
        <f>"Q"&amp;ROUNDUP(MONTH(Table13[[#This Row],[Order Date]])/3,0)</f>
        <v>Q3</v>
      </c>
      <c r="P586" s="5">
        <f>Table13[[#This Row],[Profit]]/Table13[[#This Row],[Amount]]</f>
        <v>0.39270477815699661</v>
      </c>
      <c r="Q586" s="6">
        <f>Table13[[#This Row],[Amount]]/Table13[[#This Row],[Quantity]]</f>
        <v>1562.6666666666667</v>
      </c>
    </row>
    <row r="587" spans="1:17" x14ac:dyDescent="0.3">
      <c r="A587" t="s">
        <v>669</v>
      </c>
      <c r="B587">
        <v>7900</v>
      </c>
      <c r="C587">
        <v>482</v>
      </c>
      <c r="D587">
        <v>4</v>
      </c>
      <c r="E587" t="s">
        <v>13</v>
      </c>
      <c r="F587" t="s">
        <v>82</v>
      </c>
      <c r="G587" t="s">
        <v>65</v>
      </c>
      <c r="H587" s="1">
        <v>45724</v>
      </c>
      <c r="I587" t="s">
        <v>670</v>
      </c>
      <c r="J587" t="s">
        <v>98</v>
      </c>
      <c r="K587" t="s">
        <v>99</v>
      </c>
      <c r="L587" s="2" t="s">
        <v>157</v>
      </c>
      <c r="M587" t="str">
        <f>TEXT(Table13[[#This Row],[Order Date]],"MMM")</f>
        <v>Mar</v>
      </c>
      <c r="N587">
        <f>YEAR(Table13[[#This Row],[Order Date]])</f>
        <v>2025</v>
      </c>
      <c r="O587" t="str">
        <f>"Q"&amp;ROUNDUP(MONTH(Table13[[#This Row],[Order Date]])/3,0)</f>
        <v>Q1</v>
      </c>
      <c r="P587" s="5">
        <f>Table13[[#This Row],[Profit]]/Table13[[#This Row],[Amount]]</f>
        <v>6.1012658227848099E-2</v>
      </c>
      <c r="Q587" s="6">
        <f>Table13[[#This Row],[Amount]]/Table13[[#This Row],[Quantity]]</f>
        <v>1975</v>
      </c>
    </row>
    <row r="588" spans="1:17" x14ac:dyDescent="0.3">
      <c r="A588" t="s">
        <v>671</v>
      </c>
      <c r="B588">
        <v>6967</v>
      </c>
      <c r="C588">
        <v>3257</v>
      </c>
      <c r="D588">
        <v>17</v>
      </c>
      <c r="E588" t="s">
        <v>45</v>
      </c>
      <c r="F588" t="s">
        <v>109</v>
      </c>
      <c r="G588" t="s">
        <v>65</v>
      </c>
      <c r="H588" s="1">
        <v>44920</v>
      </c>
      <c r="I588" t="s">
        <v>672</v>
      </c>
      <c r="J588" t="s">
        <v>98</v>
      </c>
      <c r="K588" t="s">
        <v>107</v>
      </c>
      <c r="L588" s="2" t="s">
        <v>152</v>
      </c>
      <c r="M588" t="str">
        <f>TEXT(Table13[[#This Row],[Order Date]],"MMM")</f>
        <v>Dec</v>
      </c>
      <c r="N588">
        <f>YEAR(Table13[[#This Row],[Order Date]])</f>
        <v>2022</v>
      </c>
      <c r="O588" t="str">
        <f>"Q"&amp;ROUNDUP(MONTH(Table13[[#This Row],[Order Date]])/3,0)</f>
        <v>Q4</v>
      </c>
      <c r="P588" s="5">
        <f>Table13[[#This Row],[Profit]]/Table13[[#This Row],[Amount]]</f>
        <v>0.46748959379933974</v>
      </c>
      <c r="Q588" s="6">
        <f>Table13[[#This Row],[Amount]]/Table13[[#This Row],[Quantity]]</f>
        <v>409.8235294117647</v>
      </c>
    </row>
    <row r="589" spans="1:17" x14ac:dyDescent="0.3">
      <c r="A589" t="s">
        <v>671</v>
      </c>
      <c r="B589">
        <v>1091</v>
      </c>
      <c r="C589">
        <v>277</v>
      </c>
      <c r="D589">
        <v>6</v>
      </c>
      <c r="E589" t="s">
        <v>30</v>
      </c>
      <c r="F589" t="s">
        <v>64</v>
      </c>
      <c r="G589" t="s">
        <v>65</v>
      </c>
      <c r="H589" s="1">
        <v>44920</v>
      </c>
      <c r="I589" t="s">
        <v>672</v>
      </c>
      <c r="J589" t="s">
        <v>98</v>
      </c>
      <c r="K589" t="s">
        <v>107</v>
      </c>
      <c r="L589" s="2" t="s">
        <v>152</v>
      </c>
      <c r="M589" t="str">
        <f>TEXT(Table13[[#This Row],[Order Date]],"MMM")</f>
        <v>Dec</v>
      </c>
      <c r="N589">
        <f>YEAR(Table13[[#This Row],[Order Date]])</f>
        <v>2022</v>
      </c>
      <c r="O589" t="str">
        <f>"Q"&amp;ROUNDUP(MONTH(Table13[[#This Row],[Order Date]])/3,0)</f>
        <v>Q4</v>
      </c>
      <c r="P589" s="5">
        <f>Table13[[#This Row],[Profit]]/Table13[[#This Row],[Amount]]</f>
        <v>0.25389550870760769</v>
      </c>
      <c r="Q589" s="6">
        <f>Table13[[#This Row],[Amount]]/Table13[[#This Row],[Quantity]]</f>
        <v>181.83333333333334</v>
      </c>
    </row>
    <row r="590" spans="1:17" x14ac:dyDescent="0.3">
      <c r="A590" t="s">
        <v>671</v>
      </c>
      <c r="B590">
        <v>6027</v>
      </c>
      <c r="C590">
        <v>1530</v>
      </c>
      <c r="D590">
        <v>2</v>
      </c>
      <c r="E590" t="s">
        <v>30</v>
      </c>
      <c r="F590" t="s">
        <v>78</v>
      </c>
      <c r="G590" t="s">
        <v>47</v>
      </c>
      <c r="H590" s="1">
        <v>44920</v>
      </c>
      <c r="I590" t="s">
        <v>672</v>
      </c>
      <c r="J590" t="s">
        <v>98</v>
      </c>
      <c r="K590" t="s">
        <v>107</v>
      </c>
      <c r="L590" s="2" t="s">
        <v>152</v>
      </c>
      <c r="M590" t="str">
        <f>TEXT(Table13[[#This Row],[Order Date]],"MMM")</f>
        <v>Dec</v>
      </c>
      <c r="N590">
        <f>YEAR(Table13[[#This Row],[Order Date]])</f>
        <v>2022</v>
      </c>
      <c r="O590" t="str">
        <f>"Q"&amp;ROUNDUP(MONTH(Table13[[#This Row],[Order Date]])/3,0)</f>
        <v>Q4</v>
      </c>
      <c r="P590" s="5">
        <f>Table13[[#This Row],[Profit]]/Table13[[#This Row],[Amount]]</f>
        <v>0.25385764061722249</v>
      </c>
      <c r="Q590" s="6">
        <f>Table13[[#This Row],[Amount]]/Table13[[#This Row],[Quantity]]</f>
        <v>3013.5</v>
      </c>
    </row>
    <row r="591" spans="1:17" x14ac:dyDescent="0.3">
      <c r="A591" t="s">
        <v>673</v>
      </c>
      <c r="B591">
        <v>4852</v>
      </c>
      <c r="C591">
        <v>218</v>
      </c>
      <c r="D591">
        <v>2</v>
      </c>
      <c r="E591" t="s">
        <v>45</v>
      </c>
      <c r="F591" t="s">
        <v>46</v>
      </c>
      <c r="G591" t="s">
        <v>40</v>
      </c>
      <c r="H591" s="1">
        <v>45406</v>
      </c>
      <c r="I591" t="s">
        <v>674</v>
      </c>
      <c r="J591" t="s">
        <v>71</v>
      </c>
      <c r="K591" t="s">
        <v>72</v>
      </c>
      <c r="L591" s="2" t="s">
        <v>235</v>
      </c>
      <c r="M591" t="str">
        <f>TEXT(Table13[[#This Row],[Order Date]],"MMM")</f>
        <v>Apr</v>
      </c>
      <c r="N591">
        <f>YEAR(Table13[[#This Row],[Order Date]])</f>
        <v>2024</v>
      </c>
      <c r="O591" t="str">
        <f>"Q"&amp;ROUNDUP(MONTH(Table13[[#This Row],[Order Date]])/3,0)</f>
        <v>Q2</v>
      </c>
      <c r="P591" s="5">
        <f>Table13[[#This Row],[Profit]]/Table13[[#This Row],[Amount]]</f>
        <v>4.4929925803792251E-2</v>
      </c>
      <c r="Q591" s="6">
        <f>Table13[[#This Row],[Amount]]/Table13[[#This Row],[Quantity]]</f>
        <v>2426</v>
      </c>
    </row>
    <row r="592" spans="1:17" x14ac:dyDescent="0.3">
      <c r="A592" t="s">
        <v>673</v>
      </c>
      <c r="B592">
        <v>4852</v>
      </c>
      <c r="C592">
        <v>218</v>
      </c>
      <c r="D592">
        <v>2</v>
      </c>
      <c r="E592" t="s">
        <v>45</v>
      </c>
      <c r="F592" t="s">
        <v>46</v>
      </c>
      <c r="G592" t="s">
        <v>40</v>
      </c>
      <c r="H592" s="1">
        <v>44554</v>
      </c>
      <c r="I592" t="s">
        <v>675</v>
      </c>
      <c r="J592" t="s">
        <v>17</v>
      </c>
      <c r="K592" t="s">
        <v>150</v>
      </c>
      <c r="L592" s="2" t="s">
        <v>90</v>
      </c>
      <c r="M592" t="str">
        <f>TEXT(Table13[[#This Row],[Order Date]],"MMM")</f>
        <v>Dec</v>
      </c>
      <c r="N592">
        <f>YEAR(Table13[[#This Row],[Order Date]])</f>
        <v>2021</v>
      </c>
      <c r="O592" t="str">
        <f>"Q"&amp;ROUNDUP(MONTH(Table13[[#This Row],[Order Date]])/3,0)</f>
        <v>Q4</v>
      </c>
      <c r="P592" s="5">
        <f>Table13[[#This Row],[Profit]]/Table13[[#This Row],[Amount]]</f>
        <v>4.4929925803792251E-2</v>
      </c>
      <c r="Q592" s="6">
        <f>Table13[[#This Row],[Amount]]/Table13[[#This Row],[Quantity]]</f>
        <v>2426</v>
      </c>
    </row>
    <row r="593" spans="1:17" x14ac:dyDescent="0.3">
      <c r="A593" t="s">
        <v>673</v>
      </c>
      <c r="B593">
        <v>4852</v>
      </c>
      <c r="C593">
        <v>218</v>
      </c>
      <c r="D593">
        <v>2</v>
      </c>
      <c r="E593" t="s">
        <v>45</v>
      </c>
      <c r="F593" t="s">
        <v>46</v>
      </c>
      <c r="G593" t="s">
        <v>40</v>
      </c>
      <c r="H593" s="1">
        <v>45176</v>
      </c>
      <c r="I593" t="s">
        <v>676</v>
      </c>
      <c r="J593" t="s">
        <v>21</v>
      </c>
      <c r="K593" t="s">
        <v>63</v>
      </c>
      <c r="L593" s="2" t="s">
        <v>273</v>
      </c>
      <c r="M593" t="str">
        <f>TEXT(Table13[[#This Row],[Order Date]],"MMM")</f>
        <v>Sep</v>
      </c>
      <c r="N593">
        <f>YEAR(Table13[[#This Row],[Order Date]])</f>
        <v>2023</v>
      </c>
      <c r="O593" t="str">
        <f>"Q"&amp;ROUNDUP(MONTH(Table13[[#This Row],[Order Date]])/3,0)</f>
        <v>Q3</v>
      </c>
      <c r="P593" s="5">
        <f>Table13[[#This Row],[Profit]]/Table13[[#This Row],[Amount]]</f>
        <v>4.4929925803792251E-2</v>
      </c>
      <c r="Q593" s="6">
        <f>Table13[[#This Row],[Amount]]/Table13[[#This Row],[Quantity]]</f>
        <v>2426</v>
      </c>
    </row>
    <row r="594" spans="1:17" x14ac:dyDescent="0.3">
      <c r="A594" t="s">
        <v>677</v>
      </c>
      <c r="B594">
        <v>4314</v>
      </c>
      <c r="C594">
        <v>1453</v>
      </c>
      <c r="D594">
        <v>6</v>
      </c>
      <c r="E594" t="s">
        <v>45</v>
      </c>
      <c r="F594" t="s">
        <v>60</v>
      </c>
      <c r="G594" t="s">
        <v>65</v>
      </c>
      <c r="H594" s="1">
        <v>44418</v>
      </c>
      <c r="I594" t="s">
        <v>678</v>
      </c>
      <c r="J594" t="s">
        <v>17</v>
      </c>
      <c r="K594" t="s">
        <v>150</v>
      </c>
      <c r="L594" s="2" t="s">
        <v>178</v>
      </c>
      <c r="M594" t="str">
        <f>TEXT(Table13[[#This Row],[Order Date]],"MMM")</f>
        <v>Aug</v>
      </c>
      <c r="N594">
        <f>YEAR(Table13[[#This Row],[Order Date]])</f>
        <v>2021</v>
      </c>
      <c r="O594" t="str">
        <f>"Q"&amp;ROUNDUP(MONTH(Table13[[#This Row],[Order Date]])/3,0)</f>
        <v>Q3</v>
      </c>
      <c r="P594" s="5">
        <f>Table13[[#This Row],[Profit]]/Table13[[#This Row],[Amount]]</f>
        <v>0.33681038479369496</v>
      </c>
      <c r="Q594" s="6">
        <f>Table13[[#This Row],[Amount]]/Table13[[#This Row],[Quantity]]</f>
        <v>719</v>
      </c>
    </row>
    <row r="595" spans="1:17" x14ac:dyDescent="0.3">
      <c r="A595" t="s">
        <v>679</v>
      </c>
      <c r="B595">
        <v>3288</v>
      </c>
      <c r="C595">
        <v>1477</v>
      </c>
      <c r="D595">
        <v>3</v>
      </c>
      <c r="E595" t="s">
        <v>30</v>
      </c>
      <c r="F595" t="s">
        <v>31</v>
      </c>
      <c r="G595" t="s">
        <v>40</v>
      </c>
      <c r="H595" s="1">
        <v>45438</v>
      </c>
      <c r="I595" t="s">
        <v>680</v>
      </c>
      <c r="J595" t="s">
        <v>71</v>
      </c>
      <c r="K595" t="s">
        <v>86</v>
      </c>
      <c r="L595" s="2" t="s">
        <v>35</v>
      </c>
      <c r="M595" t="str">
        <f>TEXT(Table13[[#This Row],[Order Date]],"MMM")</f>
        <v>May</v>
      </c>
      <c r="N595">
        <f>YEAR(Table13[[#This Row],[Order Date]])</f>
        <v>2024</v>
      </c>
      <c r="O595" t="str">
        <f>"Q"&amp;ROUNDUP(MONTH(Table13[[#This Row],[Order Date]])/3,0)</f>
        <v>Q2</v>
      </c>
      <c r="P595" s="5">
        <f>Table13[[#This Row],[Profit]]/Table13[[#This Row],[Amount]]</f>
        <v>0.44920924574209248</v>
      </c>
      <c r="Q595" s="6">
        <f>Table13[[#This Row],[Amount]]/Table13[[#This Row],[Quantity]]</f>
        <v>1096</v>
      </c>
    </row>
    <row r="596" spans="1:17" x14ac:dyDescent="0.3">
      <c r="A596" t="s">
        <v>679</v>
      </c>
      <c r="B596">
        <v>3288</v>
      </c>
      <c r="C596">
        <v>1477</v>
      </c>
      <c r="D596">
        <v>3</v>
      </c>
      <c r="E596" t="s">
        <v>30</v>
      </c>
      <c r="F596" t="s">
        <v>31</v>
      </c>
      <c r="G596" t="s">
        <v>40</v>
      </c>
      <c r="H596" s="1">
        <v>44611</v>
      </c>
      <c r="I596" t="s">
        <v>681</v>
      </c>
      <c r="J596" t="s">
        <v>21</v>
      </c>
      <c r="K596" t="s">
        <v>63</v>
      </c>
      <c r="L596" s="2" t="s">
        <v>137</v>
      </c>
      <c r="M596" t="str">
        <f>TEXT(Table13[[#This Row],[Order Date]],"MMM")</f>
        <v>Feb</v>
      </c>
      <c r="N596">
        <f>YEAR(Table13[[#This Row],[Order Date]])</f>
        <v>2022</v>
      </c>
      <c r="O596" t="str">
        <f>"Q"&amp;ROUNDUP(MONTH(Table13[[#This Row],[Order Date]])/3,0)</f>
        <v>Q1</v>
      </c>
      <c r="P596" s="5">
        <f>Table13[[#This Row],[Profit]]/Table13[[#This Row],[Amount]]</f>
        <v>0.44920924574209248</v>
      </c>
      <c r="Q596" s="6">
        <f>Table13[[#This Row],[Amount]]/Table13[[#This Row],[Quantity]]</f>
        <v>1096</v>
      </c>
    </row>
    <row r="597" spans="1:17" x14ac:dyDescent="0.3">
      <c r="A597" t="s">
        <v>682</v>
      </c>
      <c r="B597">
        <v>3977</v>
      </c>
      <c r="C597">
        <v>813</v>
      </c>
      <c r="D597">
        <v>5</v>
      </c>
      <c r="E597" t="s">
        <v>30</v>
      </c>
      <c r="F597" t="s">
        <v>78</v>
      </c>
      <c r="G597" t="s">
        <v>47</v>
      </c>
      <c r="H597" s="1">
        <v>45635</v>
      </c>
      <c r="I597" t="s">
        <v>683</v>
      </c>
      <c r="J597" t="s">
        <v>25</v>
      </c>
      <c r="K597" t="s">
        <v>51</v>
      </c>
      <c r="L597" s="2" t="s">
        <v>23</v>
      </c>
      <c r="M597" t="str">
        <f>TEXT(Table13[[#This Row],[Order Date]],"MMM")</f>
        <v>Dec</v>
      </c>
      <c r="N597">
        <f>YEAR(Table13[[#This Row],[Order Date]])</f>
        <v>2024</v>
      </c>
      <c r="O597" t="str">
        <f>"Q"&amp;ROUNDUP(MONTH(Table13[[#This Row],[Order Date]])/3,0)</f>
        <v>Q4</v>
      </c>
      <c r="P597" s="5">
        <f>Table13[[#This Row],[Profit]]/Table13[[#This Row],[Amount]]</f>
        <v>0.20442544631631884</v>
      </c>
      <c r="Q597" s="6">
        <f>Table13[[#This Row],[Amount]]/Table13[[#This Row],[Quantity]]</f>
        <v>795.4</v>
      </c>
    </row>
    <row r="598" spans="1:17" x14ac:dyDescent="0.3">
      <c r="A598" t="s">
        <v>684</v>
      </c>
      <c r="B598">
        <v>6252</v>
      </c>
      <c r="C598">
        <v>1377</v>
      </c>
      <c r="D598">
        <v>2</v>
      </c>
      <c r="E598" t="s">
        <v>13</v>
      </c>
      <c r="F598" t="s">
        <v>28</v>
      </c>
      <c r="G598" t="s">
        <v>40</v>
      </c>
      <c r="H598" s="1">
        <v>45078</v>
      </c>
      <c r="I598" t="s">
        <v>685</v>
      </c>
      <c r="J598" t="s">
        <v>21</v>
      </c>
      <c r="K598" t="s">
        <v>22</v>
      </c>
      <c r="L598" s="2" t="s">
        <v>19</v>
      </c>
      <c r="M598" t="str">
        <f>TEXT(Table13[[#This Row],[Order Date]],"MMM")</f>
        <v>Jun</v>
      </c>
      <c r="N598">
        <f>YEAR(Table13[[#This Row],[Order Date]])</f>
        <v>2023</v>
      </c>
      <c r="O598" t="str">
        <f>"Q"&amp;ROUNDUP(MONTH(Table13[[#This Row],[Order Date]])/3,0)</f>
        <v>Q2</v>
      </c>
      <c r="P598" s="5">
        <f>Table13[[#This Row],[Profit]]/Table13[[#This Row],[Amount]]</f>
        <v>0.22024952015355087</v>
      </c>
      <c r="Q598" s="6">
        <f>Table13[[#This Row],[Amount]]/Table13[[#This Row],[Quantity]]</f>
        <v>3126</v>
      </c>
    </row>
    <row r="599" spans="1:17" x14ac:dyDescent="0.3">
      <c r="A599" t="s">
        <v>686</v>
      </c>
      <c r="B599">
        <v>9084</v>
      </c>
      <c r="C599">
        <v>3253</v>
      </c>
      <c r="D599">
        <v>12</v>
      </c>
      <c r="E599" t="s">
        <v>30</v>
      </c>
      <c r="F599" t="s">
        <v>31</v>
      </c>
      <c r="G599" t="s">
        <v>32</v>
      </c>
      <c r="H599" s="1">
        <v>45235</v>
      </c>
      <c r="I599" t="s">
        <v>687</v>
      </c>
      <c r="J599" t="s">
        <v>25</v>
      </c>
      <c r="K599" t="s">
        <v>26</v>
      </c>
      <c r="L599" s="2" t="s">
        <v>52</v>
      </c>
      <c r="M599" t="str">
        <f>TEXT(Table13[[#This Row],[Order Date]],"MMM")</f>
        <v>Nov</v>
      </c>
      <c r="N599">
        <f>YEAR(Table13[[#This Row],[Order Date]])</f>
        <v>2023</v>
      </c>
      <c r="O599" t="str">
        <f>"Q"&amp;ROUNDUP(MONTH(Table13[[#This Row],[Order Date]])/3,0)</f>
        <v>Q4</v>
      </c>
      <c r="P599" s="5">
        <f>Table13[[#This Row],[Profit]]/Table13[[#This Row],[Amount]]</f>
        <v>0.35810215763980624</v>
      </c>
      <c r="Q599" s="6">
        <f>Table13[[#This Row],[Amount]]/Table13[[#This Row],[Quantity]]</f>
        <v>757</v>
      </c>
    </row>
    <row r="600" spans="1:17" x14ac:dyDescent="0.3">
      <c r="A600" t="s">
        <v>688</v>
      </c>
      <c r="B600">
        <v>8994</v>
      </c>
      <c r="C600">
        <v>1481</v>
      </c>
      <c r="D600">
        <v>15</v>
      </c>
      <c r="E600" t="s">
        <v>13</v>
      </c>
      <c r="F600" t="s">
        <v>82</v>
      </c>
      <c r="G600" t="s">
        <v>47</v>
      </c>
      <c r="H600" s="1">
        <v>44003</v>
      </c>
      <c r="I600" t="s">
        <v>689</v>
      </c>
      <c r="J600" t="s">
        <v>42</v>
      </c>
      <c r="K600" t="s">
        <v>75</v>
      </c>
      <c r="L600" s="2" t="s">
        <v>313</v>
      </c>
      <c r="M600" t="str">
        <f>TEXT(Table13[[#This Row],[Order Date]],"MMM")</f>
        <v>Jun</v>
      </c>
      <c r="N600">
        <f>YEAR(Table13[[#This Row],[Order Date]])</f>
        <v>2020</v>
      </c>
      <c r="O600" t="str">
        <f>"Q"&amp;ROUNDUP(MONTH(Table13[[#This Row],[Order Date]])/3,0)</f>
        <v>Q2</v>
      </c>
      <c r="P600" s="5">
        <f>Table13[[#This Row],[Profit]]/Table13[[#This Row],[Amount]]</f>
        <v>0.16466533244385145</v>
      </c>
      <c r="Q600" s="6">
        <f>Table13[[#This Row],[Amount]]/Table13[[#This Row],[Quantity]]</f>
        <v>599.6</v>
      </c>
    </row>
    <row r="601" spans="1:17" x14ac:dyDescent="0.3">
      <c r="A601" t="s">
        <v>690</v>
      </c>
      <c r="B601">
        <v>1089</v>
      </c>
      <c r="C601">
        <v>176</v>
      </c>
      <c r="D601">
        <v>16</v>
      </c>
      <c r="E601" t="s">
        <v>30</v>
      </c>
      <c r="F601" t="s">
        <v>57</v>
      </c>
      <c r="G601" t="s">
        <v>40</v>
      </c>
      <c r="H601" s="1">
        <v>44130</v>
      </c>
      <c r="I601" t="s">
        <v>691</v>
      </c>
      <c r="J601" t="s">
        <v>71</v>
      </c>
      <c r="K601" t="s">
        <v>72</v>
      </c>
      <c r="L601" s="2" t="s">
        <v>119</v>
      </c>
      <c r="M601" t="str">
        <f>TEXT(Table13[[#This Row],[Order Date]],"MMM")</f>
        <v>Oct</v>
      </c>
      <c r="N601">
        <f>YEAR(Table13[[#This Row],[Order Date]])</f>
        <v>2020</v>
      </c>
      <c r="O601" t="str">
        <f>"Q"&amp;ROUNDUP(MONTH(Table13[[#This Row],[Order Date]])/3,0)</f>
        <v>Q4</v>
      </c>
      <c r="P601" s="5">
        <f>Table13[[#This Row],[Profit]]/Table13[[#This Row],[Amount]]</f>
        <v>0.16161616161616163</v>
      </c>
      <c r="Q601" s="6">
        <f>Table13[[#This Row],[Amount]]/Table13[[#This Row],[Quantity]]</f>
        <v>68.0625</v>
      </c>
    </row>
    <row r="602" spans="1:17" x14ac:dyDescent="0.3">
      <c r="A602" t="s">
        <v>692</v>
      </c>
      <c r="B602">
        <v>6690</v>
      </c>
      <c r="C602">
        <v>1001</v>
      </c>
      <c r="D602">
        <v>19</v>
      </c>
      <c r="E602" t="s">
        <v>30</v>
      </c>
      <c r="F602" t="s">
        <v>78</v>
      </c>
      <c r="G602" t="s">
        <v>15</v>
      </c>
      <c r="H602" s="1">
        <v>44718</v>
      </c>
      <c r="I602" t="s">
        <v>693</v>
      </c>
      <c r="J602" t="s">
        <v>21</v>
      </c>
      <c r="K602" t="s">
        <v>63</v>
      </c>
      <c r="L602" s="2" t="s">
        <v>165</v>
      </c>
      <c r="M602" t="str">
        <f>TEXT(Table13[[#This Row],[Order Date]],"MMM")</f>
        <v>Jun</v>
      </c>
      <c r="N602">
        <f>YEAR(Table13[[#This Row],[Order Date]])</f>
        <v>2022</v>
      </c>
      <c r="O602" t="str">
        <f>"Q"&amp;ROUNDUP(MONTH(Table13[[#This Row],[Order Date]])/3,0)</f>
        <v>Q2</v>
      </c>
      <c r="P602" s="5">
        <f>Table13[[#This Row],[Profit]]/Table13[[#This Row],[Amount]]</f>
        <v>0.14962630792227205</v>
      </c>
      <c r="Q602" s="6">
        <f>Table13[[#This Row],[Amount]]/Table13[[#This Row],[Quantity]]</f>
        <v>352.10526315789474</v>
      </c>
    </row>
    <row r="603" spans="1:17" x14ac:dyDescent="0.3">
      <c r="A603" t="s">
        <v>692</v>
      </c>
      <c r="B603">
        <v>6690</v>
      </c>
      <c r="C603">
        <v>1001</v>
      </c>
      <c r="D603">
        <v>19</v>
      </c>
      <c r="E603" t="s">
        <v>30</v>
      </c>
      <c r="F603" t="s">
        <v>78</v>
      </c>
      <c r="G603" t="s">
        <v>15</v>
      </c>
      <c r="H603" s="1">
        <v>44513</v>
      </c>
      <c r="I603" t="s">
        <v>694</v>
      </c>
      <c r="J603" t="s">
        <v>21</v>
      </c>
      <c r="K603" t="s">
        <v>22</v>
      </c>
      <c r="L603" s="2" t="s">
        <v>175</v>
      </c>
      <c r="M603" t="str">
        <f>TEXT(Table13[[#This Row],[Order Date]],"MMM")</f>
        <v>Nov</v>
      </c>
      <c r="N603">
        <f>YEAR(Table13[[#This Row],[Order Date]])</f>
        <v>2021</v>
      </c>
      <c r="O603" t="str">
        <f>"Q"&amp;ROUNDUP(MONTH(Table13[[#This Row],[Order Date]])/3,0)</f>
        <v>Q4</v>
      </c>
      <c r="P603" s="5">
        <f>Table13[[#This Row],[Profit]]/Table13[[#This Row],[Amount]]</f>
        <v>0.14962630792227205</v>
      </c>
      <c r="Q603" s="6">
        <f>Table13[[#This Row],[Amount]]/Table13[[#This Row],[Quantity]]</f>
        <v>352.10526315789474</v>
      </c>
    </row>
    <row r="604" spans="1:17" x14ac:dyDescent="0.3">
      <c r="A604" t="s">
        <v>692</v>
      </c>
      <c r="B604">
        <v>4985</v>
      </c>
      <c r="C604">
        <v>1920</v>
      </c>
      <c r="D604">
        <v>10</v>
      </c>
      <c r="E604" t="s">
        <v>45</v>
      </c>
      <c r="F604" t="s">
        <v>109</v>
      </c>
      <c r="G604" t="s">
        <v>47</v>
      </c>
      <c r="H604" s="1">
        <v>44718</v>
      </c>
      <c r="I604" t="s">
        <v>693</v>
      </c>
      <c r="J604" t="s">
        <v>21</v>
      </c>
      <c r="K604" t="s">
        <v>63</v>
      </c>
      <c r="L604" s="2" t="s">
        <v>165</v>
      </c>
      <c r="M604" t="str">
        <f>TEXT(Table13[[#This Row],[Order Date]],"MMM")</f>
        <v>Jun</v>
      </c>
      <c r="N604">
        <f>YEAR(Table13[[#This Row],[Order Date]])</f>
        <v>2022</v>
      </c>
      <c r="O604" t="str">
        <f>"Q"&amp;ROUNDUP(MONTH(Table13[[#This Row],[Order Date]])/3,0)</f>
        <v>Q2</v>
      </c>
      <c r="P604" s="5">
        <f>Table13[[#This Row],[Profit]]/Table13[[#This Row],[Amount]]</f>
        <v>0.38515546639919757</v>
      </c>
      <c r="Q604" s="6">
        <f>Table13[[#This Row],[Amount]]/Table13[[#This Row],[Quantity]]</f>
        <v>498.5</v>
      </c>
    </row>
    <row r="605" spans="1:17" x14ac:dyDescent="0.3">
      <c r="A605" t="s">
        <v>692</v>
      </c>
      <c r="B605">
        <v>4985</v>
      </c>
      <c r="C605">
        <v>1920</v>
      </c>
      <c r="D605">
        <v>10</v>
      </c>
      <c r="E605" t="s">
        <v>45</v>
      </c>
      <c r="F605" t="s">
        <v>109</v>
      </c>
      <c r="G605" t="s">
        <v>47</v>
      </c>
      <c r="H605" s="1">
        <v>44513</v>
      </c>
      <c r="I605" t="s">
        <v>694</v>
      </c>
      <c r="J605" t="s">
        <v>21</v>
      </c>
      <c r="K605" t="s">
        <v>22</v>
      </c>
      <c r="L605" s="2" t="s">
        <v>175</v>
      </c>
      <c r="M605" t="str">
        <f>TEXT(Table13[[#This Row],[Order Date]],"MMM")</f>
        <v>Nov</v>
      </c>
      <c r="N605">
        <f>YEAR(Table13[[#This Row],[Order Date]])</f>
        <v>2021</v>
      </c>
      <c r="O605" t="str">
        <f>"Q"&amp;ROUNDUP(MONTH(Table13[[#This Row],[Order Date]])/3,0)</f>
        <v>Q4</v>
      </c>
      <c r="P605" s="5">
        <f>Table13[[#This Row],[Profit]]/Table13[[#This Row],[Amount]]</f>
        <v>0.38515546639919757</v>
      </c>
      <c r="Q605" s="6">
        <f>Table13[[#This Row],[Amount]]/Table13[[#This Row],[Quantity]]</f>
        <v>498.5</v>
      </c>
    </row>
    <row r="606" spans="1:17" x14ac:dyDescent="0.3">
      <c r="A606" t="s">
        <v>695</v>
      </c>
      <c r="B606">
        <v>8590</v>
      </c>
      <c r="C606">
        <v>3565</v>
      </c>
      <c r="D606">
        <v>15</v>
      </c>
      <c r="E606" t="s">
        <v>13</v>
      </c>
      <c r="F606" t="s">
        <v>14</v>
      </c>
      <c r="G606" t="s">
        <v>40</v>
      </c>
      <c r="H606" s="1">
        <v>44511</v>
      </c>
      <c r="I606" t="s">
        <v>696</v>
      </c>
      <c r="J606" t="s">
        <v>17</v>
      </c>
      <c r="K606" t="s">
        <v>18</v>
      </c>
      <c r="L606" s="2" t="s">
        <v>175</v>
      </c>
      <c r="M606" t="str">
        <f>TEXT(Table13[[#This Row],[Order Date]],"MMM")</f>
        <v>Nov</v>
      </c>
      <c r="N606">
        <f>YEAR(Table13[[#This Row],[Order Date]])</f>
        <v>2021</v>
      </c>
      <c r="O606" t="str">
        <f>"Q"&amp;ROUNDUP(MONTH(Table13[[#This Row],[Order Date]])/3,0)</f>
        <v>Q4</v>
      </c>
      <c r="P606" s="5">
        <f>Table13[[#This Row],[Profit]]/Table13[[#This Row],[Amount]]</f>
        <v>0.41501746216530849</v>
      </c>
      <c r="Q606" s="6">
        <f>Table13[[#This Row],[Amount]]/Table13[[#This Row],[Quantity]]</f>
        <v>572.66666666666663</v>
      </c>
    </row>
    <row r="607" spans="1:17" x14ac:dyDescent="0.3">
      <c r="A607" t="s">
        <v>695</v>
      </c>
      <c r="B607">
        <v>6973</v>
      </c>
      <c r="C607">
        <v>3038</v>
      </c>
      <c r="D607">
        <v>10</v>
      </c>
      <c r="E607" t="s">
        <v>45</v>
      </c>
      <c r="F607" t="s">
        <v>46</v>
      </c>
      <c r="G607" t="s">
        <v>65</v>
      </c>
      <c r="H607" s="1">
        <v>44511</v>
      </c>
      <c r="I607" t="s">
        <v>696</v>
      </c>
      <c r="J607" t="s">
        <v>17</v>
      </c>
      <c r="K607" t="s">
        <v>18</v>
      </c>
      <c r="L607" s="2" t="s">
        <v>175</v>
      </c>
      <c r="M607" t="str">
        <f>TEXT(Table13[[#This Row],[Order Date]],"MMM")</f>
        <v>Nov</v>
      </c>
      <c r="N607">
        <f>YEAR(Table13[[#This Row],[Order Date]])</f>
        <v>2021</v>
      </c>
      <c r="O607" t="str">
        <f>"Q"&amp;ROUNDUP(MONTH(Table13[[#This Row],[Order Date]])/3,0)</f>
        <v>Q4</v>
      </c>
      <c r="P607" s="5">
        <f>Table13[[#This Row],[Profit]]/Table13[[#This Row],[Amount]]</f>
        <v>0.43568048185859742</v>
      </c>
      <c r="Q607" s="6">
        <f>Table13[[#This Row],[Amount]]/Table13[[#This Row],[Quantity]]</f>
        <v>697.3</v>
      </c>
    </row>
    <row r="608" spans="1:17" x14ac:dyDescent="0.3">
      <c r="A608" t="s">
        <v>697</v>
      </c>
      <c r="B608">
        <v>4591</v>
      </c>
      <c r="C608">
        <v>1941</v>
      </c>
      <c r="D608">
        <v>19</v>
      </c>
      <c r="E608" t="s">
        <v>13</v>
      </c>
      <c r="F608" t="s">
        <v>28</v>
      </c>
      <c r="G608" t="s">
        <v>40</v>
      </c>
      <c r="H608" s="1">
        <v>44408</v>
      </c>
      <c r="I608" t="s">
        <v>476</v>
      </c>
      <c r="J608" t="s">
        <v>71</v>
      </c>
      <c r="K608" t="s">
        <v>72</v>
      </c>
      <c r="L608" s="2" t="s">
        <v>27</v>
      </c>
      <c r="M608" t="str">
        <f>TEXT(Table13[[#This Row],[Order Date]],"MMM")</f>
        <v>Jul</v>
      </c>
      <c r="N608">
        <f>YEAR(Table13[[#This Row],[Order Date]])</f>
        <v>2021</v>
      </c>
      <c r="O608" t="str">
        <f>"Q"&amp;ROUNDUP(MONTH(Table13[[#This Row],[Order Date]])/3,0)</f>
        <v>Q3</v>
      </c>
      <c r="P608" s="5">
        <f>Table13[[#This Row],[Profit]]/Table13[[#This Row],[Amount]]</f>
        <v>0.42278370725332171</v>
      </c>
      <c r="Q608" s="6">
        <f>Table13[[#This Row],[Amount]]/Table13[[#This Row],[Quantity]]</f>
        <v>241.63157894736841</v>
      </c>
    </row>
    <row r="609" spans="1:17" x14ac:dyDescent="0.3">
      <c r="A609" t="s">
        <v>697</v>
      </c>
      <c r="B609">
        <v>9612</v>
      </c>
      <c r="C609">
        <v>2572</v>
      </c>
      <c r="D609">
        <v>17</v>
      </c>
      <c r="E609" t="s">
        <v>30</v>
      </c>
      <c r="F609" t="s">
        <v>31</v>
      </c>
      <c r="G609" t="s">
        <v>47</v>
      </c>
      <c r="H609" s="1">
        <v>44408</v>
      </c>
      <c r="I609" t="s">
        <v>476</v>
      </c>
      <c r="J609" t="s">
        <v>71</v>
      </c>
      <c r="K609" t="s">
        <v>72</v>
      </c>
      <c r="L609" s="2" t="s">
        <v>27</v>
      </c>
      <c r="M609" t="str">
        <f>TEXT(Table13[[#This Row],[Order Date]],"MMM")</f>
        <v>Jul</v>
      </c>
      <c r="N609">
        <f>YEAR(Table13[[#This Row],[Order Date]])</f>
        <v>2021</v>
      </c>
      <c r="O609" t="str">
        <f>"Q"&amp;ROUNDUP(MONTH(Table13[[#This Row],[Order Date]])/3,0)</f>
        <v>Q3</v>
      </c>
      <c r="P609" s="5">
        <f>Table13[[#This Row],[Profit]]/Table13[[#This Row],[Amount]]</f>
        <v>0.26758218893050356</v>
      </c>
      <c r="Q609" s="6">
        <f>Table13[[#This Row],[Amount]]/Table13[[#This Row],[Quantity]]</f>
        <v>565.41176470588232</v>
      </c>
    </row>
    <row r="610" spans="1:17" x14ac:dyDescent="0.3">
      <c r="A610" t="s">
        <v>698</v>
      </c>
      <c r="B610">
        <v>5343</v>
      </c>
      <c r="C610">
        <v>655</v>
      </c>
      <c r="D610">
        <v>1</v>
      </c>
      <c r="E610" t="s">
        <v>45</v>
      </c>
      <c r="F610" t="s">
        <v>49</v>
      </c>
      <c r="G610" t="s">
        <v>40</v>
      </c>
      <c r="H610" s="1">
        <v>45395</v>
      </c>
      <c r="I610" t="s">
        <v>699</v>
      </c>
      <c r="J610" t="s">
        <v>42</v>
      </c>
      <c r="K610" t="s">
        <v>75</v>
      </c>
      <c r="L610" s="2" t="s">
        <v>235</v>
      </c>
      <c r="M610" t="str">
        <f>TEXT(Table13[[#This Row],[Order Date]],"MMM")</f>
        <v>Apr</v>
      </c>
      <c r="N610">
        <f>YEAR(Table13[[#This Row],[Order Date]])</f>
        <v>2024</v>
      </c>
      <c r="O610" t="str">
        <f>"Q"&amp;ROUNDUP(MONTH(Table13[[#This Row],[Order Date]])/3,0)</f>
        <v>Q2</v>
      </c>
      <c r="P610" s="5">
        <f>Table13[[#This Row],[Profit]]/Table13[[#This Row],[Amount]]</f>
        <v>0.1225903050720569</v>
      </c>
      <c r="Q610" s="6">
        <f>Table13[[#This Row],[Amount]]/Table13[[#This Row],[Quantity]]</f>
        <v>5343</v>
      </c>
    </row>
    <row r="611" spans="1:17" x14ac:dyDescent="0.3">
      <c r="A611" t="s">
        <v>700</v>
      </c>
      <c r="B611">
        <v>6956</v>
      </c>
      <c r="C611">
        <v>318</v>
      </c>
      <c r="D611">
        <v>20</v>
      </c>
      <c r="E611" t="s">
        <v>30</v>
      </c>
      <c r="F611" t="s">
        <v>57</v>
      </c>
      <c r="G611" t="s">
        <v>32</v>
      </c>
      <c r="H611" s="1">
        <v>44670</v>
      </c>
      <c r="I611" t="s">
        <v>701</v>
      </c>
      <c r="J611" t="s">
        <v>21</v>
      </c>
      <c r="K611" t="s">
        <v>63</v>
      </c>
      <c r="L611" s="2" t="s">
        <v>187</v>
      </c>
      <c r="M611" t="str">
        <f>TEXT(Table13[[#This Row],[Order Date]],"MMM")</f>
        <v>Apr</v>
      </c>
      <c r="N611">
        <f>YEAR(Table13[[#This Row],[Order Date]])</f>
        <v>2022</v>
      </c>
      <c r="O611" t="str">
        <f>"Q"&amp;ROUNDUP(MONTH(Table13[[#This Row],[Order Date]])/3,0)</f>
        <v>Q2</v>
      </c>
      <c r="P611" s="5">
        <f>Table13[[#This Row],[Profit]]/Table13[[#This Row],[Amount]]</f>
        <v>4.5715928694652096E-2</v>
      </c>
      <c r="Q611" s="6">
        <f>Table13[[#This Row],[Amount]]/Table13[[#This Row],[Quantity]]</f>
        <v>347.8</v>
      </c>
    </row>
    <row r="612" spans="1:17" x14ac:dyDescent="0.3">
      <c r="A612" t="s">
        <v>702</v>
      </c>
      <c r="B612">
        <v>5306</v>
      </c>
      <c r="C612">
        <v>2405</v>
      </c>
      <c r="D612">
        <v>17</v>
      </c>
      <c r="E612" t="s">
        <v>45</v>
      </c>
      <c r="F612" t="s">
        <v>46</v>
      </c>
      <c r="G612" t="s">
        <v>40</v>
      </c>
      <c r="H612" s="1">
        <v>45374</v>
      </c>
      <c r="I612" t="s">
        <v>703</v>
      </c>
      <c r="J612" t="s">
        <v>25</v>
      </c>
      <c r="K612" t="s">
        <v>26</v>
      </c>
      <c r="L612" s="2" t="s">
        <v>338</v>
      </c>
      <c r="M612" t="str">
        <f>TEXT(Table13[[#This Row],[Order Date]],"MMM")</f>
        <v>Mar</v>
      </c>
      <c r="N612">
        <f>YEAR(Table13[[#This Row],[Order Date]])</f>
        <v>2024</v>
      </c>
      <c r="O612" t="str">
        <f>"Q"&amp;ROUNDUP(MONTH(Table13[[#This Row],[Order Date]])/3,0)</f>
        <v>Q1</v>
      </c>
      <c r="P612" s="5">
        <f>Table13[[#This Row],[Profit]]/Table13[[#This Row],[Amount]]</f>
        <v>0.45326045985676594</v>
      </c>
      <c r="Q612" s="6">
        <f>Table13[[#This Row],[Amount]]/Table13[[#This Row],[Quantity]]</f>
        <v>312.11764705882354</v>
      </c>
    </row>
    <row r="613" spans="1:17" x14ac:dyDescent="0.3">
      <c r="A613" t="s">
        <v>704</v>
      </c>
      <c r="B613">
        <v>8982</v>
      </c>
      <c r="C613">
        <v>448</v>
      </c>
      <c r="D613">
        <v>17</v>
      </c>
      <c r="E613" t="s">
        <v>45</v>
      </c>
      <c r="F613" t="s">
        <v>60</v>
      </c>
      <c r="G613" t="s">
        <v>15</v>
      </c>
      <c r="H613" s="1">
        <v>44323</v>
      </c>
      <c r="I613" t="s">
        <v>705</v>
      </c>
      <c r="J613" t="s">
        <v>25</v>
      </c>
      <c r="K613" t="s">
        <v>51</v>
      </c>
      <c r="L613" s="2" t="s">
        <v>108</v>
      </c>
      <c r="M613" t="str">
        <f>TEXT(Table13[[#This Row],[Order Date]],"MMM")</f>
        <v>May</v>
      </c>
      <c r="N613">
        <f>YEAR(Table13[[#This Row],[Order Date]])</f>
        <v>2021</v>
      </c>
      <c r="O613" t="str">
        <f>"Q"&amp;ROUNDUP(MONTH(Table13[[#This Row],[Order Date]])/3,0)</f>
        <v>Q2</v>
      </c>
      <c r="P613" s="5">
        <f>Table13[[#This Row],[Profit]]/Table13[[#This Row],[Amount]]</f>
        <v>4.987753284346471E-2</v>
      </c>
      <c r="Q613" s="6">
        <f>Table13[[#This Row],[Amount]]/Table13[[#This Row],[Quantity]]</f>
        <v>528.35294117647061</v>
      </c>
    </row>
    <row r="614" spans="1:17" x14ac:dyDescent="0.3">
      <c r="A614" t="s">
        <v>704</v>
      </c>
      <c r="B614">
        <v>4826</v>
      </c>
      <c r="C614">
        <v>562</v>
      </c>
      <c r="D614">
        <v>5</v>
      </c>
      <c r="E614" t="s">
        <v>30</v>
      </c>
      <c r="F614" t="s">
        <v>64</v>
      </c>
      <c r="G614" t="s">
        <v>32</v>
      </c>
      <c r="H614" s="1">
        <v>44323</v>
      </c>
      <c r="I614" t="s">
        <v>705</v>
      </c>
      <c r="J614" t="s">
        <v>25</v>
      </c>
      <c r="K614" t="s">
        <v>51</v>
      </c>
      <c r="L614" s="2" t="s">
        <v>108</v>
      </c>
      <c r="M614" t="str">
        <f>TEXT(Table13[[#This Row],[Order Date]],"MMM")</f>
        <v>May</v>
      </c>
      <c r="N614">
        <f>YEAR(Table13[[#This Row],[Order Date]])</f>
        <v>2021</v>
      </c>
      <c r="O614" t="str">
        <f>"Q"&amp;ROUNDUP(MONTH(Table13[[#This Row],[Order Date]])/3,0)</f>
        <v>Q2</v>
      </c>
      <c r="P614" s="5">
        <f>Table13[[#This Row],[Profit]]/Table13[[#This Row],[Amount]]</f>
        <v>0.11645254869457107</v>
      </c>
      <c r="Q614" s="6">
        <f>Table13[[#This Row],[Amount]]/Table13[[#This Row],[Quantity]]</f>
        <v>965.2</v>
      </c>
    </row>
    <row r="615" spans="1:17" x14ac:dyDescent="0.3">
      <c r="A615" t="s">
        <v>706</v>
      </c>
      <c r="B615">
        <v>972</v>
      </c>
      <c r="C615">
        <v>106</v>
      </c>
      <c r="D615">
        <v>15</v>
      </c>
      <c r="E615" t="s">
        <v>30</v>
      </c>
      <c r="F615" t="s">
        <v>31</v>
      </c>
      <c r="G615" t="s">
        <v>40</v>
      </c>
      <c r="H615" s="1">
        <v>44687</v>
      </c>
      <c r="I615" t="s">
        <v>707</v>
      </c>
      <c r="J615" t="s">
        <v>98</v>
      </c>
      <c r="K615" t="s">
        <v>107</v>
      </c>
      <c r="L615" s="2" t="s">
        <v>180</v>
      </c>
      <c r="M615" t="str">
        <f>TEXT(Table13[[#This Row],[Order Date]],"MMM")</f>
        <v>May</v>
      </c>
      <c r="N615">
        <f>YEAR(Table13[[#This Row],[Order Date]])</f>
        <v>2022</v>
      </c>
      <c r="O615" t="str">
        <f>"Q"&amp;ROUNDUP(MONTH(Table13[[#This Row],[Order Date]])/3,0)</f>
        <v>Q2</v>
      </c>
      <c r="P615" s="5">
        <f>Table13[[#This Row],[Profit]]/Table13[[#This Row],[Amount]]</f>
        <v>0.10905349794238683</v>
      </c>
      <c r="Q615" s="6">
        <f>Table13[[#This Row],[Amount]]/Table13[[#This Row],[Quantity]]</f>
        <v>64.8</v>
      </c>
    </row>
    <row r="616" spans="1:17" x14ac:dyDescent="0.3">
      <c r="A616" t="s">
        <v>708</v>
      </c>
      <c r="B616">
        <v>3665</v>
      </c>
      <c r="C616">
        <v>802</v>
      </c>
      <c r="D616">
        <v>4</v>
      </c>
      <c r="E616" t="s">
        <v>30</v>
      </c>
      <c r="F616" t="s">
        <v>57</v>
      </c>
      <c r="G616" t="s">
        <v>47</v>
      </c>
      <c r="H616" s="1">
        <v>44417</v>
      </c>
      <c r="I616" t="s">
        <v>709</v>
      </c>
      <c r="J616" t="s">
        <v>17</v>
      </c>
      <c r="K616" t="s">
        <v>18</v>
      </c>
      <c r="L616" s="2" t="s">
        <v>178</v>
      </c>
      <c r="M616" t="str">
        <f>TEXT(Table13[[#This Row],[Order Date]],"MMM")</f>
        <v>Aug</v>
      </c>
      <c r="N616">
        <f>YEAR(Table13[[#This Row],[Order Date]])</f>
        <v>2021</v>
      </c>
      <c r="O616" t="str">
        <f>"Q"&amp;ROUNDUP(MONTH(Table13[[#This Row],[Order Date]])/3,0)</f>
        <v>Q3</v>
      </c>
      <c r="P616" s="5">
        <f>Table13[[#This Row],[Profit]]/Table13[[#This Row],[Amount]]</f>
        <v>0.21882673942701228</v>
      </c>
      <c r="Q616" s="6">
        <f>Table13[[#This Row],[Amount]]/Table13[[#This Row],[Quantity]]</f>
        <v>916.25</v>
      </c>
    </row>
    <row r="617" spans="1:17" x14ac:dyDescent="0.3">
      <c r="A617" t="s">
        <v>708</v>
      </c>
      <c r="B617">
        <v>3665</v>
      </c>
      <c r="C617">
        <v>802</v>
      </c>
      <c r="D617">
        <v>4</v>
      </c>
      <c r="E617" t="s">
        <v>30</v>
      </c>
      <c r="F617" t="s">
        <v>57</v>
      </c>
      <c r="G617" t="s">
        <v>47</v>
      </c>
      <c r="H617" s="1">
        <v>45697</v>
      </c>
      <c r="I617" t="s">
        <v>710</v>
      </c>
      <c r="J617" t="s">
        <v>17</v>
      </c>
      <c r="K617" t="s">
        <v>150</v>
      </c>
      <c r="L617" s="2" t="s">
        <v>73</v>
      </c>
      <c r="M617" t="str">
        <f>TEXT(Table13[[#This Row],[Order Date]],"MMM")</f>
        <v>Feb</v>
      </c>
      <c r="N617">
        <f>YEAR(Table13[[#This Row],[Order Date]])</f>
        <v>2025</v>
      </c>
      <c r="O617" t="str">
        <f>"Q"&amp;ROUNDUP(MONTH(Table13[[#This Row],[Order Date]])/3,0)</f>
        <v>Q1</v>
      </c>
      <c r="P617" s="5">
        <f>Table13[[#This Row],[Profit]]/Table13[[#This Row],[Amount]]</f>
        <v>0.21882673942701228</v>
      </c>
      <c r="Q617" s="6">
        <f>Table13[[#This Row],[Amount]]/Table13[[#This Row],[Quantity]]</f>
        <v>916.25</v>
      </c>
    </row>
    <row r="618" spans="1:17" x14ac:dyDescent="0.3">
      <c r="A618" t="s">
        <v>711</v>
      </c>
      <c r="B618">
        <v>9808</v>
      </c>
      <c r="C618">
        <v>2117</v>
      </c>
      <c r="D618">
        <v>2</v>
      </c>
      <c r="E618" t="s">
        <v>30</v>
      </c>
      <c r="F618" t="s">
        <v>31</v>
      </c>
      <c r="G618" t="s">
        <v>15</v>
      </c>
      <c r="H618" s="1">
        <v>45405</v>
      </c>
      <c r="I618" t="s">
        <v>712</v>
      </c>
      <c r="J618" t="s">
        <v>42</v>
      </c>
      <c r="K618" t="s">
        <v>43</v>
      </c>
      <c r="L618" s="2" t="s">
        <v>235</v>
      </c>
      <c r="M618" t="str">
        <f>TEXT(Table13[[#This Row],[Order Date]],"MMM")</f>
        <v>Apr</v>
      </c>
      <c r="N618">
        <f>YEAR(Table13[[#This Row],[Order Date]])</f>
        <v>2024</v>
      </c>
      <c r="O618" t="str">
        <f>"Q"&amp;ROUNDUP(MONTH(Table13[[#This Row],[Order Date]])/3,0)</f>
        <v>Q2</v>
      </c>
      <c r="P618" s="5">
        <f>Table13[[#This Row],[Profit]]/Table13[[#This Row],[Amount]]</f>
        <v>0.21584420880913541</v>
      </c>
      <c r="Q618" s="6">
        <f>Table13[[#This Row],[Amount]]/Table13[[#This Row],[Quantity]]</f>
        <v>4904</v>
      </c>
    </row>
    <row r="619" spans="1:17" x14ac:dyDescent="0.3">
      <c r="A619" t="s">
        <v>713</v>
      </c>
      <c r="B619">
        <v>1133</v>
      </c>
      <c r="C619">
        <v>73</v>
      </c>
      <c r="D619">
        <v>17</v>
      </c>
      <c r="E619" t="s">
        <v>45</v>
      </c>
      <c r="F619" t="s">
        <v>49</v>
      </c>
      <c r="G619" t="s">
        <v>15</v>
      </c>
      <c r="H619" s="1">
        <v>44980</v>
      </c>
      <c r="I619" t="s">
        <v>714</v>
      </c>
      <c r="J619" t="s">
        <v>98</v>
      </c>
      <c r="K619" t="s">
        <v>117</v>
      </c>
      <c r="L619" s="2" t="s">
        <v>93</v>
      </c>
      <c r="M619" t="str">
        <f>TEXT(Table13[[#This Row],[Order Date]],"MMM")</f>
        <v>Feb</v>
      </c>
      <c r="N619">
        <f>YEAR(Table13[[#This Row],[Order Date]])</f>
        <v>2023</v>
      </c>
      <c r="O619" t="str">
        <f>"Q"&amp;ROUNDUP(MONTH(Table13[[#This Row],[Order Date]])/3,0)</f>
        <v>Q1</v>
      </c>
      <c r="P619" s="5">
        <f>Table13[[#This Row],[Profit]]/Table13[[#This Row],[Amount]]</f>
        <v>6.4430714916151807E-2</v>
      </c>
      <c r="Q619" s="6">
        <f>Table13[[#This Row],[Amount]]/Table13[[#This Row],[Quantity]]</f>
        <v>66.647058823529406</v>
      </c>
    </row>
    <row r="620" spans="1:17" x14ac:dyDescent="0.3">
      <c r="A620" t="s">
        <v>713</v>
      </c>
      <c r="B620">
        <v>1133</v>
      </c>
      <c r="C620">
        <v>73</v>
      </c>
      <c r="D620">
        <v>17</v>
      </c>
      <c r="E620" t="s">
        <v>45</v>
      </c>
      <c r="F620" t="s">
        <v>49</v>
      </c>
      <c r="G620" t="s">
        <v>15</v>
      </c>
      <c r="H620" s="1">
        <v>45449</v>
      </c>
      <c r="I620" t="s">
        <v>715</v>
      </c>
      <c r="J620" t="s">
        <v>42</v>
      </c>
      <c r="K620" t="s">
        <v>75</v>
      </c>
      <c r="L620" s="2" t="s">
        <v>262</v>
      </c>
      <c r="M620" t="str">
        <f>TEXT(Table13[[#This Row],[Order Date]],"MMM")</f>
        <v>Jun</v>
      </c>
      <c r="N620">
        <f>YEAR(Table13[[#This Row],[Order Date]])</f>
        <v>2024</v>
      </c>
      <c r="O620" t="str">
        <f>"Q"&amp;ROUNDUP(MONTH(Table13[[#This Row],[Order Date]])/3,0)</f>
        <v>Q2</v>
      </c>
      <c r="P620" s="5">
        <f>Table13[[#This Row],[Profit]]/Table13[[#This Row],[Amount]]</f>
        <v>6.4430714916151807E-2</v>
      </c>
      <c r="Q620" s="6">
        <f>Table13[[#This Row],[Amount]]/Table13[[#This Row],[Quantity]]</f>
        <v>66.647058823529406</v>
      </c>
    </row>
    <row r="621" spans="1:17" x14ac:dyDescent="0.3">
      <c r="A621" t="s">
        <v>713</v>
      </c>
      <c r="B621">
        <v>6248</v>
      </c>
      <c r="C621">
        <v>1168</v>
      </c>
      <c r="D621">
        <v>19</v>
      </c>
      <c r="E621" t="s">
        <v>45</v>
      </c>
      <c r="F621" t="s">
        <v>109</v>
      </c>
      <c r="G621" t="s">
        <v>65</v>
      </c>
      <c r="H621" s="1">
        <v>44980</v>
      </c>
      <c r="I621" t="s">
        <v>714</v>
      </c>
      <c r="J621" t="s">
        <v>98</v>
      </c>
      <c r="K621" t="s">
        <v>117</v>
      </c>
      <c r="L621" s="2" t="s">
        <v>93</v>
      </c>
      <c r="M621" t="str">
        <f>TEXT(Table13[[#This Row],[Order Date]],"MMM")</f>
        <v>Feb</v>
      </c>
      <c r="N621">
        <f>YEAR(Table13[[#This Row],[Order Date]])</f>
        <v>2023</v>
      </c>
      <c r="O621" t="str">
        <f>"Q"&amp;ROUNDUP(MONTH(Table13[[#This Row],[Order Date]])/3,0)</f>
        <v>Q1</v>
      </c>
      <c r="P621" s="5">
        <f>Table13[[#This Row],[Profit]]/Table13[[#This Row],[Amount]]</f>
        <v>0.18693982074263765</v>
      </c>
      <c r="Q621" s="6">
        <f>Table13[[#This Row],[Amount]]/Table13[[#This Row],[Quantity]]</f>
        <v>328.84210526315792</v>
      </c>
    </row>
    <row r="622" spans="1:17" x14ac:dyDescent="0.3">
      <c r="A622" t="s">
        <v>713</v>
      </c>
      <c r="B622">
        <v>6248</v>
      </c>
      <c r="C622">
        <v>1168</v>
      </c>
      <c r="D622">
        <v>19</v>
      </c>
      <c r="E622" t="s">
        <v>45</v>
      </c>
      <c r="F622" t="s">
        <v>109</v>
      </c>
      <c r="G622" t="s">
        <v>65</v>
      </c>
      <c r="H622" s="1">
        <v>45449</v>
      </c>
      <c r="I622" t="s">
        <v>715</v>
      </c>
      <c r="J622" t="s">
        <v>42</v>
      </c>
      <c r="K622" t="s">
        <v>75</v>
      </c>
      <c r="L622" s="2" t="s">
        <v>262</v>
      </c>
      <c r="M622" t="str">
        <f>TEXT(Table13[[#This Row],[Order Date]],"MMM")</f>
        <v>Jun</v>
      </c>
      <c r="N622">
        <f>YEAR(Table13[[#This Row],[Order Date]])</f>
        <v>2024</v>
      </c>
      <c r="O622" t="str">
        <f>"Q"&amp;ROUNDUP(MONTH(Table13[[#This Row],[Order Date]])/3,0)</f>
        <v>Q2</v>
      </c>
      <c r="P622" s="5">
        <f>Table13[[#This Row],[Profit]]/Table13[[#This Row],[Amount]]</f>
        <v>0.18693982074263765</v>
      </c>
      <c r="Q622" s="6">
        <f>Table13[[#This Row],[Amount]]/Table13[[#This Row],[Quantity]]</f>
        <v>328.84210526315792</v>
      </c>
    </row>
    <row r="623" spans="1:17" x14ac:dyDescent="0.3">
      <c r="A623" t="s">
        <v>716</v>
      </c>
      <c r="B623">
        <v>5666</v>
      </c>
      <c r="C623">
        <v>2733</v>
      </c>
      <c r="D623">
        <v>17</v>
      </c>
      <c r="E623" t="s">
        <v>13</v>
      </c>
      <c r="F623" t="s">
        <v>14</v>
      </c>
      <c r="G623" t="s">
        <v>47</v>
      </c>
      <c r="H623" s="1">
        <v>45684</v>
      </c>
      <c r="I623" t="s">
        <v>717</v>
      </c>
      <c r="J623" t="s">
        <v>17</v>
      </c>
      <c r="K623" t="s">
        <v>150</v>
      </c>
      <c r="L623" s="2" t="s">
        <v>308</v>
      </c>
      <c r="M623" t="str">
        <f>TEXT(Table13[[#This Row],[Order Date]],"MMM")</f>
        <v>Jan</v>
      </c>
      <c r="N623">
        <f>YEAR(Table13[[#This Row],[Order Date]])</f>
        <v>2025</v>
      </c>
      <c r="O623" t="str">
        <f>"Q"&amp;ROUNDUP(MONTH(Table13[[#This Row],[Order Date]])/3,0)</f>
        <v>Q1</v>
      </c>
      <c r="P623" s="5">
        <f>Table13[[#This Row],[Profit]]/Table13[[#This Row],[Amount]]</f>
        <v>0.4823508648076244</v>
      </c>
      <c r="Q623" s="6">
        <f>Table13[[#This Row],[Amount]]/Table13[[#This Row],[Quantity]]</f>
        <v>333.29411764705884</v>
      </c>
    </row>
    <row r="624" spans="1:17" x14ac:dyDescent="0.3">
      <c r="A624" t="s">
        <v>718</v>
      </c>
      <c r="B624">
        <v>4171</v>
      </c>
      <c r="C624">
        <v>1450</v>
      </c>
      <c r="D624">
        <v>18</v>
      </c>
      <c r="E624" t="s">
        <v>30</v>
      </c>
      <c r="F624" t="s">
        <v>57</v>
      </c>
      <c r="G624" t="s">
        <v>65</v>
      </c>
      <c r="H624" s="1">
        <v>45023</v>
      </c>
      <c r="I624" t="s">
        <v>719</v>
      </c>
      <c r="J624" t="s">
        <v>71</v>
      </c>
      <c r="K624" t="s">
        <v>72</v>
      </c>
      <c r="L624" s="2" t="s">
        <v>145</v>
      </c>
      <c r="M624" t="str">
        <f>TEXT(Table13[[#This Row],[Order Date]],"MMM")</f>
        <v>Apr</v>
      </c>
      <c r="N624">
        <f>YEAR(Table13[[#This Row],[Order Date]])</f>
        <v>2023</v>
      </c>
      <c r="O624" t="str">
        <f>"Q"&amp;ROUNDUP(MONTH(Table13[[#This Row],[Order Date]])/3,0)</f>
        <v>Q2</v>
      </c>
      <c r="P624" s="5">
        <f>Table13[[#This Row],[Profit]]/Table13[[#This Row],[Amount]]</f>
        <v>0.34763845600575399</v>
      </c>
      <c r="Q624" s="6">
        <f>Table13[[#This Row],[Amount]]/Table13[[#This Row],[Quantity]]</f>
        <v>231.72222222222223</v>
      </c>
    </row>
    <row r="625" spans="1:17" x14ac:dyDescent="0.3">
      <c r="A625" t="s">
        <v>720</v>
      </c>
      <c r="B625">
        <v>6236</v>
      </c>
      <c r="C625">
        <v>2839</v>
      </c>
      <c r="D625">
        <v>7</v>
      </c>
      <c r="E625" t="s">
        <v>13</v>
      </c>
      <c r="F625" t="s">
        <v>28</v>
      </c>
      <c r="G625" t="s">
        <v>47</v>
      </c>
      <c r="H625" s="1">
        <v>44581</v>
      </c>
      <c r="I625" t="s">
        <v>721</v>
      </c>
      <c r="J625" t="s">
        <v>21</v>
      </c>
      <c r="K625" t="s">
        <v>63</v>
      </c>
      <c r="L625" s="2" t="s">
        <v>87</v>
      </c>
      <c r="M625" t="str">
        <f>TEXT(Table13[[#This Row],[Order Date]],"MMM")</f>
        <v>Jan</v>
      </c>
      <c r="N625">
        <f>YEAR(Table13[[#This Row],[Order Date]])</f>
        <v>2022</v>
      </c>
      <c r="O625" t="str">
        <f>"Q"&amp;ROUNDUP(MONTH(Table13[[#This Row],[Order Date]])/3,0)</f>
        <v>Q1</v>
      </c>
      <c r="P625" s="5">
        <f>Table13[[#This Row],[Profit]]/Table13[[#This Row],[Amount]]</f>
        <v>0.4552597819114817</v>
      </c>
      <c r="Q625" s="6">
        <f>Table13[[#This Row],[Amount]]/Table13[[#This Row],[Quantity]]</f>
        <v>890.85714285714289</v>
      </c>
    </row>
    <row r="626" spans="1:17" x14ac:dyDescent="0.3">
      <c r="A626" t="s">
        <v>720</v>
      </c>
      <c r="B626">
        <v>6236</v>
      </c>
      <c r="C626">
        <v>2839</v>
      </c>
      <c r="D626">
        <v>7</v>
      </c>
      <c r="E626" t="s">
        <v>13</v>
      </c>
      <c r="F626" t="s">
        <v>28</v>
      </c>
      <c r="G626" t="s">
        <v>47</v>
      </c>
      <c r="H626" s="1">
        <v>44691</v>
      </c>
      <c r="I626" t="s">
        <v>722</v>
      </c>
      <c r="J626" t="s">
        <v>17</v>
      </c>
      <c r="K626" t="s">
        <v>34</v>
      </c>
      <c r="L626" s="2" t="s">
        <v>180</v>
      </c>
      <c r="M626" t="str">
        <f>TEXT(Table13[[#This Row],[Order Date]],"MMM")</f>
        <v>May</v>
      </c>
      <c r="N626">
        <f>YEAR(Table13[[#This Row],[Order Date]])</f>
        <v>2022</v>
      </c>
      <c r="O626" t="str">
        <f>"Q"&amp;ROUNDUP(MONTH(Table13[[#This Row],[Order Date]])/3,0)</f>
        <v>Q2</v>
      </c>
      <c r="P626" s="5">
        <f>Table13[[#This Row],[Profit]]/Table13[[#This Row],[Amount]]</f>
        <v>0.4552597819114817</v>
      </c>
      <c r="Q626" s="6">
        <f>Table13[[#This Row],[Amount]]/Table13[[#This Row],[Quantity]]</f>
        <v>890.85714285714289</v>
      </c>
    </row>
    <row r="627" spans="1:17" x14ac:dyDescent="0.3">
      <c r="A627" t="s">
        <v>723</v>
      </c>
      <c r="B627">
        <v>5410</v>
      </c>
      <c r="C627">
        <v>2456</v>
      </c>
      <c r="D627">
        <v>8</v>
      </c>
      <c r="E627" t="s">
        <v>45</v>
      </c>
      <c r="F627" t="s">
        <v>49</v>
      </c>
      <c r="G627" t="s">
        <v>47</v>
      </c>
      <c r="H627" s="1">
        <v>45441</v>
      </c>
      <c r="I627" t="s">
        <v>724</v>
      </c>
      <c r="J627" t="s">
        <v>42</v>
      </c>
      <c r="K627" t="s">
        <v>43</v>
      </c>
      <c r="L627" s="2" t="s">
        <v>35</v>
      </c>
      <c r="M627" t="str">
        <f>TEXT(Table13[[#This Row],[Order Date]],"MMM")</f>
        <v>May</v>
      </c>
      <c r="N627">
        <f>YEAR(Table13[[#This Row],[Order Date]])</f>
        <v>2024</v>
      </c>
      <c r="O627" t="str">
        <f>"Q"&amp;ROUNDUP(MONTH(Table13[[#This Row],[Order Date]])/3,0)</f>
        <v>Q2</v>
      </c>
      <c r="P627" s="5">
        <f>Table13[[#This Row],[Profit]]/Table13[[#This Row],[Amount]]</f>
        <v>0.45397412199630316</v>
      </c>
      <c r="Q627" s="6">
        <f>Table13[[#This Row],[Amount]]/Table13[[#This Row],[Quantity]]</f>
        <v>676.25</v>
      </c>
    </row>
    <row r="628" spans="1:17" x14ac:dyDescent="0.3">
      <c r="A628" t="s">
        <v>723</v>
      </c>
      <c r="B628">
        <v>5410</v>
      </c>
      <c r="C628">
        <v>2456</v>
      </c>
      <c r="D628">
        <v>8</v>
      </c>
      <c r="E628" t="s">
        <v>45</v>
      </c>
      <c r="F628" t="s">
        <v>49</v>
      </c>
      <c r="G628" t="s">
        <v>47</v>
      </c>
      <c r="H628" s="1">
        <v>44565</v>
      </c>
      <c r="I628" t="s">
        <v>725</v>
      </c>
      <c r="J628" t="s">
        <v>17</v>
      </c>
      <c r="K628" t="s">
        <v>150</v>
      </c>
      <c r="L628" s="2" t="s">
        <v>87</v>
      </c>
      <c r="M628" t="str">
        <f>TEXT(Table13[[#This Row],[Order Date]],"MMM")</f>
        <v>Jan</v>
      </c>
      <c r="N628">
        <f>YEAR(Table13[[#This Row],[Order Date]])</f>
        <v>2022</v>
      </c>
      <c r="O628" t="str">
        <f>"Q"&amp;ROUNDUP(MONTH(Table13[[#This Row],[Order Date]])/3,0)</f>
        <v>Q1</v>
      </c>
      <c r="P628" s="5">
        <f>Table13[[#This Row],[Profit]]/Table13[[#This Row],[Amount]]</f>
        <v>0.45397412199630316</v>
      </c>
      <c r="Q628" s="6">
        <f>Table13[[#This Row],[Amount]]/Table13[[#This Row],[Quantity]]</f>
        <v>676.25</v>
      </c>
    </row>
    <row r="629" spans="1:17" x14ac:dyDescent="0.3">
      <c r="A629" t="s">
        <v>726</v>
      </c>
      <c r="B629">
        <v>3024</v>
      </c>
      <c r="C629">
        <v>1353</v>
      </c>
      <c r="D629">
        <v>1</v>
      </c>
      <c r="E629" t="s">
        <v>45</v>
      </c>
      <c r="F629" t="s">
        <v>60</v>
      </c>
      <c r="G629" t="s">
        <v>47</v>
      </c>
      <c r="H629" s="1">
        <v>45414</v>
      </c>
      <c r="I629" t="s">
        <v>727</v>
      </c>
      <c r="J629" t="s">
        <v>42</v>
      </c>
      <c r="K629" t="s">
        <v>43</v>
      </c>
      <c r="L629" s="2" t="s">
        <v>35</v>
      </c>
      <c r="M629" t="str">
        <f>TEXT(Table13[[#This Row],[Order Date]],"MMM")</f>
        <v>May</v>
      </c>
      <c r="N629">
        <f>YEAR(Table13[[#This Row],[Order Date]])</f>
        <v>2024</v>
      </c>
      <c r="O629" t="str">
        <f>"Q"&amp;ROUNDUP(MONTH(Table13[[#This Row],[Order Date]])/3,0)</f>
        <v>Q2</v>
      </c>
      <c r="P629" s="5">
        <f>Table13[[#This Row],[Profit]]/Table13[[#This Row],[Amount]]</f>
        <v>0.44742063492063494</v>
      </c>
      <c r="Q629" s="6">
        <f>Table13[[#This Row],[Amount]]/Table13[[#This Row],[Quantity]]</f>
        <v>3024</v>
      </c>
    </row>
    <row r="630" spans="1:17" x14ac:dyDescent="0.3">
      <c r="A630" t="s">
        <v>726</v>
      </c>
      <c r="B630">
        <v>3024</v>
      </c>
      <c r="C630">
        <v>1353</v>
      </c>
      <c r="D630">
        <v>1</v>
      </c>
      <c r="E630" t="s">
        <v>45</v>
      </c>
      <c r="F630" t="s">
        <v>60</v>
      </c>
      <c r="G630" t="s">
        <v>47</v>
      </c>
      <c r="H630" s="1">
        <v>44558</v>
      </c>
      <c r="I630" t="s">
        <v>728</v>
      </c>
      <c r="J630" t="s">
        <v>98</v>
      </c>
      <c r="K630" t="s">
        <v>99</v>
      </c>
      <c r="L630" s="2" t="s">
        <v>90</v>
      </c>
      <c r="M630" t="str">
        <f>TEXT(Table13[[#This Row],[Order Date]],"MMM")</f>
        <v>Dec</v>
      </c>
      <c r="N630">
        <f>YEAR(Table13[[#This Row],[Order Date]])</f>
        <v>2021</v>
      </c>
      <c r="O630" t="str">
        <f>"Q"&amp;ROUNDUP(MONTH(Table13[[#This Row],[Order Date]])/3,0)</f>
        <v>Q4</v>
      </c>
      <c r="P630" s="5">
        <f>Table13[[#This Row],[Profit]]/Table13[[#This Row],[Amount]]</f>
        <v>0.44742063492063494</v>
      </c>
      <c r="Q630" s="6">
        <f>Table13[[#This Row],[Amount]]/Table13[[#This Row],[Quantity]]</f>
        <v>3024</v>
      </c>
    </row>
    <row r="631" spans="1:17" x14ac:dyDescent="0.3">
      <c r="A631" t="s">
        <v>729</v>
      </c>
      <c r="B631">
        <v>7434</v>
      </c>
      <c r="C631">
        <v>2851</v>
      </c>
      <c r="D631">
        <v>5</v>
      </c>
      <c r="E631" t="s">
        <v>30</v>
      </c>
      <c r="F631" t="s">
        <v>57</v>
      </c>
      <c r="G631" t="s">
        <v>15</v>
      </c>
      <c r="H631" s="1">
        <v>44907</v>
      </c>
      <c r="I631" t="s">
        <v>730</v>
      </c>
      <c r="J631" t="s">
        <v>21</v>
      </c>
      <c r="K631" t="s">
        <v>63</v>
      </c>
      <c r="L631" s="2" t="s">
        <v>152</v>
      </c>
      <c r="M631" t="str">
        <f>TEXT(Table13[[#This Row],[Order Date]],"MMM")</f>
        <v>Dec</v>
      </c>
      <c r="N631">
        <f>YEAR(Table13[[#This Row],[Order Date]])</f>
        <v>2022</v>
      </c>
      <c r="O631" t="str">
        <f>"Q"&amp;ROUNDUP(MONTH(Table13[[#This Row],[Order Date]])/3,0)</f>
        <v>Q4</v>
      </c>
      <c r="P631" s="5">
        <f>Table13[[#This Row],[Profit]]/Table13[[#This Row],[Amount]]</f>
        <v>0.38350820554210385</v>
      </c>
      <c r="Q631" s="6">
        <f>Table13[[#This Row],[Amount]]/Table13[[#This Row],[Quantity]]</f>
        <v>1486.8</v>
      </c>
    </row>
    <row r="632" spans="1:17" x14ac:dyDescent="0.3">
      <c r="A632" t="s">
        <v>731</v>
      </c>
      <c r="B632">
        <v>7213</v>
      </c>
      <c r="C632">
        <v>508</v>
      </c>
      <c r="D632">
        <v>19</v>
      </c>
      <c r="E632" t="s">
        <v>13</v>
      </c>
      <c r="F632" t="s">
        <v>14</v>
      </c>
      <c r="G632" t="s">
        <v>32</v>
      </c>
      <c r="H632" s="1">
        <v>45155</v>
      </c>
      <c r="I632" t="s">
        <v>732</v>
      </c>
      <c r="J632" t="s">
        <v>71</v>
      </c>
      <c r="K632" t="s">
        <v>72</v>
      </c>
      <c r="L632" s="2" t="s">
        <v>121</v>
      </c>
      <c r="M632" t="str">
        <f>TEXT(Table13[[#This Row],[Order Date]],"MMM")</f>
        <v>Aug</v>
      </c>
      <c r="N632">
        <f>YEAR(Table13[[#This Row],[Order Date]])</f>
        <v>2023</v>
      </c>
      <c r="O632" t="str">
        <f>"Q"&amp;ROUNDUP(MONTH(Table13[[#This Row],[Order Date]])/3,0)</f>
        <v>Q3</v>
      </c>
      <c r="P632" s="5">
        <f>Table13[[#This Row],[Profit]]/Table13[[#This Row],[Amount]]</f>
        <v>7.042839317898239E-2</v>
      </c>
      <c r="Q632" s="6">
        <f>Table13[[#This Row],[Amount]]/Table13[[#This Row],[Quantity]]</f>
        <v>379.63157894736844</v>
      </c>
    </row>
    <row r="633" spans="1:17" x14ac:dyDescent="0.3">
      <c r="A633" t="s">
        <v>731</v>
      </c>
      <c r="B633">
        <v>7213</v>
      </c>
      <c r="C633">
        <v>508</v>
      </c>
      <c r="D633">
        <v>19</v>
      </c>
      <c r="E633" t="s">
        <v>13</v>
      </c>
      <c r="F633" t="s">
        <v>14</v>
      </c>
      <c r="G633" t="s">
        <v>32</v>
      </c>
      <c r="H633" s="1">
        <v>44529</v>
      </c>
      <c r="I633" t="s">
        <v>733</v>
      </c>
      <c r="J633" t="s">
        <v>98</v>
      </c>
      <c r="K633" t="s">
        <v>107</v>
      </c>
      <c r="L633" s="2" t="s">
        <v>175</v>
      </c>
      <c r="M633" t="str">
        <f>TEXT(Table13[[#This Row],[Order Date]],"MMM")</f>
        <v>Nov</v>
      </c>
      <c r="N633">
        <f>YEAR(Table13[[#This Row],[Order Date]])</f>
        <v>2021</v>
      </c>
      <c r="O633" t="str">
        <f>"Q"&amp;ROUNDUP(MONTH(Table13[[#This Row],[Order Date]])/3,0)</f>
        <v>Q4</v>
      </c>
      <c r="P633" s="5">
        <f>Table13[[#This Row],[Profit]]/Table13[[#This Row],[Amount]]</f>
        <v>7.042839317898239E-2</v>
      </c>
      <c r="Q633" s="6">
        <f>Table13[[#This Row],[Amount]]/Table13[[#This Row],[Quantity]]</f>
        <v>379.63157894736844</v>
      </c>
    </row>
    <row r="634" spans="1:17" x14ac:dyDescent="0.3">
      <c r="A634" t="s">
        <v>731</v>
      </c>
      <c r="B634">
        <v>3176</v>
      </c>
      <c r="C634">
        <v>586</v>
      </c>
      <c r="D634">
        <v>9</v>
      </c>
      <c r="E634" t="s">
        <v>45</v>
      </c>
      <c r="F634" t="s">
        <v>46</v>
      </c>
      <c r="G634" t="s">
        <v>40</v>
      </c>
      <c r="H634" s="1">
        <v>45155</v>
      </c>
      <c r="I634" t="s">
        <v>732</v>
      </c>
      <c r="J634" t="s">
        <v>71</v>
      </c>
      <c r="K634" t="s">
        <v>72</v>
      </c>
      <c r="L634" s="2" t="s">
        <v>121</v>
      </c>
      <c r="M634" t="str">
        <f>TEXT(Table13[[#This Row],[Order Date]],"MMM")</f>
        <v>Aug</v>
      </c>
      <c r="N634">
        <f>YEAR(Table13[[#This Row],[Order Date]])</f>
        <v>2023</v>
      </c>
      <c r="O634" t="str">
        <f>"Q"&amp;ROUNDUP(MONTH(Table13[[#This Row],[Order Date]])/3,0)</f>
        <v>Q3</v>
      </c>
      <c r="P634" s="5">
        <f>Table13[[#This Row],[Profit]]/Table13[[#This Row],[Amount]]</f>
        <v>0.1845088161209068</v>
      </c>
      <c r="Q634" s="6">
        <f>Table13[[#This Row],[Amount]]/Table13[[#This Row],[Quantity]]</f>
        <v>352.88888888888891</v>
      </c>
    </row>
    <row r="635" spans="1:17" x14ac:dyDescent="0.3">
      <c r="A635" t="s">
        <v>731</v>
      </c>
      <c r="B635">
        <v>3176</v>
      </c>
      <c r="C635">
        <v>586</v>
      </c>
      <c r="D635">
        <v>9</v>
      </c>
      <c r="E635" t="s">
        <v>45</v>
      </c>
      <c r="F635" t="s">
        <v>46</v>
      </c>
      <c r="G635" t="s">
        <v>40</v>
      </c>
      <c r="H635" s="1">
        <v>44529</v>
      </c>
      <c r="I635" t="s">
        <v>733</v>
      </c>
      <c r="J635" t="s">
        <v>98</v>
      </c>
      <c r="K635" t="s">
        <v>107</v>
      </c>
      <c r="L635" s="2" t="s">
        <v>175</v>
      </c>
      <c r="M635" t="str">
        <f>TEXT(Table13[[#This Row],[Order Date]],"MMM")</f>
        <v>Nov</v>
      </c>
      <c r="N635">
        <f>YEAR(Table13[[#This Row],[Order Date]])</f>
        <v>2021</v>
      </c>
      <c r="O635" t="str">
        <f>"Q"&amp;ROUNDUP(MONTH(Table13[[#This Row],[Order Date]])/3,0)</f>
        <v>Q4</v>
      </c>
      <c r="P635" s="5">
        <f>Table13[[#This Row],[Profit]]/Table13[[#This Row],[Amount]]</f>
        <v>0.1845088161209068</v>
      </c>
      <c r="Q635" s="6">
        <f>Table13[[#This Row],[Amount]]/Table13[[#This Row],[Quantity]]</f>
        <v>352.88888888888891</v>
      </c>
    </row>
    <row r="636" spans="1:17" x14ac:dyDescent="0.3">
      <c r="A636" t="s">
        <v>734</v>
      </c>
      <c r="B636">
        <v>9144</v>
      </c>
      <c r="C636">
        <v>2220</v>
      </c>
      <c r="D636">
        <v>18</v>
      </c>
      <c r="E636" t="s">
        <v>30</v>
      </c>
      <c r="F636" t="s">
        <v>78</v>
      </c>
      <c r="G636" t="s">
        <v>47</v>
      </c>
      <c r="H636" s="1">
        <v>44360</v>
      </c>
      <c r="I636" t="s">
        <v>735</v>
      </c>
      <c r="J636" t="s">
        <v>17</v>
      </c>
      <c r="K636" t="s">
        <v>18</v>
      </c>
      <c r="L636" s="2" t="s">
        <v>125</v>
      </c>
      <c r="M636" t="str">
        <f>TEXT(Table13[[#This Row],[Order Date]],"MMM")</f>
        <v>Jun</v>
      </c>
      <c r="N636">
        <f>YEAR(Table13[[#This Row],[Order Date]])</f>
        <v>2021</v>
      </c>
      <c r="O636" t="str">
        <f>"Q"&amp;ROUNDUP(MONTH(Table13[[#This Row],[Order Date]])/3,0)</f>
        <v>Q2</v>
      </c>
      <c r="P636" s="5">
        <f>Table13[[#This Row],[Profit]]/Table13[[#This Row],[Amount]]</f>
        <v>0.24278215223097113</v>
      </c>
      <c r="Q636" s="6">
        <f>Table13[[#This Row],[Amount]]/Table13[[#This Row],[Quantity]]</f>
        <v>508</v>
      </c>
    </row>
    <row r="637" spans="1:17" x14ac:dyDescent="0.3">
      <c r="A637" t="s">
        <v>736</v>
      </c>
      <c r="B637">
        <v>4146</v>
      </c>
      <c r="C637">
        <v>865</v>
      </c>
      <c r="D637">
        <v>19</v>
      </c>
      <c r="E637" t="s">
        <v>45</v>
      </c>
      <c r="F637" t="s">
        <v>46</v>
      </c>
      <c r="G637" t="s">
        <v>40</v>
      </c>
      <c r="H637" s="1">
        <v>44746</v>
      </c>
      <c r="I637" t="s">
        <v>737</v>
      </c>
      <c r="J637" t="s">
        <v>71</v>
      </c>
      <c r="K637" t="s">
        <v>138</v>
      </c>
      <c r="L637" s="2" t="s">
        <v>418</v>
      </c>
      <c r="M637" t="str">
        <f>TEXT(Table13[[#This Row],[Order Date]],"MMM")</f>
        <v>Jul</v>
      </c>
      <c r="N637">
        <f>YEAR(Table13[[#This Row],[Order Date]])</f>
        <v>2022</v>
      </c>
      <c r="O637" t="str">
        <f>"Q"&amp;ROUNDUP(MONTH(Table13[[#This Row],[Order Date]])/3,0)</f>
        <v>Q3</v>
      </c>
      <c r="P637" s="5">
        <f>Table13[[#This Row],[Profit]]/Table13[[#This Row],[Amount]]</f>
        <v>0.20863482875060299</v>
      </c>
      <c r="Q637" s="6">
        <f>Table13[[#This Row],[Amount]]/Table13[[#This Row],[Quantity]]</f>
        <v>218.21052631578948</v>
      </c>
    </row>
    <row r="638" spans="1:17" x14ac:dyDescent="0.3">
      <c r="A638" t="s">
        <v>736</v>
      </c>
      <c r="B638">
        <v>3793</v>
      </c>
      <c r="C638">
        <v>875</v>
      </c>
      <c r="D638">
        <v>7</v>
      </c>
      <c r="E638" t="s">
        <v>45</v>
      </c>
      <c r="F638" t="s">
        <v>46</v>
      </c>
      <c r="G638" t="s">
        <v>40</v>
      </c>
      <c r="H638" s="1">
        <v>44746</v>
      </c>
      <c r="I638" t="s">
        <v>737</v>
      </c>
      <c r="J638" t="s">
        <v>71</v>
      </c>
      <c r="K638" t="s">
        <v>138</v>
      </c>
      <c r="L638" s="2" t="s">
        <v>418</v>
      </c>
      <c r="M638" t="str">
        <f>TEXT(Table13[[#This Row],[Order Date]],"MMM")</f>
        <v>Jul</v>
      </c>
      <c r="N638">
        <f>YEAR(Table13[[#This Row],[Order Date]])</f>
        <v>2022</v>
      </c>
      <c r="O638" t="str">
        <f>"Q"&amp;ROUNDUP(MONTH(Table13[[#This Row],[Order Date]])/3,0)</f>
        <v>Q3</v>
      </c>
      <c r="P638" s="5">
        <f>Table13[[#This Row],[Profit]]/Table13[[#This Row],[Amount]]</f>
        <v>0.23068810967571843</v>
      </c>
      <c r="Q638" s="6">
        <f>Table13[[#This Row],[Amount]]/Table13[[#This Row],[Quantity]]</f>
        <v>541.85714285714289</v>
      </c>
    </row>
    <row r="639" spans="1:17" x14ac:dyDescent="0.3">
      <c r="A639" t="s">
        <v>738</v>
      </c>
      <c r="B639">
        <v>7169</v>
      </c>
      <c r="C639">
        <v>2385</v>
      </c>
      <c r="D639">
        <v>11</v>
      </c>
      <c r="E639" t="s">
        <v>45</v>
      </c>
      <c r="F639" t="s">
        <v>60</v>
      </c>
      <c r="G639" t="s">
        <v>65</v>
      </c>
      <c r="H639" s="1">
        <v>44374</v>
      </c>
      <c r="I639" t="s">
        <v>739</v>
      </c>
      <c r="J639" t="s">
        <v>42</v>
      </c>
      <c r="K639" t="s">
        <v>43</v>
      </c>
      <c r="L639" s="2" t="s">
        <v>125</v>
      </c>
      <c r="M639" t="str">
        <f>TEXT(Table13[[#This Row],[Order Date]],"MMM")</f>
        <v>Jun</v>
      </c>
      <c r="N639">
        <f>YEAR(Table13[[#This Row],[Order Date]])</f>
        <v>2021</v>
      </c>
      <c r="O639" t="str">
        <f>"Q"&amp;ROUNDUP(MONTH(Table13[[#This Row],[Order Date]])/3,0)</f>
        <v>Q2</v>
      </c>
      <c r="P639" s="5">
        <f>Table13[[#This Row],[Profit]]/Table13[[#This Row],[Amount]]</f>
        <v>0.33268238248012277</v>
      </c>
      <c r="Q639" s="6">
        <f>Table13[[#This Row],[Amount]]/Table13[[#This Row],[Quantity]]</f>
        <v>651.72727272727275</v>
      </c>
    </row>
    <row r="640" spans="1:17" x14ac:dyDescent="0.3">
      <c r="A640" t="s">
        <v>738</v>
      </c>
      <c r="B640">
        <v>4046</v>
      </c>
      <c r="C640">
        <v>417</v>
      </c>
      <c r="D640">
        <v>18</v>
      </c>
      <c r="E640" t="s">
        <v>45</v>
      </c>
      <c r="F640" t="s">
        <v>49</v>
      </c>
      <c r="G640" t="s">
        <v>47</v>
      </c>
      <c r="H640" s="1">
        <v>44374</v>
      </c>
      <c r="I640" t="s">
        <v>739</v>
      </c>
      <c r="J640" t="s">
        <v>42</v>
      </c>
      <c r="K640" t="s">
        <v>43</v>
      </c>
      <c r="L640" s="2" t="s">
        <v>125</v>
      </c>
      <c r="M640" t="str">
        <f>TEXT(Table13[[#This Row],[Order Date]],"MMM")</f>
        <v>Jun</v>
      </c>
      <c r="N640">
        <f>YEAR(Table13[[#This Row],[Order Date]])</f>
        <v>2021</v>
      </c>
      <c r="O640" t="str">
        <f>"Q"&amp;ROUNDUP(MONTH(Table13[[#This Row],[Order Date]])/3,0)</f>
        <v>Q2</v>
      </c>
      <c r="P640" s="5">
        <f>Table13[[#This Row],[Profit]]/Table13[[#This Row],[Amount]]</f>
        <v>0.10306475531389027</v>
      </c>
      <c r="Q640" s="6">
        <f>Table13[[#This Row],[Amount]]/Table13[[#This Row],[Quantity]]</f>
        <v>224.77777777777777</v>
      </c>
    </row>
    <row r="641" spans="1:17" x14ac:dyDescent="0.3">
      <c r="A641" t="s">
        <v>740</v>
      </c>
      <c r="B641">
        <v>4164</v>
      </c>
      <c r="C641">
        <v>905</v>
      </c>
      <c r="D641">
        <v>11</v>
      </c>
      <c r="E641" t="s">
        <v>13</v>
      </c>
      <c r="F641" t="s">
        <v>82</v>
      </c>
      <c r="G641" t="s">
        <v>65</v>
      </c>
      <c r="H641" s="1">
        <v>45264</v>
      </c>
      <c r="I641" t="s">
        <v>741</v>
      </c>
      <c r="J641" t="s">
        <v>42</v>
      </c>
      <c r="K641" t="s">
        <v>75</v>
      </c>
      <c r="L641" s="2" t="s">
        <v>102</v>
      </c>
      <c r="M641" t="str">
        <f>TEXT(Table13[[#This Row],[Order Date]],"MMM")</f>
        <v>Dec</v>
      </c>
      <c r="N641">
        <f>YEAR(Table13[[#This Row],[Order Date]])</f>
        <v>2023</v>
      </c>
      <c r="O641" t="str">
        <f>"Q"&amp;ROUNDUP(MONTH(Table13[[#This Row],[Order Date]])/3,0)</f>
        <v>Q4</v>
      </c>
      <c r="P641" s="5">
        <f>Table13[[#This Row],[Profit]]/Table13[[#This Row],[Amount]]</f>
        <v>0.21733909702209414</v>
      </c>
      <c r="Q641" s="6">
        <f>Table13[[#This Row],[Amount]]/Table13[[#This Row],[Quantity]]</f>
        <v>378.54545454545456</v>
      </c>
    </row>
    <row r="642" spans="1:17" x14ac:dyDescent="0.3">
      <c r="A642" t="s">
        <v>740</v>
      </c>
      <c r="B642">
        <v>5389</v>
      </c>
      <c r="C642">
        <v>2196</v>
      </c>
      <c r="D642">
        <v>5</v>
      </c>
      <c r="E642" t="s">
        <v>45</v>
      </c>
      <c r="F642" t="s">
        <v>46</v>
      </c>
      <c r="G642" t="s">
        <v>15</v>
      </c>
      <c r="H642" s="1">
        <v>45264</v>
      </c>
      <c r="I642" t="s">
        <v>741</v>
      </c>
      <c r="J642" t="s">
        <v>42</v>
      </c>
      <c r="K642" t="s">
        <v>75</v>
      </c>
      <c r="L642" s="2" t="s">
        <v>102</v>
      </c>
      <c r="M642" t="str">
        <f>TEXT(Table13[[#This Row],[Order Date]],"MMM")</f>
        <v>Dec</v>
      </c>
      <c r="N642">
        <f>YEAR(Table13[[#This Row],[Order Date]])</f>
        <v>2023</v>
      </c>
      <c r="O642" t="str">
        <f>"Q"&amp;ROUNDUP(MONTH(Table13[[#This Row],[Order Date]])/3,0)</f>
        <v>Q4</v>
      </c>
      <c r="P642" s="5">
        <f>Table13[[#This Row],[Profit]]/Table13[[#This Row],[Amount]]</f>
        <v>0.40749675264427537</v>
      </c>
      <c r="Q642" s="6">
        <f>Table13[[#This Row],[Amount]]/Table13[[#This Row],[Quantity]]</f>
        <v>1077.8</v>
      </c>
    </row>
    <row r="643" spans="1:17" x14ac:dyDescent="0.3">
      <c r="A643" t="s">
        <v>742</v>
      </c>
      <c r="B643">
        <v>5448</v>
      </c>
      <c r="C643">
        <v>2204</v>
      </c>
      <c r="D643">
        <v>5</v>
      </c>
      <c r="E643" t="s">
        <v>45</v>
      </c>
      <c r="F643" t="s">
        <v>60</v>
      </c>
      <c r="G643" t="s">
        <v>65</v>
      </c>
      <c r="H643" s="1">
        <v>44782</v>
      </c>
      <c r="I643" t="s">
        <v>743</v>
      </c>
      <c r="J643" t="s">
        <v>25</v>
      </c>
      <c r="K643" t="s">
        <v>51</v>
      </c>
      <c r="L643" s="2" t="s">
        <v>209</v>
      </c>
      <c r="M643" t="str">
        <f>TEXT(Table13[[#This Row],[Order Date]],"MMM")</f>
        <v>Aug</v>
      </c>
      <c r="N643">
        <f>YEAR(Table13[[#This Row],[Order Date]])</f>
        <v>2022</v>
      </c>
      <c r="O643" t="str">
        <f>"Q"&amp;ROUNDUP(MONTH(Table13[[#This Row],[Order Date]])/3,0)</f>
        <v>Q3</v>
      </c>
      <c r="P643" s="5">
        <f>Table13[[#This Row],[Profit]]/Table13[[#This Row],[Amount]]</f>
        <v>0.40455212922173273</v>
      </c>
      <c r="Q643" s="6">
        <f>Table13[[#This Row],[Amount]]/Table13[[#This Row],[Quantity]]</f>
        <v>1089.5999999999999</v>
      </c>
    </row>
    <row r="644" spans="1:17" x14ac:dyDescent="0.3">
      <c r="A644" t="s">
        <v>744</v>
      </c>
      <c r="B644">
        <v>4115</v>
      </c>
      <c r="C644">
        <v>1285</v>
      </c>
      <c r="D644">
        <v>1</v>
      </c>
      <c r="E644" t="s">
        <v>45</v>
      </c>
      <c r="F644" t="s">
        <v>60</v>
      </c>
      <c r="G644" t="s">
        <v>15</v>
      </c>
      <c r="H644" s="1">
        <v>43929</v>
      </c>
      <c r="I644" t="s">
        <v>745</v>
      </c>
      <c r="J644" t="s">
        <v>17</v>
      </c>
      <c r="K644" t="s">
        <v>34</v>
      </c>
      <c r="L644" s="2" t="s">
        <v>162</v>
      </c>
      <c r="M644" t="str">
        <f>TEXT(Table13[[#This Row],[Order Date]],"MMM")</f>
        <v>Apr</v>
      </c>
      <c r="N644">
        <f>YEAR(Table13[[#This Row],[Order Date]])</f>
        <v>2020</v>
      </c>
      <c r="O644" t="str">
        <f>"Q"&amp;ROUNDUP(MONTH(Table13[[#This Row],[Order Date]])/3,0)</f>
        <v>Q2</v>
      </c>
      <c r="P644" s="5">
        <f>Table13[[#This Row],[Profit]]/Table13[[#This Row],[Amount]]</f>
        <v>0.31227217496962334</v>
      </c>
      <c r="Q644" s="6">
        <f>Table13[[#This Row],[Amount]]/Table13[[#This Row],[Quantity]]</f>
        <v>4115</v>
      </c>
    </row>
    <row r="645" spans="1:17" x14ac:dyDescent="0.3">
      <c r="A645" t="s">
        <v>744</v>
      </c>
      <c r="B645">
        <v>4761</v>
      </c>
      <c r="C645">
        <v>2231</v>
      </c>
      <c r="D645">
        <v>12</v>
      </c>
      <c r="E645" t="s">
        <v>45</v>
      </c>
      <c r="F645" t="s">
        <v>46</v>
      </c>
      <c r="G645" t="s">
        <v>15</v>
      </c>
      <c r="H645" s="1">
        <v>43929</v>
      </c>
      <c r="I645" t="s">
        <v>745</v>
      </c>
      <c r="J645" t="s">
        <v>17</v>
      </c>
      <c r="K645" t="s">
        <v>34</v>
      </c>
      <c r="L645" s="2" t="s">
        <v>162</v>
      </c>
      <c r="M645" t="str">
        <f>TEXT(Table13[[#This Row],[Order Date]],"MMM")</f>
        <v>Apr</v>
      </c>
      <c r="N645">
        <f>YEAR(Table13[[#This Row],[Order Date]])</f>
        <v>2020</v>
      </c>
      <c r="O645" t="str">
        <f>"Q"&amp;ROUNDUP(MONTH(Table13[[#This Row],[Order Date]])/3,0)</f>
        <v>Q2</v>
      </c>
      <c r="P645" s="5">
        <f>Table13[[#This Row],[Profit]]/Table13[[#This Row],[Amount]]</f>
        <v>0.46859903381642515</v>
      </c>
      <c r="Q645" s="6">
        <f>Table13[[#This Row],[Amount]]/Table13[[#This Row],[Quantity]]</f>
        <v>396.75</v>
      </c>
    </row>
    <row r="646" spans="1:17" x14ac:dyDescent="0.3">
      <c r="A646" t="s">
        <v>746</v>
      </c>
      <c r="B646">
        <v>5899</v>
      </c>
      <c r="C646">
        <v>2264</v>
      </c>
      <c r="D646">
        <v>6</v>
      </c>
      <c r="E646" t="s">
        <v>30</v>
      </c>
      <c r="F646" t="s">
        <v>78</v>
      </c>
      <c r="G646" t="s">
        <v>40</v>
      </c>
      <c r="H646" s="1">
        <v>45219</v>
      </c>
      <c r="I646" t="s">
        <v>747</v>
      </c>
      <c r="J646" t="s">
        <v>25</v>
      </c>
      <c r="K646" t="s">
        <v>26</v>
      </c>
      <c r="L646" s="2" t="s">
        <v>442</v>
      </c>
      <c r="M646" t="str">
        <f>TEXT(Table13[[#This Row],[Order Date]],"MMM")</f>
        <v>Oct</v>
      </c>
      <c r="N646">
        <f>YEAR(Table13[[#This Row],[Order Date]])</f>
        <v>2023</v>
      </c>
      <c r="O646" t="str">
        <f>"Q"&amp;ROUNDUP(MONTH(Table13[[#This Row],[Order Date]])/3,0)</f>
        <v>Q4</v>
      </c>
      <c r="P646" s="5">
        <f>Table13[[#This Row],[Profit]]/Table13[[#This Row],[Amount]]</f>
        <v>0.38379386336667232</v>
      </c>
      <c r="Q646" s="6">
        <f>Table13[[#This Row],[Amount]]/Table13[[#This Row],[Quantity]]</f>
        <v>983.16666666666663</v>
      </c>
    </row>
    <row r="647" spans="1:17" x14ac:dyDescent="0.3">
      <c r="A647" t="s">
        <v>748</v>
      </c>
      <c r="B647">
        <v>6109</v>
      </c>
      <c r="C647">
        <v>3040</v>
      </c>
      <c r="D647">
        <v>9</v>
      </c>
      <c r="E647" t="s">
        <v>45</v>
      </c>
      <c r="F647" t="s">
        <v>49</v>
      </c>
      <c r="G647" t="s">
        <v>40</v>
      </c>
      <c r="H647" s="1">
        <v>44602</v>
      </c>
      <c r="I647" t="s">
        <v>749</v>
      </c>
      <c r="J647" t="s">
        <v>25</v>
      </c>
      <c r="K647" t="s">
        <v>26</v>
      </c>
      <c r="L647" s="2" t="s">
        <v>137</v>
      </c>
      <c r="M647" t="str">
        <f>TEXT(Table13[[#This Row],[Order Date]],"MMM")</f>
        <v>Feb</v>
      </c>
      <c r="N647">
        <f>YEAR(Table13[[#This Row],[Order Date]])</f>
        <v>2022</v>
      </c>
      <c r="O647" t="str">
        <f>"Q"&amp;ROUNDUP(MONTH(Table13[[#This Row],[Order Date]])/3,0)</f>
        <v>Q1</v>
      </c>
      <c r="P647" s="5">
        <f>Table13[[#This Row],[Profit]]/Table13[[#This Row],[Amount]]</f>
        <v>0.49762645277459489</v>
      </c>
      <c r="Q647" s="6">
        <f>Table13[[#This Row],[Amount]]/Table13[[#This Row],[Quantity]]</f>
        <v>678.77777777777783</v>
      </c>
    </row>
    <row r="648" spans="1:17" x14ac:dyDescent="0.3">
      <c r="A648" t="s">
        <v>748</v>
      </c>
      <c r="B648">
        <v>6109</v>
      </c>
      <c r="C648">
        <v>3040</v>
      </c>
      <c r="D648">
        <v>9</v>
      </c>
      <c r="E648" t="s">
        <v>45</v>
      </c>
      <c r="F648" t="s">
        <v>49</v>
      </c>
      <c r="G648" t="s">
        <v>40</v>
      </c>
      <c r="H648" s="1">
        <v>45204</v>
      </c>
      <c r="I648" t="s">
        <v>750</v>
      </c>
      <c r="J648" t="s">
        <v>25</v>
      </c>
      <c r="K648" t="s">
        <v>68</v>
      </c>
      <c r="L648" s="2" t="s">
        <v>442</v>
      </c>
      <c r="M648" t="str">
        <f>TEXT(Table13[[#This Row],[Order Date]],"MMM")</f>
        <v>Oct</v>
      </c>
      <c r="N648">
        <f>YEAR(Table13[[#This Row],[Order Date]])</f>
        <v>2023</v>
      </c>
      <c r="O648" t="str">
        <f>"Q"&amp;ROUNDUP(MONTH(Table13[[#This Row],[Order Date]])/3,0)</f>
        <v>Q4</v>
      </c>
      <c r="P648" s="5">
        <f>Table13[[#This Row],[Profit]]/Table13[[#This Row],[Amount]]</f>
        <v>0.49762645277459489</v>
      </c>
      <c r="Q648" s="6">
        <f>Table13[[#This Row],[Amount]]/Table13[[#This Row],[Quantity]]</f>
        <v>678.77777777777783</v>
      </c>
    </row>
    <row r="649" spans="1:17" x14ac:dyDescent="0.3">
      <c r="A649" t="s">
        <v>748</v>
      </c>
      <c r="B649">
        <v>4628</v>
      </c>
      <c r="C649">
        <v>1491</v>
      </c>
      <c r="D649">
        <v>17</v>
      </c>
      <c r="E649" t="s">
        <v>13</v>
      </c>
      <c r="F649" t="s">
        <v>14</v>
      </c>
      <c r="G649" t="s">
        <v>15</v>
      </c>
      <c r="H649" s="1">
        <v>44602</v>
      </c>
      <c r="I649" t="s">
        <v>749</v>
      </c>
      <c r="J649" t="s">
        <v>25</v>
      </c>
      <c r="K649" t="s">
        <v>26</v>
      </c>
      <c r="L649" s="2" t="s">
        <v>137</v>
      </c>
      <c r="M649" t="str">
        <f>TEXT(Table13[[#This Row],[Order Date]],"MMM")</f>
        <v>Feb</v>
      </c>
      <c r="N649">
        <f>YEAR(Table13[[#This Row],[Order Date]])</f>
        <v>2022</v>
      </c>
      <c r="O649" t="str">
        <f>"Q"&amp;ROUNDUP(MONTH(Table13[[#This Row],[Order Date]])/3,0)</f>
        <v>Q1</v>
      </c>
      <c r="P649" s="5">
        <f>Table13[[#This Row],[Profit]]/Table13[[#This Row],[Amount]]</f>
        <v>0.32216940363007779</v>
      </c>
      <c r="Q649" s="6">
        <f>Table13[[#This Row],[Amount]]/Table13[[#This Row],[Quantity]]</f>
        <v>272.23529411764707</v>
      </c>
    </row>
    <row r="650" spans="1:17" x14ac:dyDescent="0.3">
      <c r="A650" t="s">
        <v>748</v>
      </c>
      <c r="B650">
        <v>4628</v>
      </c>
      <c r="C650">
        <v>1491</v>
      </c>
      <c r="D650">
        <v>17</v>
      </c>
      <c r="E650" t="s">
        <v>13</v>
      </c>
      <c r="F650" t="s">
        <v>14</v>
      </c>
      <c r="G650" t="s">
        <v>15</v>
      </c>
      <c r="H650" s="1">
        <v>45204</v>
      </c>
      <c r="I650" t="s">
        <v>750</v>
      </c>
      <c r="J650" t="s">
        <v>25</v>
      </c>
      <c r="K650" t="s">
        <v>68</v>
      </c>
      <c r="L650" s="2" t="s">
        <v>442</v>
      </c>
      <c r="M650" t="str">
        <f>TEXT(Table13[[#This Row],[Order Date]],"MMM")</f>
        <v>Oct</v>
      </c>
      <c r="N650">
        <f>YEAR(Table13[[#This Row],[Order Date]])</f>
        <v>2023</v>
      </c>
      <c r="O650" t="str">
        <f>"Q"&amp;ROUNDUP(MONTH(Table13[[#This Row],[Order Date]])/3,0)</f>
        <v>Q4</v>
      </c>
      <c r="P650" s="5">
        <f>Table13[[#This Row],[Profit]]/Table13[[#This Row],[Amount]]</f>
        <v>0.32216940363007779</v>
      </c>
      <c r="Q650" s="6">
        <f>Table13[[#This Row],[Amount]]/Table13[[#This Row],[Quantity]]</f>
        <v>272.23529411764707</v>
      </c>
    </row>
    <row r="651" spans="1:17" x14ac:dyDescent="0.3">
      <c r="A651" t="s">
        <v>751</v>
      </c>
      <c r="B651">
        <v>4369</v>
      </c>
      <c r="C651">
        <v>584</v>
      </c>
      <c r="D651">
        <v>13</v>
      </c>
      <c r="E651" t="s">
        <v>30</v>
      </c>
      <c r="F651" t="s">
        <v>31</v>
      </c>
      <c r="G651" t="s">
        <v>47</v>
      </c>
      <c r="H651" s="1">
        <v>44826</v>
      </c>
      <c r="I651" t="s">
        <v>752</v>
      </c>
      <c r="J651" t="s">
        <v>21</v>
      </c>
      <c r="K651" t="s">
        <v>172</v>
      </c>
      <c r="L651" s="2" t="s">
        <v>131</v>
      </c>
      <c r="M651" t="str">
        <f>TEXT(Table13[[#This Row],[Order Date]],"MMM")</f>
        <v>Sep</v>
      </c>
      <c r="N651">
        <f>YEAR(Table13[[#This Row],[Order Date]])</f>
        <v>2022</v>
      </c>
      <c r="O651" t="str">
        <f>"Q"&amp;ROUNDUP(MONTH(Table13[[#This Row],[Order Date]])/3,0)</f>
        <v>Q3</v>
      </c>
      <c r="P651" s="5">
        <f>Table13[[#This Row],[Profit]]/Table13[[#This Row],[Amount]]</f>
        <v>0.13366903181506065</v>
      </c>
      <c r="Q651" s="6">
        <f>Table13[[#This Row],[Amount]]/Table13[[#This Row],[Quantity]]</f>
        <v>336.07692307692309</v>
      </c>
    </row>
    <row r="652" spans="1:17" x14ac:dyDescent="0.3">
      <c r="A652" t="s">
        <v>751</v>
      </c>
      <c r="B652">
        <v>4369</v>
      </c>
      <c r="C652">
        <v>584</v>
      </c>
      <c r="D652">
        <v>13</v>
      </c>
      <c r="E652" t="s">
        <v>30</v>
      </c>
      <c r="F652" t="s">
        <v>31</v>
      </c>
      <c r="G652" t="s">
        <v>47</v>
      </c>
      <c r="H652" s="1">
        <v>44289</v>
      </c>
      <c r="I652" t="s">
        <v>753</v>
      </c>
      <c r="J652" t="s">
        <v>71</v>
      </c>
      <c r="K652" t="s">
        <v>86</v>
      </c>
      <c r="L652" s="2" t="s">
        <v>139</v>
      </c>
      <c r="M652" t="str">
        <f>TEXT(Table13[[#This Row],[Order Date]],"MMM")</f>
        <v>Apr</v>
      </c>
      <c r="N652">
        <f>YEAR(Table13[[#This Row],[Order Date]])</f>
        <v>2021</v>
      </c>
      <c r="O652" t="str">
        <f>"Q"&amp;ROUNDUP(MONTH(Table13[[#This Row],[Order Date]])/3,0)</f>
        <v>Q2</v>
      </c>
      <c r="P652" s="5">
        <f>Table13[[#This Row],[Profit]]/Table13[[#This Row],[Amount]]</f>
        <v>0.13366903181506065</v>
      </c>
      <c r="Q652" s="6">
        <f>Table13[[#This Row],[Amount]]/Table13[[#This Row],[Quantity]]</f>
        <v>336.07692307692309</v>
      </c>
    </row>
    <row r="653" spans="1:17" x14ac:dyDescent="0.3">
      <c r="A653" t="s">
        <v>754</v>
      </c>
      <c r="B653">
        <v>5632</v>
      </c>
      <c r="C653">
        <v>2358</v>
      </c>
      <c r="D653">
        <v>20</v>
      </c>
      <c r="E653" t="s">
        <v>45</v>
      </c>
      <c r="F653" t="s">
        <v>60</v>
      </c>
      <c r="G653" t="s">
        <v>47</v>
      </c>
      <c r="H653" s="1">
        <v>44319</v>
      </c>
      <c r="I653" t="s">
        <v>755</v>
      </c>
      <c r="J653" t="s">
        <v>42</v>
      </c>
      <c r="K653" t="s">
        <v>43</v>
      </c>
      <c r="L653" s="2" t="s">
        <v>108</v>
      </c>
      <c r="M653" t="str">
        <f>TEXT(Table13[[#This Row],[Order Date]],"MMM")</f>
        <v>May</v>
      </c>
      <c r="N653">
        <f>YEAR(Table13[[#This Row],[Order Date]])</f>
        <v>2021</v>
      </c>
      <c r="O653" t="str">
        <f>"Q"&amp;ROUNDUP(MONTH(Table13[[#This Row],[Order Date]])/3,0)</f>
        <v>Q2</v>
      </c>
      <c r="P653" s="5">
        <f>Table13[[#This Row],[Profit]]/Table13[[#This Row],[Amount]]</f>
        <v>0.41867897727272729</v>
      </c>
      <c r="Q653" s="6">
        <f>Table13[[#This Row],[Amount]]/Table13[[#This Row],[Quantity]]</f>
        <v>281.60000000000002</v>
      </c>
    </row>
    <row r="654" spans="1:17" x14ac:dyDescent="0.3">
      <c r="A654" t="s">
        <v>754</v>
      </c>
      <c r="B654">
        <v>5632</v>
      </c>
      <c r="C654">
        <v>2358</v>
      </c>
      <c r="D654">
        <v>20</v>
      </c>
      <c r="E654" t="s">
        <v>45</v>
      </c>
      <c r="F654" t="s">
        <v>60</v>
      </c>
      <c r="G654" t="s">
        <v>47</v>
      </c>
      <c r="H654" s="1">
        <v>45333</v>
      </c>
      <c r="I654" t="s">
        <v>756</v>
      </c>
      <c r="J654" t="s">
        <v>17</v>
      </c>
      <c r="K654" t="s">
        <v>18</v>
      </c>
      <c r="L654" s="2" t="s">
        <v>218</v>
      </c>
      <c r="M654" t="str">
        <f>TEXT(Table13[[#This Row],[Order Date]],"MMM")</f>
        <v>Feb</v>
      </c>
      <c r="N654">
        <f>YEAR(Table13[[#This Row],[Order Date]])</f>
        <v>2024</v>
      </c>
      <c r="O654" t="str">
        <f>"Q"&amp;ROUNDUP(MONTH(Table13[[#This Row],[Order Date]])/3,0)</f>
        <v>Q1</v>
      </c>
      <c r="P654" s="5">
        <f>Table13[[#This Row],[Profit]]/Table13[[#This Row],[Amount]]</f>
        <v>0.41867897727272729</v>
      </c>
      <c r="Q654" s="6">
        <f>Table13[[#This Row],[Amount]]/Table13[[#This Row],[Quantity]]</f>
        <v>281.60000000000002</v>
      </c>
    </row>
    <row r="655" spans="1:17" x14ac:dyDescent="0.3">
      <c r="A655" t="s">
        <v>754</v>
      </c>
      <c r="B655">
        <v>5632</v>
      </c>
      <c r="C655">
        <v>2358</v>
      </c>
      <c r="D655">
        <v>20</v>
      </c>
      <c r="E655" t="s">
        <v>45</v>
      </c>
      <c r="F655" t="s">
        <v>60</v>
      </c>
      <c r="G655" t="s">
        <v>47</v>
      </c>
      <c r="H655" s="1">
        <v>45692</v>
      </c>
      <c r="I655" t="s">
        <v>757</v>
      </c>
      <c r="J655" t="s">
        <v>98</v>
      </c>
      <c r="K655" t="s">
        <v>117</v>
      </c>
      <c r="L655" s="2" t="s">
        <v>73</v>
      </c>
      <c r="M655" t="str">
        <f>TEXT(Table13[[#This Row],[Order Date]],"MMM")</f>
        <v>Feb</v>
      </c>
      <c r="N655">
        <f>YEAR(Table13[[#This Row],[Order Date]])</f>
        <v>2025</v>
      </c>
      <c r="O655" t="str">
        <f>"Q"&amp;ROUNDUP(MONTH(Table13[[#This Row],[Order Date]])/3,0)</f>
        <v>Q1</v>
      </c>
      <c r="P655" s="5">
        <f>Table13[[#This Row],[Profit]]/Table13[[#This Row],[Amount]]</f>
        <v>0.41867897727272729</v>
      </c>
      <c r="Q655" s="6">
        <f>Table13[[#This Row],[Amount]]/Table13[[#This Row],[Quantity]]</f>
        <v>281.60000000000002</v>
      </c>
    </row>
    <row r="656" spans="1:17" x14ac:dyDescent="0.3">
      <c r="A656" t="s">
        <v>758</v>
      </c>
      <c r="B656">
        <v>7519</v>
      </c>
      <c r="C656">
        <v>402</v>
      </c>
      <c r="D656">
        <v>14</v>
      </c>
      <c r="E656" t="s">
        <v>30</v>
      </c>
      <c r="F656" t="s">
        <v>64</v>
      </c>
      <c r="G656" t="s">
        <v>15</v>
      </c>
      <c r="H656" s="1">
        <v>44846</v>
      </c>
      <c r="I656" t="s">
        <v>759</v>
      </c>
      <c r="J656" t="s">
        <v>42</v>
      </c>
      <c r="K656" t="s">
        <v>75</v>
      </c>
      <c r="L656" s="2" t="s">
        <v>96</v>
      </c>
      <c r="M656" t="str">
        <f>TEXT(Table13[[#This Row],[Order Date]],"MMM")</f>
        <v>Oct</v>
      </c>
      <c r="N656">
        <f>YEAR(Table13[[#This Row],[Order Date]])</f>
        <v>2022</v>
      </c>
      <c r="O656" t="str">
        <f>"Q"&amp;ROUNDUP(MONTH(Table13[[#This Row],[Order Date]])/3,0)</f>
        <v>Q4</v>
      </c>
      <c r="P656" s="5">
        <f>Table13[[#This Row],[Profit]]/Table13[[#This Row],[Amount]]</f>
        <v>5.3464556456975662E-2</v>
      </c>
      <c r="Q656" s="6">
        <f>Table13[[#This Row],[Amount]]/Table13[[#This Row],[Quantity]]</f>
        <v>537.07142857142856</v>
      </c>
    </row>
    <row r="657" spans="1:17" x14ac:dyDescent="0.3">
      <c r="A657" t="s">
        <v>758</v>
      </c>
      <c r="B657">
        <v>1564</v>
      </c>
      <c r="C657">
        <v>674</v>
      </c>
      <c r="D657">
        <v>13</v>
      </c>
      <c r="E657" t="s">
        <v>13</v>
      </c>
      <c r="F657" t="s">
        <v>14</v>
      </c>
      <c r="G657" t="s">
        <v>32</v>
      </c>
      <c r="H657" s="1">
        <v>44846</v>
      </c>
      <c r="I657" t="s">
        <v>759</v>
      </c>
      <c r="J657" t="s">
        <v>42</v>
      </c>
      <c r="K657" t="s">
        <v>75</v>
      </c>
      <c r="L657" s="2" t="s">
        <v>96</v>
      </c>
      <c r="M657" t="str">
        <f>TEXT(Table13[[#This Row],[Order Date]],"MMM")</f>
        <v>Oct</v>
      </c>
      <c r="N657">
        <f>YEAR(Table13[[#This Row],[Order Date]])</f>
        <v>2022</v>
      </c>
      <c r="O657" t="str">
        <f>"Q"&amp;ROUNDUP(MONTH(Table13[[#This Row],[Order Date]])/3,0)</f>
        <v>Q4</v>
      </c>
      <c r="P657" s="5">
        <f>Table13[[#This Row],[Profit]]/Table13[[#This Row],[Amount]]</f>
        <v>0.43094629156010228</v>
      </c>
      <c r="Q657" s="6">
        <f>Table13[[#This Row],[Amount]]/Table13[[#This Row],[Quantity]]</f>
        <v>120.30769230769231</v>
      </c>
    </row>
    <row r="658" spans="1:17" x14ac:dyDescent="0.3">
      <c r="A658" t="s">
        <v>760</v>
      </c>
      <c r="B658">
        <v>2804</v>
      </c>
      <c r="C658">
        <v>936</v>
      </c>
      <c r="D658">
        <v>10</v>
      </c>
      <c r="E658" t="s">
        <v>13</v>
      </c>
      <c r="F658" t="s">
        <v>14</v>
      </c>
      <c r="G658" t="s">
        <v>47</v>
      </c>
      <c r="H658" s="1">
        <v>44598</v>
      </c>
      <c r="I658" t="s">
        <v>761</v>
      </c>
      <c r="J658" t="s">
        <v>71</v>
      </c>
      <c r="K658" t="s">
        <v>86</v>
      </c>
      <c r="L658" s="2" t="s">
        <v>137</v>
      </c>
      <c r="M658" t="str">
        <f>TEXT(Table13[[#This Row],[Order Date]],"MMM")</f>
        <v>Feb</v>
      </c>
      <c r="N658">
        <f>YEAR(Table13[[#This Row],[Order Date]])</f>
        <v>2022</v>
      </c>
      <c r="O658" t="str">
        <f>"Q"&amp;ROUNDUP(MONTH(Table13[[#This Row],[Order Date]])/3,0)</f>
        <v>Q1</v>
      </c>
      <c r="P658" s="5">
        <f>Table13[[#This Row],[Profit]]/Table13[[#This Row],[Amount]]</f>
        <v>0.33380884450784593</v>
      </c>
      <c r="Q658" s="6">
        <f>Table13[[#This Row],[Amount]]/Table13[[#This Row],[Quantity]]</f>
        <v>280.39999999999998</v>
      </c>
    </row>
    <row r="659" spans="1:17" x14ac:dyDescent="0.3">
      <c r="A659" t="s">
        <v>760</v>
      </c>
      <c r="B659">
        <v>2804</v>
      </c>
      <c r="C659">
        <v>936</v>
      </c>
      <c r="D659">
        <v>10</v>
      </c>
      <c r="E659" t="s">
        <v>13</v>
      </c>
      <c r="F659" t="s">
        <v>14</v>
      </c>
      <c r="G659" t="s">
        <v>47</v>
      </c>
      <c r="H659" s="1">
        <v>44144</v>
      </c>
      <c r="I659" t="s">
        <v>762</v>
      </c>
      <c r="J659" t="s">
        <v>17</v>
      </c>
      <c r="K659" t="s">
        <v>150</v>
      </c>
      <c r="L659" s="2" t="s">
        <v>80</v>
      </c>
      <c r="M659" t="str">
        <f>TEXT(Table13[[#This Row],[Order Date]],"MMM")</f>
        <v>Nov</v>
      </c>
      <c r="N659">
        <f>YEAR(Table13[[#This Row],[Order Date]])</f>
        <v>2020</v>
      </c>
      <c r="O659" t="str">
        <f>"Q"&amp;ROUNDUP(MONTH(Table13[[#This Row],[Order Date]])/3,0)</f>
        <v>Q4</v>
      </c>
      <c r="P659" s="5">
        <f>Table13[[#This Row],[Profit]]/Table13[[#This Row],[Amount]]</f>
        <v>0.33380884450784593</v>
      </c>
      <c r="Q659" s="6">
        <f>Table13[[#This Row],[Amount]]/Table13[[#This Row],[Quantity]]</f>
        <v>280.39999999999998</v>
      </c>
    </row>
    <row r="660" spans="1:17" x14ac:dyDescent="0.3">
      <c r="A660" t="s">
        <v>760</v>
      </c>
      <c r="B660">
        <v>2804</v>
      </c>
      <c r="C660">
        <v>936</v>
      </c>
      <c r="D660">
        <v>10</v>
      </c>
      <c r="E660" t="s">
        <v>13</v>
      </c>
      <c r="F660" t="s">
        <v>14</v>
      </c>
      <c r="G660" t="s">
        <v>47</v>
      </c>
      <c r="H660" s="1">
        <v>45049</v>
      </c>
      <c r="I660" t="s">
        <v>763</v>
      </c>
      <c r="J660" t="s">
        <v>17</v>
      </c>
      <c r="K660" t="s">
        <v>150</v>
      </c>
      <c r="L660" s="2" t="s">
        <v>127</v>
      </c>
      <c r="M660" t="str">
        <f>TEXT(Table13[[#This Row],[Order Date]],"MMM")</f>
        <v>May</v>
      </c>
      <c r="N660">
        <f>YEAR(Table13[[#This Row],[Order Date]])</f>
        <v>2023</v>
      </c>
      <c r="O660" t="str">
        <f>"Q"&amp;ROUNDUP(MONTH(Table13[[#This Row],[Order Date]])/3,0)</f>
        <v>Q2</v>
      </c>
      <c r="P660" s="5">
        <f>Table13[[#This Row],[Profit]]/Table13[[#This Row],[Amount]]</f>
        <v>0.33380884450784593</v>
      </c>
      <c r="Q660" s="6">
        <f>Table13[[#This Row],[Amount]]/Table13[[#This Row],[Quantity]]</f>
        <v>280.39999999999998</v>
      </c>
    </row>
    <row r="661" spans="1:17" x14ac:dyDescent="0.3">
      <c r="A661" t="s">
        <v>764</v>
      </c>
      <c r="B661">
        <v>2321</v>
      </c>
      <c r="C661">
        <v>505</v>
      </c>
      <c r="D661">
        <v>6</v>
      </c>
      <c r="E661" t="s">
        <v>45</v>
      </c>
      <c r="F661" t="s">
        <v>49</v>
      </c>
      <c r="G661" t="s">
        <v>40</v>
      </c>
      <c r="H661" s="1">
        <v>44838</v>
      </c>
      <c r="I661" t="s">
        <v>765</v>
      </c>
      <c r="J661" t="s">
        <v>21</v>
      </c>
      <c r="K661" t="s">
        <v>63</v>
      </c>
      <c r="L661" s="2" t="s">
        <v>96</v>
      </c>
      <c r="M661" t="str">
        <f>TEXT(Table13[[#This Row],[Order Date]],"MMM")</f>
        <v>Oct</v>
      </c>
      <c r="N661">
        <f>YEAR(Table13[[#This Row],[Order Date]])</f>
        <v>2022</v>
      </c>
      <c r="O661" t="str">
        <f>"Q"&amp;ROUNDUP(MONTH(Table13[[#This Row],[Order Date]])/3,0)</f>
        <v>Q4</v>
      </c>
      <c r="P661" s="5">
        <f>Table13[[#This Row],[Profit]]/Table13[[#This Row],[Amount]]</f>
        <v>0.21757862990090479</v>
      </c>
      <c r="Q661" s="6">
        <f>Table13[[#This Row],[Amount]]/Table13[[#This Row],[Quantity]]</f>
        <v>386.83333333333331</v>
      </c>
    </row>
    <row r="662" spans="1:17" x14ac:dyDescent="0.3">
      <c r="A662" t="s">
        <v>766</v>
      </c>
      <c r="B662">
        <v>5730</v>
      </c>
      <c r="C662">
        <v>482</v>
      </c>
      <c r="D662">
        <v>6</v>
      </c>
      <c r="E662" t="s">
        <v>13</v>
      </c>
      <c r="F662" t="s">
        <v>39</v>
      </c>
      <c r="G662" t="s">
        <v>65</v>
      </c>
      <c r="H662" s="1">
        <v>45525</v>
      </c>
      <c r="I662" t="s">
        <v>767</v>
      </c>
      <c r="J662" t="s">
        <v>17</v>
      </c>
      <c r="K662" t="s">
        <v>150</v>
      </c>
      <c r="L662" s="2" t="s">
        <v>114</v>
      </c>
      <c r="M662" t="str">
        <f>TEXT(Table13[[#This Row],[Order Date]],"MMM")</f>
        <v>Aug</v>
      </c>
      <c r="N662">
        <f>YEAR(Table13[[#This Row],[Order Date]])</f>
        <v>2024</v>
      </c>
      <c r="O662" t="str">
        <f>"Q"&amp;ROUNDUP(MONTH(Table13[[#This Row],[Order Date]])/3,0)</f>
        <v>Q3</v>
      </c>
      <c r="P662" s="5">
        <f>Table13[[#This Row],[Profit]]/Table13[[#This Row],[Amount]]</f>
        <v>8.4118673647469458E-2</v>
      </c>
      <c r="Q662" s="6">
        <f>Table13[[#This Row],[Amount]]/Table13[[#This Row],[Quantity]]</f>
        <v>955</v>
      </c>
    </row>
    <row r="663" spans="1:17" x14ac:dyDescent="0.3">
      <c r="A663" t="s">
        <v>768</v>
      </c>
      <c r="B663">
        <v>7441</v>
      </c>
      <c r="C663">
        <v>867</v>
      </c>
      <c r="D663">
        <v>12</v>
      </c>
      <c r="E663" t="s">
        <v>45</v>
      </c>
      <c r="F663" t="s">
        <v>60</v>
      </c>
      <c r="G663" t="s">
        <v>65</v>
      </c>
      <c r="H663" s="1">
        <v>44520</v>
      </c>
      <c r="I663" t="s">
        <v>769</v>
      </c>
      <c r="J663" t="s">
        <v>21</v>
      </c>
      <c r="K663" t="s">
        <v>22</v>
      </c>
      <c r="L663" s="2" t="s">
        <v>175</v>
      </c>
      <c r="M663" t="str">
        <f>TEXT(Table13[[#This Row],[Order Date]],"MMM")</f>
        <v>Nov</v>
      </c>
      <c r="N663">
        <f>YEAR(Table13[[#This Row],[Order Date]])</f>
        <v>2021</v>
      </c>
      <c r="O663" t="str">
        <f>"Q"&amp;ROUNDUP(MONTH(Table13[[#This Row],[Order Date]])/3,0)</f>
        <v>Q4</v>
      </c>
      <c r="P663" s="5">
        <f>Table13[[#This Row],[Profit]]/Table13[[#This Row],[Amount]]</f>
        <v>0.1165165972315549</v>
      </c>
      <c r="Q663" s="6">
        <f>Table13[[#This Row],[Amount]]/Table13[[#This Row],[Quantity]]</f>
        <v>620.08333333333337</v>
      </c>
    </row>
    <row r="664" spans="1:17" x14ac:dyDescent="0.3">
      <c r="A664" t="s">
        <v>768</v>
      </c>
      <c r="B664">
        <v>7441</v>
      </c>
      <c r="C664">
        <v>867</v>
      </c>
      <c r="D664">
        <v>12</v>
      </c>
      <c r="E664" t="s">
        <v>45</v>
      </c>
      <c r="F664" t="s">
        <v>60</v>
      </c>
      <c r="G664" t="s">
        <v>65</v>
      </c>
      <c r="H664" s="1">
        <v>43964</v>
      </c>
      <c r="I664" t="s">
        <v>770</v>
      </c>
      <c r="J664" t="s">
        <v>71</v>
      </c>
      <c r="K664" t="s">
        <v>86</v>
      </c>
      <c r="L664" s="2" t="s">
        <v>59</v>
      </c>
      <c r="M664" t="str">
        <f>TEXT(Table13[[#This Row],[Order Date]],"MMM")</f>
        <v>May</v>
      </c>
      <c r="N664">
        <f>YEAR(Table13[[#This Row],[Order Date]])</f>
        <v>2020</v>
      </c>
      <c r="O664" t="str">
        <f>"Q"&amp;ROUNDUP(MONTH(Table13[[#This Row],[Order Date]])/3,0)</f>
        <v>Q2</v>
      </c>
      <c r="P664" s="5">
        <f>Table13[[#This Row],[Profit]]/Table13[[#This Row],[Amount]]</f>
        <v>0.1165165972315549</v>
      </c>
      <c r="Q664" s="6">
        <f>Table13[[#This Row],[Amount]]/Table13[[#This Row],[Quantity]]</f>
        <v>620.08333333333337</v>
      </c>
    </row>
    <row r="665" spans="1:17" x14ac:dyDescent="0.3">
      <c r="A665" t="s">
        <v>771</v>
      </c>
      <c r="B665">
        <v>1732</v>
      </c>
      <c r="C665">
        <v>766</v>
      </c>
      <c r="D665">
        <v>7</v>
      </c>
      <c r="E665" t="s">
        <v>30</v>
      </c>
      <c r="F665" t="s">
        <v>78</v>
      </c>
      <c r="G665" t="s">
        <v>15</v>
      </c>
      <c r="H665" s="1">
        <v>44985</v>
      </c>
      <c r="I665" t="s">
        <v>772</v>
      </c>
      <c r="J665" t="s">
        <v>25</v>
      </c>
      <c r="K665" t="s">
        <v>51</v>
      </c>
      <c r="L665" s="2" t="s">
        <v>93</v>
      </c>
      <c r="M665" t="str">
        <f>TEXT(Table13[[#This Row],[Order Date]],"MMM")</f>
        <v>Feb</v>
      </c>
      <c r="N665">
        <f>YEAR(Table13[[#This Row],[Order Date]])</f>
        <v>2023</v>
      </c>
      <c r="O665" t="str">
        <f>"Q"&amp;ROUNDUP(MONTH(Table13[[#This Row],[Order Date]])/3,0)</f>
        <v>Q1</v>
      </c>
      <c r="P665" s="5">
        <f>Table13[[#This Row],[Profit]]/Table13[[#This Row],[Amount]]</f>
        <v>0.44226327944572746</v>
      </c>
      <c r="Q665" s="6">
        <f>Table13[[#This Row],[Amount]]/Table13[[#This Row],[Quantity]]</f>
        <v>247.42857142857142</v>
      </c>
    </row>
    <row r="666" spans="1:17" x14ac:dyDescent="0.3">
      <c r="A666" t="s">
        <v>771</v>
      </c>
      <c r="B666">
        <v>8788</v>
      </c>
      <c r="C666">
        <v>3944</v>
      </c>
      <c r="D666">
        <v>19</v>
      </c>
      <c r="E666" t="s">
        <v>30</v>
      </c>
      <c r="F666" t="s">
        <v>64</v>
      </c>
      <c r="G666" t="s">
        <v>40</v>
      </c>
      <c r="H666" s="1">
        <v>44985</v>
      </c>
      <c r="I666" t="s">
        <v>772</v>
      </c>
      <c r="J666" t="s">
        <v>25</v>
      </c>
      <c r="K666" t="s">
        <v>51</v>
      </c>
      <c r="L666" s="2" t="s">
        <v>93</v>
      </c>
      <c r="M666" t="str">
        <f>TEXT(Table13[[#This Row],[Order Date]],"MMM")</f>
        <v>Feb</v>
      </c>
      <c r="N666">
        <f>YEAR(Table13[[#This Row],[Order Date]])</f>
        <v>2023</v>
      </c>
      <c r="O666" t="str">
        <f>"Q"&amp;ROUNDUP(MONTH(Table13[[#This Row],[Order Date]])/3,0)</f>
        <v>Q1</v>
      </c>
      <c r="P666" s="5">
        <f>Table13[[#This Row],[Profit]]/Table13[[#This Row],[Amount]]</f>
        <v>0.44879380974055533</v>
      </c>
      <c r="Q666" s="6">
        <f>Table13[[#This Row],[Amount]]/Table13[[#This Row],[Quantity]]</f>
        <v>462.5263157894737</v>
      </c>
    </row>
    <row r="667" spans="1:17" x14ac:dyDescent="0.3">
      <c r="A667" t="s">
        <v>773</v>
      </c>
      <c r="B667">
        <v>838</v>
      </c>
      <c r="C667">
        <v>271</v>
      </c>
      <c r="D667">
        <v>11</v>
      </c>
      <c r="E667" t="s">
        <v>30</v>
      </c>
      <c r="F667" t="s">
        <v>57</v>
      </c>
      <c r="G667" t="s">
        <v>40</v>
      </c>
      <c r="H667" s="1">
        <v>44217</v>
      </c>
      <c r="I667" t="s">
        <v>774</v>
      </c>
      <c r="J667" t="s">
        <v>98</v>
      </c>
      <c r="K667" t="s">
        <v>99</v>
      </c>
      <c r="L667" s="2" t="s">
        <v>276</v>
      </c>
      <c r="M667" t="str">
        <f>TEXT(Table13[[#This Row],[Order Date]],"MMM")</f>
        <v>Jan</v>
      </c>
      <c r="N667">
        <f>YEAR(Table13[[#This Row],[Order Date]])</f>
        <v>2021</v>
      </c>
      <c r="O667" t="str">
        <f>"Q"&amp;ROUNDUP(MONTH(Table13[[#This Row],[Order Date]])/3,0)</f>
        <v>Q1</v>
      </c>
      <c r="P667" s="5">
        <f>Table13[[#This Row],[Profit]]/Table13[[#This Row],[Amount]]</f>
        <v>0.3233890214797136</v>
      </c>
      <c r="Q667" s="6">
        <f>Table13[[#This Row],[Amount]]/Table13[[#This Row],[Quantity]]</f>
        <v>76.181818181818187</v>
      </c>
    </row>
    <row r="668" spans="1:17" x14ac:dyDescent="0.3">
      <c r="A668" t="s">
        <v>773</v>
      </c>
      <c r="B668">
        <v>838</v>
      </c>
      <c r="C668">
        <v>271</v>
      </c>
      <c r="D668">
        <v>11</v>
      </c>
      <c r="E668" t="s">
        <v>30</v>
      </c>
      <c r="F668" t="s">
        <v>57</v>
      </c>
      <c r="G668" t="s">
        <v>40</v>
      </c>
      <c r="H668" s="1">
        <v>44620</v>
      </c>
      <c r="I668" t="s">
        <v>775</v>
      </c>
      <c r="J668" t="s">
        <v>21</v>
      </c>
      <c r="K668" t="s">
        <v>172</v>
      </c>
      <c r="L668" s="2" t="s">
        <v>137</v>
      </c>
      <c r="M668" t="str">
        <f>TEXT(Table13[[#This Row],[Order Date]],"MMM")</f>
        <v>Feb</v>
      </c>
      <c r="N668">
        <f>YEAR(Table13[[#This Row],[Order Date]])</f>
        <v>2022</v>
      </c>
      <c r="O668" t="str">
        <f>"Q"&amp;ROUNDUP(MONTH(Table13[[#This Row],[Order Date]])/3,0)</f>
        <v>Q1</v>
      </c>
      <c r="P668" s="5">
        <f>Table13[[#This Row],[Profit]]/Table13[[#This Row],[Amount]]</f>
        <v>0.3233890214797136</v>
      </c>
      <c r="Q668" s="6">
        <f>Table13[[#This Row],[Amount]]/Table13[[#This Row],[Quantity]]</f>
        <v>76.181818181818187</v>
      </c>
    </row>
    <row r="669" spans="1:17" x14ac:dyDescent="0.3">
      <c r="A669" t="s">
        <v>773</v>
      </c>
      <c r="B669">
        <v>3577</v>
      </c>
      <c r="C669">
        <v>699</v>
      </c>
      <c r="D669">
        <v>2</v>
      </c>
      <c r="E669" t="s">
        <v>45</v>
      </c>
      <c r="F669" t="s">
        <v>46</v>
      </c>
      <c r="G669" t="s">
        <v>15</v>
      </c>
      <c r="H669" s="1">
        <v>44217</v>
      </c>
      <c r="I669" t="s">
        <v>774</v>
      </c>
      <c r="J669" t="s">
        <v>98</v>
      </c>
      <c r="K669" t="s">
        <v>99</v>
      </c>
      <c r="L669" s="2" t="s">
        <v>276</v>
      </c>
      <c r="M669" t="str">
        <f>TEXT(Table13[[#This Row],[Order Date]],"MMM")</f>
        <v>Jan</v>
      </c>
      <c r="N669">
        <f>YEAR(Table13[[#This Row],[Order Date]])</f>
        <v>2021</v>
      </c>
      <c r="O669" t="str">
        <f>"Q"&amp;ROUNDUP(MONTH(Table13[[#This Row],[Order Date]])/3,0)</f>
        <v>Q1</v>
      </c>
      <c r="P669" s="5">
        <f>Table13[[#This Row],[Profit]]/Table13[[#This Row],[Amount]]</f>
        <v>0.1954151523623148</v>
      </c>
      <c r="Q669" s="6">
        <f>Table13[[#This Row],[Amount]]/Table13[[#This Row],[Quantity]]</f>
        <v>1788.5</v>
      </c>
    </row>
    <row r="670" spans="1:17" x14ac:dyDescent="0.3">
      <c r="A670" t="s">
        <v>773</v>
      </c>
      <c r="B670">
        <v>3577</v>
      </c>
      <c r="C670">
        <v>699</v>
      </c>
      <c r="D670">
        <v>2</v>
      </c>
      <c r="E670" t="s">
        <v>45</v>
      </c>
      <c r="F670" t="s">
        <v>46</v>
      </c>
      <c r="G670" t="s">
        <v>15</v>
      </c>
      <c r="H670" s="1">
        <v>44620</v>
      </c>
      <c r="I670" t="s">
        <v>775</v>
      </c>
      <c r="J670" t="s">
        <v>21</v>
      </c>
      <c r="K670" t="s">
        <v>172</v>
      </c>
      <c r="L670" s="2" t="s">
        <v>137</v>
      </c>
      <c r="M670" t="str">
        <f>TEXT(Table13[[#This Row],[Order Date]],"MMM")</f>
        <v>Feb</v>
      </c>
      <c r="N670">
        <f>YEAR(Table13[[#This Row],[Order Date]])</f>
        <v>2022</v>
      </c>
      <c r="O670" t="str">
        <f>"Q"&amp;ROUNDUP(MONTH(Table13[[#This Row],[Order Date]])/3,0)</f>
        <v>Q1</v>
      </c>
      <c r="P670" s="5">
        <f>Table13[[#This Row],[Profit]]/Table13[[#This Row],[Amount]]</f>
        <v>0.1954151523623148</v>
      </c>
      <c r="Q670" s="6">
        <f>Table13[[#This Row],[Amount]]/Table13[[#This Row],[Quantity]]</f>
        <v>1788.5</v>
      </c>
    </row>
    <row r="671" spans="1:17" x14ac:dyDescent="0.3">
      <c r="A671" t="s">
        <v>776</v>
      </c>
      <c r="B671">
        <v>7122</v>
      </c>
      <c r="C671">
        <v>1836</v>
      </c>
      <c r="D671">
        <v>6</v>
      </c>
      <c r="E671" t="s">
        <v>13</v>
      </c>
      <c r="F671" t="s">
        <v>82</v>
      </c>
      <c r="G671" t="s">
        <v>32</v>
      </c>
      <c r="H671" s="1">
        <v>45407</v>
      </c>
      <c r="I671" t="s">
        <v>777</v>
      </c>
      <c r="J671" t="s">
        <v>71</v>
      </c>
      <c r="K671" t="s">
        <v>72</v>
      </c>
      <c r="L671" s="2" t="s">
        <v>235</v>
      </c>
      <c r="M671" t="str">
        <f>TEXT(Table13[[#This Row],[Order Date]],"MMM")</f>
        <v>Apr</v>
      </c>
      <c r="N671">
        <f>YEAR(Table13[[#This Row],[Order Date]])</f>
        <v>2024</v>
      </c>
      <c r="O671" t="str">
        <f>"Q"&amp;ROUNDUP(MONTH(Table13[[#This Row],[Order Date]])/3,0)</f>
        <v>Q2</v>
      </c>
      <c r="P671" s="5">
        <f>Table13[[#This Row],[Profit]]/Table13[[#This Row],[Amount]]</f>
        <v>0.25779275484414488</v>
      </c>
      <c r="Q671" s="6">
        <f>Table13[[#This Row],[Amount]]/Table13[[#This Row],[Quantity]]</f>
        <v>1187</v>
      </c>
    </row>
    <row r="672" spans="1:17" x14ac:dyDescent="0.3">
      <c r="A672" t="s">
        <v>776</v>
      </c>
      <c r="B672">
        <v>7122</v>
      </c>
      <c r="C672">
        <v>1836</v>
      </c>
      <c r="D672">
        <v>6</v>
      </c>
      <c r="E672" t="s">
        <v>13</v>
      </c>
      <c r="F672" t="s">
        <v>82</v>
      </c>
      <c r="G672" t="s">
        <v>32</v>
      </c>
      <c r="H672" s="1">
        <v>44995</v>
      </c>
      <c r="I672" t="s">
        <v>778</v>
      </c>
      <c r="J672" t="s">
        <v>71</v>
      </c>
      <c r="K672" t="s">
        <v>138</v>
      </c>
      <c r="L672" s="2" t="s">
        <v>245</v>
      </c>
      <c r="M672" t="str">
        <f>TEXT(Table13[[#This Row],[Order Date]],"MMM")</f>
        <v>Mar</v>
      </c>
      <c r="N672">
        <f>YEAR(Table13[[#This Row],[Order Date]])</f>
        <v>2023</v>
      </c>
      <c r="O672" t="str">
        <f>"Q"&amp;ROUNDUP(MONTH(Table13[[#This Row],[Order Date]])/3,0)</f>
        <v>Q1</v>
      </c>
      <c r="P672" s="5">
        <f>Table13[[#This Row],[Profit]]/Table13[[#This Row],[Amount]]</f>
        <v>0.25779275484414488</v>
      </c>
      <c r="Q672" s="6">
        <f>Table13[[#This Row],[Amount]]/Table13[[#This Row],[Quantity]]</f>
        <v>1187</v>
      </c>
    </row>
    <row r="673" spans="1:17" x14ac:dyDescent="0.3">
      <c r="A673" t="s">
        <v>776</v>
      </c>
      <c r="B673">
        <v>7122</v>
      </c>
      <c r="C673">
        <v>1836</v>
      </c>
      <c r="D673">
        <v>6</v>
      </c>
      <c r="E673" t="s">
        <v>13</v>
      </c>
      <c r="F673" t="s">
        <v>82</v>
      </c>
      <c r="G673" t="s">
        <v>32</v>
      </c>
      <c r="H673" s="1">
        <v>45117</v>
      </c>
      <c r="I673" t="s">
        <v>779</v>
      </c>
      <c r="J673" t="s">
        <v>25</v>
      </c>
      <c r="K673" t="s">
        <v>51</v>
      </c>
      <c r="L673" s="2" t="s">
        <v>105</v>
      </c>
      <c r="M673" t="str">
        <f>TEXT(Table13[[#This Row],[Order Date]],"MMM")</f>
        <v>Jul</v>
      </c>
      <c r="N673">
        <f>YEAR(Table13[[#This Row],[Order Date]])</f>
        <v>2023</v>
      </c>
      <c r="O673" t="str">
        <f>"Q"&amp;ROUNDUP(MONTH(Table13[[#This Row],[Order Date]])/3,0)</f>
        <v>Q3</v>
      </c>
      <c r="P673" s="5">
        <f>Table13[[#This Row],[Profit]]/Table13[[#This Row],[Amount]]</f>
        <v>0.25779275484414488</v>
      </c>
      <c r="Q673" s="6">
        <f>Table13[[#This Row],[Amount]]/Table13[[#This Row],[Quantity]]</f>
        <v>1187</v>
      </c>
    </row>
    <row r="674" spans="1:17" x14ac:dyDescent="0.3">
      <c r="A674" t="s">
        <v>776</v>
      </c>
      <c r="B674">
        <v>7327</v>
      </c>
      <c r="C674">
        <v>2596</v>
      </c>
      <c r="D674">
        <v>15</v>
      </c>
      <c r="E674" t="s">
        <v>30</v>
      </c>
      <c r="F674" t="s">
        <v>57</v>
      </c>
      <c r="G674" t="s">
        <v>47</v>
      </c>
      <c r="H674" s="1">
        <v>45407</v>
      </c>
      <c r="I674" t="s">
        <v>777</v>
      </c>
      <c r="J674" t="s">
        <v>71</v>
      </c>
      <c r="K674" t="s">
        <v>72</v>
      </c>
      <c r="L674" s="2" t="s">
        <v>235</v>
      </c>
      <c r="M674" t="str">
        <f>TEXT(Table13[[#This Row],[Order Date]],"MMM")</f>
        <v>Apr</v>
      </c>
      <c r="N674">
        <f>YEAR(Table13[[#This Row],[Order Date]])</f>
        <v>2024</v>
      </c>
      <c r="O674" t="str">
        <f>"Q"&amp;ROUNDUP(MONTH(Table13[[#This Row],[Order Date]])/3,0)</f>
        <v>Q2</v>
      </c>
      <c r="P674" s="5">
        <f>Table13[[#This Row],[Profit]]/Table13[[#This Row],[Amount]]</f>
        <v>0.35430599153814657</v>
      </c>
      <c r="Q674" s="6">
        <f>Table13[[#This Row],[Amount]]/Table13[[#This Row],[Quantity]]</f>
        <v>488.46666666666664</v>
      </c>
    </row>
    <row r="675" spans="1:17" x14ac:dyDescent="0.3">
      <c r="A675" t="s">
        <v>776</v>
      </c>
      <c r="B675">
        <v>7327</v>
      </c>
      <c r="C675">
        <v>2596</v>
      </c>
      <c r="D675">
        <v>15</v>
      </c>
      <c r="E675" t="s">
        <v>30</v>
      </c>
      <c r="F675" t="s">
        <v>57</v>
      </c>
      <c r="G675" t="s">
        <v>47</v>
      </c>
      <c r="H675" s="1">
        <v>44995</v>
      </c>
      <c r="I675" t="s">
        <v>778</v>
      </c>
      <c r="J675" t="s">
        <v>71</v>
      </c>
      <c r="K675" t="s">
        <v>138</v>
      </c>
      <c r="L675" s="2" t="s">
        <v>245</v>
      </c>
      <c r="M675" t="str">
        <f>TEXT(Table13[[#This Row],[Order Date]],"MMM")</f>
        <v>Mar</v>
      </c>
      <c r="N675">
        <f>YEAR(Table13[[#This Row],[Order Date]])</f>
        <v>2023</v>
      </c>
      <c r="O675" t="str">
        <f>"Q"&amp;ROUNDUP(MONTH(Table13[[#This Row],[Order Date]])/3,0)</f>
        <v>Q1</v>
      </c>
      <c r="P675" s="5">
        <f>Table13[[#This Row],[Profit]]/Table13[[#This Row],[Amount]]</f>
        <v>0.35430599153814657</v>
      </c>
      <c r="Q675" s="6">
        <f>Table13[[#This Row],[Amount]]/Table13[[#This Row],[Quantity]]</f>
        <v>488.46666666666664</v>
      </c>
    </row>
    <row r="676" spans="1:17" x14ac:dyDescent="0.3">
      <c r="A676" t="s">
        <v>776</v>
      </c>
      <c r="B676">
        <v>7327</v>
      </c>
      <c r="C676">
        <v>2596</v>
      </c>
      <c r="D676">
        <v>15</v>
      </c>
      <c r="E676" t="s">
        <v>30</v>
      </c>
      <c r="F676" t="s">
        <v>57</v>
      </c>
      <c r="G676" t="s">
        <v>47</v>
      </c>
      <c r="H676" s="1">
        <v>45117</v>
      </c>
      <c r="I676" t="s">
        <v>779</v>
      </c>
      <c r="J676" t="s">
        <v>25</v>
      </c>
      <c r="K676" t="s">
        <v>51</v>
      </c>
      <c r="L676" s="2" t="s">
        <v>105</v>
      </c>
      <c r="M676" t="str">
        <f>TEXT(Table13[[#This Row],[Order Date]],"MMM")</f>
        <v>Jul</v>
      </c>
      <c r="N676">
        <f>YEAR(Table13[[#This Row],[Order Date]])</f>
        <v>2023</v>
      </c>
      <c r="O676" t="str">
        <f>"Q"&amp;ROUNDUP(MONTH(Table13[[#This Row],[Order Date]])/3,0)</f>
        <v>Q3</v>
      </c>
      <c r="P676" s="5">
        <f>Table13[[#This Row],[Profit]]/Table13[[#This Row],[Amount]]</f>
        <v>0.35430599153814657</v>
      </c>
      <c r="Q676" s="6">
        <f>Table13[[#This Row],[Amount]]/Table13[[#This Row],[Quantity]]</f>
        <v>488.46666666666664</v>
      </c>
    </row>
    <row r="677" spans="1:17" x14ac:dyDescent="0.3">
      <c r="A677" t="s">
        <v>780</v>
      </c>
      <c r="B677">
        <v>2239</v>
      </c>
      <c r="C677">
        <v>1094</v>
      </c>
      <c r="D677">
        <v>18</v>
      </c>
      <c r="E677" t="s">
        <v>13</v>
      </c>
      <c r="F677" t="s">
        <v>28</v>
      </c>
      <c r="G677" t="s">
        <v>65</v>
      </c>
      <c r="H677" s="1">
        <v>45501</v>
      </c>
      <c r="I677" t="s">
        <v>781</v>
      </c>
      <c r="J677" t="s">
        <v>17</v>
      </c>
      <c r="K677" t="s">
        <v>150</v>
      </c>
      <c r="L677" s="2" t="s">
        <v>215</v>
      </c>
      <c r="M677" t="str">
        <f>TEXT(Table13[[#This Row],[Order Date]],"MMM")</f>
        <v>Jul</v>
      </c>
      <c r="N677">
        <f>YEAR(Table13[[#This Row],[Order Date]])</f>
        <v>2024</v>
      </c>
      <c r="O677" t="str">
        <f>"Q"&amp;ROUNDUP(MONTH(Table13[[#This Row],[Order Date]])/3,0)</f>
        <v>Q3</v>
      </c>
      <c r="P677" s="5">
        <f>Table13[[#This Row],[Profit]]/Table13[[#This Row],[Amount]]</f>
        <v>0.48861098704778921</v>
      </c>
      <c r="Q677" s="6">
        <f>Table13[[#This Row],[Amount]]/Table13[[#This Row],[Quantity]]</f>
        <v>124.38888888888889</v>
      </c>
    </row>
    <row r="678" spans="1:17" x14ac:dyDescent="0.3">
      <c r="A678" t="s">
        <v>780</v>
      </c>
      <c r="B678">
        <v>4932</v>
      </c>
      <c r="C678">
        <v>1153</v>
      </c>
      <c r="D678">
        <v>1</v>
      </c>
      <c r="E678" t="s">
        <v>30</v>
      </c>
      <c r="F678" t="s">
        <v>57</v>
      </c>
      <c r="G678" t="s">
        <v>65</v>
      </c>
      <c r="H678" s="1">
        <v>45501</v>
      </c>
      <c r="I678" t="s">
        <v>781</v>
      </c>
      <c r="J678" t="s">
        <v>17</v>
      </c>
      <c r="K678" t="s">
        <v>150</v>
      </c>
      <c r="L678" s="2" t="s">
        <v>215</v>
      </c>
      <c r="M678" t="str">
        <f>TEXT(Table13[[#This Row],[Order Date]],"MMM")</f>
        <v>Jul</v>
      </c>
      <c r="N678">
        <f>YEAR(Table13[[#This Row],[Order Date]])</f>
        <v>2024</v>
      </c>
      <c r="O678" t="str">
        <f>"Q"&amp;ROUNDUP(MONTH(Table13[[#This Row],[Order Date]])/3,0)</f>
        <v>Q3</v>
      </c>
      <c r="P678" s="5">
        <f>Table13[[#This Row],[Profit]]/Table13[[#This Row],[Amount]]</f>
        <v>0.233779399837794</v>
      </c>
      <c r="Q678" s="6">
        <f>Table13[[#This Row],[Amount]]/Table13[[#This Row],[Quantity]]</f>
        <v>4932</v>
      </c>
    </row>
    <row r="679" spans="1:17" x14ac:dyDescent="0.3">
      <c r="A679" t="s">
        <v>782</v>
      </c>
      <c r="B679">
        <v>4609</v>
      </c>
      <c r="C679">
        <v>1084</v>
      </c>
      <c r="D679">
        <v>8</v>
      </c>
      <c r="E679" t="s">
        <v>13</v>
      </c>
      <c r="F679" t="s">
        <v>28</v>
      </c>
      <c r="G679" t="s">
        <v>15</v>
      </c>
      <c r="H679" s="1">
        <v>45137</v>
      </c>
      <c r="I679" t="s">
        <v>783</v>
      </c>
      <c r="J679" t="s">
        <v>17</v>
      </c>
      <c r="K679" t="s">
        <v>34</v>
      </c>
      <c r="L679" s="2" t="s">
        <v>105</v>
      </c>
      <c r="M679" t="str">
        <f>TEXT(Table13[[#This Row],[Order Date]],"MMM")</f>
        <v>Jul</v>
      </c>
      <c r="N679">
        <f>YEAR(Table13[[#This Row],[Order Date]])</f>
        <v>2023</v>
      </c>
      <c r="O679" t="str">
        <f>"Q"&amp;ROUNDUP(MONTH(Table13[[#This Row],[Order Date]])/3,0)</f>
        <v>Q3</v>
      </c>
      <c r="P679" s="5">
        <f>Table13[[#This Row],[Profit]]/Table13[[#This Row],[Amount]]</f>
        <v>0.23519201562160991</v>
      </c>
      <c r="Q679" s="6">
        <f>Table13[[#This Row],[Amount]]/Table13[[#This Row],[Quantity]]</f>
        <v>576.125</v>
      </c>
    </row>
    <row r="680" spans="1:17" x14ac:dyDescent="0.3">
      <c r="A680" t="s">
        <v>782</v>
      </c>
      <c r="B680">
        <v>2328</v>
      </c>
      <c r="C680">
        <v>788</v>
      </c>
      <c r="D680">
        <v>4</v>
      </c>
      <c r="E680" t="s">
        <v>30</v>
      </c>
      <c r="F680" t="s">
        <v>64</v>
      </c>
      <c r="G680" t="s">
        <v>15</v>
      </c>
      <c r="H680" s="1">
        <v>45137</v>
      </c>
      <c r="I680" t="s">
        <v>783</v>
      </c>
      <c r="J680" t="s">
        <v>17</v>
      </c>
      <c r="K680" t="s">
        <v>34</v>
      </c>
      <c r="L680" s="2" t="s">
        <v>105</v>
      </c>
      <c r="M680" t="str">
        <f>TEXT(Table13[[#This Row],[Order Date]],"MMM")</f>
        <v>Jul</v>
      </c>
      <c r="N680">
        <f>YEAR(Table13[[#This Row],[Order Date]])</f>
        <v>2023</v>
      </c>
      <c r="O680" t="str">
        <f>"Q"&amp;ROUNDUP(MONTH(Table13[[#This Row],[Order Date]])/3,0)</f>
        <v>Q3</v>
      </c>
      <c r="P680" s="5">
        <f>Table13[[#This Row],[Profit]]/Table13[[#This Row],[Amount]]</f>
        <v>0.33848797250859108</v>
      </c>
      <c r="Q680" s="6">
        <f>Table13[[#This Row],[Amount]]/Table13[[#This Row],[Quantity]]</f>
        <v>582</v>
      </c>
    </row>
    <row r="681" spans="1:17" x14ac:dyDescent="0.3">
      <c r="A681" t="s">
        <v>782</v>
      </c>
      <c r="B681">
        <v>4734</v>
      </c>
      <c r="C681">
        <v>958</v>
      </c>
      <c r="D681">
        <v>7</v>
      </c>
      <c r="E681" t="s">
        <v>13</v>
      </c>
      <c r="F681" t="s">
        <v>28</v>
      </c>
      <c r="G681" t="s">
        <v>32</v>
      </c>
      <c r="H681" s="1">
        <v>45137</v>
      </c>
      <c r="I681" t="s">
        <v>783</v>
      </c>
      <c r="J681" t="s">
        <v>17</v>
      </c>
      <c r="K681" t="s">
        <v>34</v>
      </c>
      <c r="L681" s="2" t="s">
        <v>105</v>
      </c>
      <c r="M681" t="str">
        <f>TEXT(Table13[[#This Row],[Order Date]],"MMM")</f>
        <v>Jul</v>
      </c>
      <c r="N681">
        <f>YEAR(Table13[[#This Row],[Order Date]])</f>
        <v>2023</v>
      </c>
      <c r="O681" t="str">
        <f>"Q"&amp;ROUNDUP(MONTH(Table13[[#This Row],[Order Date]])/3,0)</f>
        <v>Q3</v>
      </c>
      <c r="P681" s="5">
        <f>Table13[[#This Row],[Profit]]/Table13[[#This Row],[Amount]]</f>
        <v>0.20236586396282213</v>
      </c>
      <c r="Q681" s="6">
        <f>Table13[[#This Row],[Amount]]/Table13[[#This Row],[Quantity]]</f>
        <v>676.28571428571433</v>
      </c>
    </row>
    <row r="682" spans="1:17" x14ac:dyDescent="0.3">
      <c r="A682" t="s">
        <v>784</v>
      </c>
      <c r="B682">
        <v>1388</v>
      </c>
      <c r="C682">
        <v>345</v>
      </c>
      <c r="D682">
        <v>5</v>
      </c>
      <c r="E682" t="s">
        <v>45</v>
      </c>
      <c r="F682" t="s">
        <v>60</v>
      </c>
      <c r="G682" t="s">
        <v>15</v>
      </c>
      <c r="H682" s="1">
        <v>45570</v>
      </c>
      <c r="I682" t="s">
        <v>785</v>
      </c>
      <c r="J682" t="s">
        <v>25</v>
      </c>
      <c r="K682" t="s">
        <v>51</v>
      </c>
      <c r="L682" s="2" t="s">
        <v>360</v>
      </c>
      <c r="M682" t="str">
        <f>TEXT(Table13[[#This Row],[Order Date]],"MMM")</f>
        <v>Oct</v>
      </c>
      <c r="N682">
        <f>YEAR(Table13[[#This Row],[Order Date]])</f>
        <v>2024</v>
      </c>
      <c r="O682" t="str">
        <f>"Q"&amp;ROUNDUP(MONTH(Table13[[#This Row],[Order Date]])/3,0)</f>
        <v>Q4</v>
      </c>
      <c r="P682" s="5">
        <f>Table13[[#This Row],[Profit]]/Table13[[#This Row],[Amount]]</f>
        <v>0.24855907780979827</v>
      </c>
      <c r="Q682" s="6">
        <f>Table13[[#This Row],[Amount]]/Table13[[#This Row],[Quantity]]</f>
        <v>277.60000000000002</v>
      </c>
    </row>
    <row r="683" spans="1:17" x14ac:dyDescent="0.3">
      <c r="A683" t="s">
        <v>784</v>
      </c>
      <c r="B683">
        <v>8555</v>
      </c>
      <c r="C683">
        <v>1638</v>
      </c>
      <c r="D683">
        <v>8</v>
      </c>
      <c r="E683" t="s">
        <v>13</v>
      </c>
      <c r="F683" t="s">
        <v>39</v>
      </c>
      <c r="G683" t="s">
        <v>47</v>
      </c>
      <c r="H683" s="1">
        <v>45570</v>
      </c>
      <c r="I683" t="s">
        <v>785</v>
      </c>
      <c r="J683" t="s">
        <v>25</v>
      </c>
      <c r="K683" t="s">
        <v>51</v>
      </c>
      <c r="L683" s="2" t="s">
        <v>360</v>
      </c>
      <c r="M683" t="str">
        <f>TEXT(Table13[[#This Row],[Order Date]],"MMM")</f>
        <v>Oct</v>
      </c>
      <c r="N683">
        <f>YEAR(Table13[[#This Row],[Order Date]])</f>
        <v>2024</v>
      </c>
      <c r="O683" t="str">
        <f>"Q"&amp;ROUNDUP(MONTH(Table13[[#This Row],[Order Date]])/3,0)</f>
        <v>Q4</v>
      </c>
      <c r="P683" s="5">
        <f>Table13[[#This Row],[Profit]]/Table13[[#This Row],[Amount]]</f>
        <v>0.19146697837521917</v>
      </c>
      <c r="Q683" s="6">
        <f>Table13[[#This Row],[Amount]]/Table13[[#This Row],[Quantity]]</f>
        <v>1069.375</v>
      </c>
    </row>
    <row r="684" spans="1:17" x14ac:dyDescent="0.3">
      <c r="A684" t="s">
        <v>786</v>
      </c>
      <c r="B684">
        <v>9024</v>
      </c>
      <c r="C684">
        <v>730</v>
      </c>
      <c r="D684">
        <v>4</v>
      </c>
      <c r="E684" t="s">
        <v>45</v>
      </c>
      <c r="F684" t="s">
        <v>46</v>
      </c>
      <c r="G684" t="s">
        <v>47</v>
      </c>
      <c r="H684" s="1">
        <v>45342</v>
      </c>
      <c r="I684" t="s">
        <v>787</v>
      </c>
      <c r="J684" t="s">
        <v>71</v>
      </c>
      <c r="K684" t="s">
        <v>72</v>
      </c>
      <c r="L684" s="2" t="s">
        <v>218</v>
      </c>
      <c r="M684" t="str">
        <f>TEXT(Table13[[#This Row],[Order Date]],"MMM")</f>
        <v>Feb</v>
      </c>
      <c r="N684">
        <f>YEAR(Table13[[#This Row],[Order Date]])</f>
        <v>2024</v>
      </c>
      <c r="O684" t="str">
        <f>"Q"&amp;ROUNDUP(MONTH(Table13[[#This Row],[Order Date]])/3,0)</f>
        <v>Q1</v>
      </c>
      <c r="P684" s="5">
        <f>Table13[[#This Row],[Profit]]/Table13[[#This Row],[Amount]]</f>
        <v>8.0895390070921988E-2</v>
      </c>
      <c r="Q684" s="6">
        <f>Table13[[#This Row],[Amount]]/Table13[[#This Row],[Quantity]]</f>
        <v>2256</v>
      </c>
    </row>
    <row r="685" spans="1:17" x14ac:dyDescent="0.3">
      <c r="A685" t="s">
        <v>786</v>
      </c>
      <c r="B685">
        <v>2468</v>
      </c>
      <c r="C685">
        <v>418</v>
      </c>
      <c r="D685">
        <v>4</v>
      </c>
      <c r="E685" t="s">
        <v>13</v>
      </c>
      <c r="F685" t="s">
        <v>39</v>
      </c>
      <c r="G685" t="s">
        <v>47</v>
      </c>
      <c r="H685" s="1">
        <v>45342</v>
      </c>
      <c r="I685" t="s">
        <v>787</v>
      </c>
      <c r="J685" t="s">
        <v>71</v>
      </c>
      <c r="K685" t="s">
        <v>72</v>
      </c>
      <c r="L685" s="2" t="s">
        <v>218</v>
      </c>
      <c r="M685" t="str">
        <f>TEXT(Table13[[#This Row],[Order Date]],"MMM")</f>
        <v>Feb</v>
      </c>
      <c r="N685">
        <f>YEAR(Table13[[#This Row],[Order Date]])</f>
        <v>2024</v>
      </c>
      <c r="O685" t="str">
        <f>"Q"&amp;ROUNDUP(MONTH(Table13[[#This Row],[Order Date]])/3,0)</f>
        <v>Q1</v>
      </c>
      <c r="P685" s="5">
        <f>Table13[[#This Row],[Profit]]/Table13[[#This Row],[Amount]]</f>
        <v>0.1693679092382496</v>
      </c>
      <c r="Q685" s="6">
        <f>Table13[[#This Row],[Amount]]/Table13[[#This Row],[Quantity]]</f>
        <v>617</v>
      </c>
    </row>
    <row r="686" spans="1:17" x14ac:dyDescent="0.3">
      <c r="A686" t="s">
        <v>788</v>
      </c>
      <c r="B686">
        <v>9438</v>
      </c>
      <c r="C686">
        <v>1801</v>
      </c>
      <c r="D686">
        <v>4</v>
      </c>
      <c r="E686" t="s">
        <v>13</v>
      </c>
      <c r="F686" t="s">
        <v>14</v>
      </c>
      <c r="G686" t="s">
        <v>65</v>
      </c>
      <c r="H686" s="1">
        <v>45035</v>
      </c>
      <c r="I686" t="s">
        <v>789</v>
      </c>
      <c r="J686" t="s">
        <v>17</v>
      </c>
      <c r="K686" t="s">
        <v>34</v>
      </c>
      <c r="L686" s="2" t="s">
        <v>145</v>
      </c>
      <c r="M686" t="str">
        <f>TEXT(Table13[[#This Row],[Order Date]],"MMM")</f>
        <v>Apr</v>
      </c>
      <c r="N686">
        <f>YEAR(Table13[[#This Row],[Order Date]])</f>
        <v>2023</v>
      </c>
      <c r="O686" t="str">
        <f>"Q"&amp;ROUNDUP(MONTH(Table13[[#This Row],[Order Date]])/3,0)</f>
        <v>Q2</v>
      </c>
      <c r="P686" s="5">
        <f>Table13[[#This Row],[Profit]]/Table13[[#This Row],[Amount]]</f>
        <v>0.19082432718796355</v>
      </c>
      <c r="Q686" s="6">
        <f>Table13[[#This Row],[Amount]]/Table13[[#This Row],[Quantity]]</f>
        <v>2359.5</v>
      </c>
    </row>
    <row r="687" spans="1:17" x14ac:dyDescent="0.3">
      <c r="A687" t="s">
        <v>788</v>
      </c>
      <c r="B687">
        <v>9438</v>
      </c>
      <c r="C687">
        <v>1801</v>
      </c>
      <c r="D687">
        <v>4</v>
      </c>
      <c r="E687" t="s">
        <v>13</v>
      </c>
      <c r="F687" t="s">
        <v>14</v>
      </c>
      <c r="G687" t="s">
        <v>65</v>
      </c>
      <c r="H687" s="1">
        <v>45228</v>
      </c>
      <c r="I687" t="s">
        <v>790</v>
      </c>
      <c r="J687" t="s">
        <v>71</v>
      </c>
      <c r="K687" t="s">
        <v>86</v>
      </c>
      <c r="L687" s="2" t="s">
        <v>442</v>
      </c>
      <c r="M687" t="str">
        <f>TEXT(Table13[[#This Row],[Order Date]],"MMM")</f>
        <v>Oct</v>
      </c>
      <c r="N687">
        <f>YEAR(Table13[[#This Row],[Order Date]])</f>
        <v>2023</v>
      </c>
      <c r="O687" t="str">
        <f>"Q"&amp;ROUNDUP(MONTH(Table13[[#This Row],[Order Date]])/3,0)</f>
        <v>Q4</v>
      </c>
      <c r="P687" s="5">
        <f>Table13[[#This Row],[Profit]]/Table13[[#This Row],[Amount]]</f>
        <v>0.19082432718796355</v>
      </c>
      <c r="Q687" s="6">
        <f>Table13[[#This Row],[Amount]]/Table13[[#This Row],[Quantity]]</f>
        <v>2359.5</v>
      </c>
    </row>
    <row r="688" spans="1:17" x14ac:dyDescent="0.3">
      <c r="A688" t="s">
        <v>791</v>
      </c>
      <c r="B688">
        <v>2685</v>
      </c>
      <c r="C688">
        <v>379</v>
      </c>
      <c r="D688">
        <v>18</v>
      </c>
      <c r="E688" t="s">
        <v>13</v>
      </c>
      <c r="F688" t="s">
        <v>82</v>
      </c>
      <c r="G688" t="s">
        <v>15</v>
      </c>
      <c r="H688" s="1">
        <v>44628</v>
      </c>
      <c r="I688" t="s">
        <v>792</v>
      </c>
      <c r="J688" t="s">
        <v>98</v>
      </c>
      <c r="K688" t="s">
        <v>117</v>
      </c>
      <c r="L688" s="2" t="s">
        <v>134</v>
      </c>
      <c r="M688" t="str">
        <f>TEXT(Table13[[#This Row],[Order Date]],"MMM")</f>
        <v>Mar</v>
      </c>
      <c r="N688">
        <f>YEAR(Table13[[#This Row],[Order Date]])</f>
        <v>2022</v>
      </c>
      <c r="O688" t="str">
        <f>"Q"&amp;ROUNDUP(MONTH(Table13[[#This Row],[Order Date]])/3,0)</f>
        <v>Q1</v>
      </c>
      <c r="P688" s="5">
        <f>Table13[[#This Row],[Profit]]/Table13[[#This Row],[Amount]]</f>
        <v>0.14115456238361265</v>
      </c>
      <c r="Q688" s="6">
        <f>Table13[[#This Row],[Amount]]/Table13[[#This Row],[Quantity]]</f>
        <v>149.16666666666666</v>
      </c>
    </row>
    <row r="689" spans="1:17" x14ac:dyDescent="0.3">
      <c r="A689" t="s">
        <v>791</v>
      </c>
      <c r="B689">
        <v>2685</v>
      </c>
      <c r="C689">
        <v>379</v>
      </c>
      <c r="D689">
        <v>18</v>
      </c>
      <c r="E689" t="s">
        <v>13</v>
      </c>
      <c r="F689" t="s">
        <v>82</v>
      </c>
      <c r="G689" t="s">
        <v>15</v>
      </c>
      <c r="H689" s="1">
        <v>44903</v>
      </c>
      <c r="I689" t="s">
        <v>793</v>
      </c>
      <c r="J689" t="s">
        <v>17</v>
      </c>
      <c r="K689" t="s">
        <v>150</v>
      </c>
      <c r="L689" s="2" t="s">
        <v>152</v>
      </c>
      <c r="M689" t="str">
        <f>TEXT(Table13[[#This Row],[Order Date]],"MMM")</f>
        <v>Dec</v>
      </c>
      <c r="N689">
        <f>YEAR(Table13[[#This Row],[Order Date]])</f>
        <v>2022</v>
      </c>
      <c r="O689" t="str">
        <f>"Q"&amp;ROUNDUP(MONTH(Table13[[#This Row],[Order Date]])/3,0)</f>
        <v>Q4</v>
      </c>
      <c r="P689" s="5">
        <f>Table13[[#This Row],[Profit]]/Table13[[#This Row],[Amount]]</f>
        <v>0.14115456238361265</v>
      </c>
      <c r="Q689" s="6">
        <f>Table13[[#This Row],[Amount]]/Table13[[#This Row],[Quantity]]</f>
        <v>149.16666666666666</v>
      </c>
    </row>
    <row r="690" spans="1:17" x14ac:dyDescent="0.3">
      <c r="A690" t="s">
        <v>791</v>
      </c>
      <c r="B690">
        <v>9916</v>
      </c>
      <c r="C690">
        <v>4602</v>
      </c>
      <c r="D690">
        <v>14</v>
      </c>
      <c r="E690" t="s">
        <v>45</v>
      </c>
      <c r="F690" t="s">
        <v>49</v>
      </c>
      <c r="G690" t="s">
        <v>15</v>
      </c>
      <c r="H690" s="1">
        <v>44628</v>
      </c>
      <c r="I690" t="s">
        <v>792</v>
      </c>
      <c r="J690" t="s">
        <v>98</v>
      </c>
      <c r="K690" t="s">
        <v>117</v>
      </c>
      <c r="L690" s="2" t="s">
        <v>134</v>
      </c>
      <c r="M690" t="str">
        <f>TEXT(Table13[[#This Row],[Order Date]],"MMM")</f>
        <v>Mar</v>
      </c>
      <c r="N690">
        <f>YEAR(Table13[[#This Row],[Order Date]])</f>
        <v>2022</v>
      </c>
      <c r="O690" t="str">
        <f>"Q"&amp;ROUNDUP(MONTH(Table13[[#This Row],[Order Date]])/3,0)</f>
        <v>Q1</v>
      </c>
      <c r="P690" s="5">
        <f>Table13[[#This Row],[Profit]]/Table13[[#This Row],[Amount]]</f>
        <v>0.46409842678499397</v>
      </c>
      <c r="Q690" s="6">
        <f>Table13[[#This Row],[Amount]]/Table13[[#This Row],[Quantity]]</f>
        <v>708.28571428571433</v>
      </c>
    </row>
    <row r="691" spans="1:17" x14ac:dyDescent="0.3">
      <c r="A691" t="s">
        <v>791</v>
      </c>
      <c r="B691">
        <v>9916</v>
      </c>
      <c r="C691">
        <v>4602</v>
      </c>
      <c r="D691">
        <v>14</v>
      </c>
      <c r="E691" t="s">
        <v>45</v>
      </c>
      <c r="F691" t="s">
        <v>49</v>
      </c>
      <c r="G691" t="s">
        <v>15</v>
      </c>
      <c r="H691" s="1">
        <v>44903</v>
      </c>
      <c r="I691" t="s">
        <v>793</v>
      </c>
      <c r="J691" t="s">
        <v>17</v>
      </c>
      <c r="K691" t="s">
        <v>150</v>
      </c>
      <c r="L691" s="2" t="s">
        <v>152</v>
      </c>
      <c r="M691" t="str">
        <f>TEXT(Table13[[#This Row],[Order Date]],"MMM")</f>
        <v>Dec</v>
      </c>
      <c r="N691">
        <f>YEAR(Table13[[#This Row],[Order Date]])</f>
        <v>2022</v>
      </c>
      <c r="O691" t="str">
        <f>"Q"&amp;ROUNDUP(MONTH(Table13[[#This Row],[Order Date]])/3,0)</f>
        <v>Q4</v>
      </c>
      <c r="P691" s="5">
        <f>Table13[[#This Row],[Profit]]/Table13[[#This Row],[Amount]]</f>
        <v>0.46409842678499397</v>
      </c>
      <c r="Q691" s="6">
        <f>Table13[[#This Row],[Amount]]/Table13[[#This Row],[Quantity]]</f>
        <v>708.28571428571433</v>
      </c>
    </row>
    <row r="692" spans="1:17" x14ac:dyDescent="0.3">
      <c r="A692" t="s">
        <v>791</v>
      </c>
      <c r="B692">
        <v>6184</v>
      </c>
      <c r="C692">
        <v>50</v>
      </c>
      <c r="D692">
        <v>14</v>
      </c>
      <c r="E692" t="s">
        <v>13</v>
      </c>
      <c r="F692" t="s">
        <v>14</v>
      </c>
      <c r="G692" t="s">
        <v>47</v>
      </c>
      <c r="H692" s="1">
        <v>44628</v>
      </c>
      <c r="I692" t="s">
        <v>792</v>
      </c>
      <c r="J692" t="s">
        <v>98</v>
      </c>
      <c r="K692" t="s">
        <v>117</v>
      </c>
      <c r="L692" s="2" t="s">
        <v>134</v>
      </c>
      <c r="M692" t="str">
        <f>TEXT(Table13[[#This Row],[Order Date]],"MMM")</f>
        <v>Mar</v>
      </c>
      <c r="N692">
        <f>YEAR(Table13[[#This Row],[Order Date]])</f>
        <v>2022</v>
      </c>
      <c r="O692" t="str">
        <f>"Q"&amp;ROUNDUP(MONTH(Table13[[#This Row],[Order Date]])/3,0)</f>
        <v>Q1</v>
      </c>
      <c r="P692" s="5">
        <f>Table13[[#This Row],[Profit]]/Table13[[#This Row],[Amount]]</f>
        <v>8.0853816300129368E-3</v>
      </c>
      <c r="Q692" s="6">
        <f>Table13[[#This Row],[Amount]]/Table13[[#This Row],[Quantity]]</f>
        <v>441.71428571428572</v>
      </c>
    </row>
    <row r="693" spans="1:17" x14ac:dyDescent="0.3">
      <c r="A693" t="s">
        <v>791</v>
      </c>
      <c r="B693">
        <v>6184</v>
      </c>
      <c r="C693">
        <v>50</v>
      </c>
      <c r="D693">
        <v>14</v>
      </c>
      <c r="E693" t="s">
        <v>13</v>
      </c>
      <c r="F693" t="s">
        <v>14</v>
      </c>
      <c r="G693" t="s">
        <v>47</v>
      </c>
      <c r="H693" s="1">
        <v>44903</v>
      </c>
      <c r="I693" t="s">
        <v>793</v>
      </c>
      <c r="J693" t="s">
        <v>17</v>
      </c>
      <c r="K693" t="s">
        <v>150</v>
      </c>
      <c r="L693" s="2" t="s">
        <v>152</v>
      </c>
      <c r="M693" t="str">
        <f>TEXT(Table13[[#This Row],[Order Date]],"MMM")</f>
        <v>Dec</v>
      </c>
      <c r="N693">
        <f>YEAR(Table13[[#This Row],[Order Date]])</f>
        <v>2022</v>
      </c>
      <c r="O693" t="str">
        <f>"Q"&amp;ROUNDUP(MONTH(Table13[[#This Row],[Order Date]])/3,0)</f>
        <v>Q4</v>
      </c>
      <c r="P693" s="5">
        <f>Table13[[#This Row],[Profit]]/Table13[[#This Row],[Amount]]</f>
        <v>8.0853816300129368E-3</v>
      </c>
      <c r="Q693" s="6">
        <f>Table13[[#This Row],[Amount]]/Table13[[#This Row],[Quantity]]</f>
        <v>441.71428571428572</v>
      </c>
    </row>
    <row r="694" spans="1:17" x14ac:dyDescent="0.3">
      <c r="A694" t="s">
        <v>791</v>
      </c>
      <c r="B694">
        <v>4548</v>
      </c>
      <c r="C694">
        <v>2135</v>
      </c>
      <c r="D694">
        <v>8</v>
      </c>
      <c r="E694" t="s">
        <v>30</v>
      </c>
      <c r="F694" t="s">
        <v>57</v>
      </c>
      <c r="G694" t="s">
        <v>32</v>
      </c>
      <c r="H694" s="1">
        <v>44628</v>
      </c>
      <c r="I694" t="s">
        <v>792</v>
      </c>
      <c r="J694" t="s">
        <v>98</v>
      </c>
      <c r="K694" t="s">
        <v>117</v>
      </c>
      <c r="L694" s="2" t="s">
        <v>134</v>
      </c>
      <c r="M694" t="str">
        <f>TEXT(Table13[[#This Row],[Order Date]],"MMM")</f>
        <v>Mar</v>
      </c>
      <c r="N694">
        <f>YEAR(Table13[[#This Row],[Order Date]])</f>
        <v>2022</v>
      </c>
      <c r="O694" t="str">
        <f>"Q"&amp;ROUNDUP(MONTH(Table13[[#This Row],[Order Date]])/3,0)</f>
        <v>Q1</v>
      </c>
      <c r="P694" s="5">
        <f>Table13[[#This Row],[Profit]]/Table13[[#This Row],[Amount]]</f>
        <v>0.46943711521547932</v>
      </c>
      <c r="Q694" s="6">
        <f>Table13[[#This Row],[Amount]]/Table13[[#This Row],[Quantity]]</f>
        <v>568.5</v>
      </c>
    </row>
    <row r="695" spans="1:17" x14ac:dyDescent="0.3">
      <c r="A695" t="s">
        <v>791</v>
      </c>
      <c r="B695">
        <v>4548</v>
      </c>
      <c r="C695">
        <v>2135</v>
      </c>
      <c r="D695">
        <v>8</v>
      </c>
      <c r="E695" t="s">
        <v>30</v>
      </c>
      <c r="F695" t="s">
        <v>57</v>
      </c>
      <c r="G695" t="s">
        <v>32</v>
      </c>
      <c r="H695" s="1">
        <v>44903</v>
      </c>
      <c r="I695" t="s">
        <v>793</v>
      </c>
      <c r="J695" t="s">
        <v>17</v>
      </c>
      <c r="K695" t="s">
        <v>150</v>
      </c>
      <c r="L695" s="2" t="s">
        <v>152</v>
      </c>
      <c r="M695" t="str">
        <f>TEXT(Table13[[#This Row],[Order Date]],"MMM")</f>
        <v>Dec</v>
      </c>
      <c r="N695">
        <f>YEAR(Table13[[#This Row],[Order Date]])</f>
        <v>2022</v>
      </c>
      <c r="O695" t="str">
        <f>"Q"&amp;ROUNDUP(MONTH(Table13[[#This Row],[Order Date]])/3,0)</f>
        <v>Q4</v>
      </c>
      <c r="P695" s="5">
        <f>Table13[[#This Row],[Profit]]/Table13[[#This Row],[Amount]]</f>
        <v>0.46943711521547932</v>
      </c>
      <c r="Q695" s="6">
        <f>Table13[[#This Row],[Amount]]/Table13[[#This Row],[Quantity]]</f>
        <v>568.5</v>
      </c>
    </row>
    <row r="696" spans="1:17" x14ac:dyDescent="0.3">
      <c r="A696" t="s">
        <v>794</v>
      </c>
      <c r="B696">
        <v>7195</v>
      </c>
      <c r="C696">
        <v>1665</v>
      </c>
      <c r="D696">
        <v>7</v>
      </c>
      <c r="E696" t="s">
        <v>30</v>
      </c>
      <c r="F696" t="s">
        <v>57</v>
      </c>
      <c r="G696" t="s">
        <v>65</v>
      </c>
      <c r="H696" s="1">
        <v>45500</v>
      </c>
      <c r="I696" t="s">
        <v>795</v>
      </c>
      <c r="J696" t="s">
        <v>25</v>
      </c>
      <c r="K696" t="s">
        <v>68</v>
      </c>
      <c r="L696" s="2" t="s">
        <v>215</v>
      </c>
      <c r="M696" t="str">
        <f>TEXT(Table13[[#This Row],[Order Date]],"MMM")</f>
        <v>Jul</v>
      </c>
      <c r="N696">
        <f>YEAR(Table13[[#This Row],[Order Date]])</f>
        <v>2024</v>
      </c>
      <c r="O696" t="str">
        <f>"Q"&amp;ROUNDUP(MONTH(Table13[[#This Row],[Order Date]])/3,0)</f>
        <v>Q3</v>
      </c>
      <c r="P696" s="5">
        <f>Table13[[#This Row],[Profit]]/Table13[[#This Row],[Amount]]</f>
        <v>0.231410701876303</v>
      </c>
      <c r="Q696" s="6">
        <f>Table13[[#This Row],[Amount]]/Table13[[#This Row],[Quantity]]</f>
        <v>1027.8571428571429</v>
      </c>
    </row>
    <row r="697" spans="1:17" x14ac:dyDescent="0.3">
      <c r="A697" t="s">
        <v>794</v>
      </c>
      <c r="B697">
        <v>7195</v>
      </c>
      <c r="C697">
        <v>1665</v>
      </c>
      <c r="D697">
        <v>7</v>
      </c>
      <c r="E697" t="s">
        <v>30</v>
      </c>
      <c r="F697" t="s">
        <v>57</v>
      </c>
      <c r="G697" t="s">
        <v>65</v>
      </c>
      <c r="H697" s="1">
        <v>44747</v>
      </c>
      <c r="I697" t="s">
        <v>796</v>
      </c>
      <c r="J697" t="s">
        <v>25</v>
      </c>
      <c r="K697" t="s">
        <v>26</v>
      </c>
      <c r="L697" s="2" t="s">
        <v>418</v>
      </c>
      <c r="M697" t="str">
        <f>TEXT(Table13[[#This Row],[Order Date]],"MMM")</f>
        <v>Jul</v>
      </c>
      <c r="N697">
        <f>YEAR(Table13[[#This Row],[Order Date]])</f>
        <v>2022</v>
      </c>
      <c r="O697" t="str">
        <f>"Q"&amp;ROUNDUP(MONTH(Table13[[#This Row],[Order Date]])/3,0)</f>
        <v>Q3</v>
      </c>
      <c r="P697" s="5">
        <f>Table13[[#This Row],[Profit]]/Table13[[#This Row],[Amount]]</f>
        <v>0.231410701876303</v>
      </c>
      <c r="Q697" s="6">
        <f>Table13[[#This Row],[Amount]]/Table13[[#This Row],[Quantity]]</f>
        <v>1027.8571428571429</v>
      </c>
    </row>
    <row r="698" spans="1:17" x14ac:dyDescent="0.3">
      <c r="A698" t="s">
        <v>797</v>
      </c>
      <c r="B698">
        <v>3098</v>
      </c>
      <c r="C698">
        <v>957</v>
      </c>
      <c r="D698">
        <v>18</v>
      </c>
      <c r="E698" t="s">
        <v>45</v>
      </c>
      <c r="F698" t="s">
        <v>109</v>
      </c>
      <c r="G698" t="s">
        <v>65</v>
      </c>
      <c r="H698" s="1">
        <v>45477</v>
      </c>
      <c r="I698" t="s">
        <v>798</v>
      </c>
      <c r="J698" t="s">
        <v>71</v>
      </c>
      <c r="K698" t="s">
        <v>86</v>
      </c>
      <c r="L698" s="2" t="s">
        <v>215</v>
      </c>
      <c r="M698" t="str">
        <f>TEXT(Table13[[#This Row],[Order Date]],"MMM")</f>
        <v>Jul</v>
      </c>
      <c r="N698">
        <f>YEAR(Table13[[#This Row],[Order Date]])</f>
        <v>2024</v>
      </c>
      <c r="O698" t="str">
        <f>"Q"&amp;ROUNDUP(MONTH(Table13[[#This Row],[Order Date]])/3,0)</f>
        <v>Q3</v>
      </c>
      <c r="P698" s="5">
        <f>Table13[[#This Row],[Profit]]/Table13[[#This Row],[Amount]]</f>
        <v>0.30890897353131053</v>
      </c>
      <c r="Q698" s="6">
        <f>Table13[[#This Row],[Amount]]/Table13[[#This Row],[Quantity]]</f>
        <v>172.11111111111111</v>
      </c>
    </row>
    <row r="699" spans="1:17" x14ac:dyDescent="0.3">
      <c r="A699" t="s">
        <v>799</v>
      </c>
      <c r="B699">
        <v>5412</v>
      </c>
      <c r="C699">
        <v>1192</v>
      </c>
      <c r="D699">
        <v>18</v>
      </c>
      <c r="E699" t="s">
        <v>45</v>
      </c>
      <c r="F699" t="s">
        <v>46</v>
      </c>
      <c r="G699" t="s">
        <v>47</v>
      </c>
      <c r="H699" s="1">
        <v>45350</v>
      </c>
      <c r="I699" t="s">
        <v>800</v>
      </c>
      <c r="J699" t="s">
        <v>42</v>
      </c>
      <c r="K699" t="s">
        <v>75</v>
      </c>
      <c r="L699" s="2" t="s">
        <v>218</v>
      </c>
      <c r="M699" t="str">
        <f>TEXT(Table13[[#This Row],[Order Date]],"MMM")</f>
        <v>Feb</v>
      </c>
      <c r="N699">
        <f>YEAR(Table13[[#This Row],[Order Date]])</f>
        <v>2024</v>
      </c>
      <c r="O699" t="str">
        <f>"Q"&amp;ROUNDUP(MONTH(Table13[[#This Row],[Order Date]])/3,0)</f>
        <v>Q1</v>
      </c>
      <c r="P699" s="5">
        <f>Table13[[#This Row],[Profit]]/Table13[[#This Row],[Amount]]</f>
        <v>0.22025129342202512</v>
      </c>
      <c r="Q699" s="6">
        <f>Table13[[#This Row],[Amount]]/Table13[[#This Row],[Quantity]]</f>
        <v>300.66666666666669</v>
      </c>
    </row>
    <row r="700" spans="1:17" x14ac:dyDescent="0.3">
      <c r="A700" t="s">
        <v>799</v>
      </c>
      <c r="B700">
        <v>5412</v>
      </c>
      <c r="C700">
        <v>1192</v>
      </c>
      <c r="D700">
        <v>18</v>
      </c>
      <c r="E700" t="s">
        <v>45</v>
      </c>
      <c r="F700" t="s">
        <v>46</v>
      </c>
      <c r="G700" t="s">
        <v>47</v>
      </c>
      <c r="H700" s="1">
        <v>45660</v>
      </c>
      <c r="I700" t="s">
        <v>801</v>
      </c>
      <c r="J700" t="s">
        <v>42</v>
      </c>
      <c r="K700" t="s">
        <v>43</v>
      </c>
      <c r="L700" s="2" t="s">
        <v>308</v>
      </c>
      <c r="M700" t="str">
        <f>TEXT(Table13[[#This Row],[Order Date]],"MMM")</f>
        <v>Jan</v>
      </c>
      <c r="N700">
        <f>YEAR(Table13[[#This Row],[Order Date]])</f>
        <v>2025</v>
      </c>
      <c r="O700" t="str">
        <f>"Q"&amp;ROUNDUP(MONTH(Table13[[#This Row],[Order Date]])/3,0)</f>
        <v>Q1</v>
      </c>
      <c r="P700" s="5">
        <f>Table13[[#This Row],[Profit]]/Table13[[#This Row],[Amount]]</f>
        <v>0.22025129342202512</v>
      </c>
      <c r="Q700" s="6">
        <f>Table13[[#This Row],[Amount]]/Table13[[#This Row],[Quantity]]</f>
        <v>300.66666666666669</v>
      </c>
    </row>
    <row r="701" spans="1:17" x14ac:dyDescent="0.3">
      <c r="A701" t="s">
        <v>802</v>
      </c>
      <c r="B701">
        <v>1397</v>
      </c>
      <c r="C701">
        <v>686</v>
      </c>
      <c r="D701">
        <v>11</v>
      </c>
      <c r="E701" t="s">
        <v>45</v>
      </c>
      <c r="F701" t="s">
        <v>49</v>
      </c>
      <c r="G701" t="s">
        <v>47</v>
      </c>
      <c r="H701" s="1">
        <v>44537</v>
      </c>
      <c r="I701" t="s">
        <v>803</v>
      </c>
      <c r="J701" t="s">
        <v>25</v>
      </c>
      <c r="K701" t="s">
        <v>51</v>
      </c>
      <c r="L701" s="2" t="s">
        <v>90</v>
      </c>
      <c r="M701" t="str">
        <f>TEXT(Table13[[#This Row],[Order Date]],"MMM")</f>
        <v>Dec</v>
      </c>
      <c r="N701">
        <f>YEAR(Table13[[#This Row],[Order Date]])</f>
        <v>2021</v>
      </c>
      <c r="O701" t="str">
        <f>"Q"&amp;ROUNDUP(MONTH(Table13[[#This Row],[Order Date]])/3,0)</f>
        <v>Q4</v>
      </c>
      <c r="P701" s="5">
        <f>Table13[[#This Row],[Profit]]/Table13[[#This Row],[Amount]]</f>
        <v>0.49105225483178239</v>
      </c>
      <c r="Q701" s="6">
        <f>Table13[[#This Row],[Amount]]/Table13[[#This Row],[Quantity]]</f>
        <v>127</v>
      </c>
    </row>
    <row r="702" spans="1:17" x14ac:dyDescent="0.3">
      <c r="A702" t="s">
        <v>804</v>
      </c>
      <c r="B702">
        <v>9279</v>
      </c>
      <c r="C702">
        <v>552</v>
      </c>
      <c r="D702">
        <v>14</v>
      </c>
      <c r="E702" t="s">
        <v>45</v>
      </c>
      <c r="F702" t="s">
        <v>49</v>
      </c>
      <c r="G702" t="s">
        <v>40</v>
      </c>
      <c r="H702" s="1">
        <v>44544</v>
      </c>
      <c r="I702" t="s">
        <v>805</v>
      </c>
      <c r="J702" t="s">
        <v>25</v>
      </c>
      <c r="K702" t="s">
        <v>26</v>
      </c>
      <c r="L702" s="2" t="s">
        <v>90</v>
      </c>
      <c r="M702" t="str">
        <f>TEXT(Table13[[#This Row],[Order Date]],"MMM")</f>
        <v>Dec</v>
      </c>
      <c r="N702">
        <f>YEAR(Table13[[#This Row],[Order Date]])</f>
        <v>2021</v>
      </c>
      <c r="O702" t="str">
        <f>"Q"&amp;ROUNDUP(MONTH(Table13[[#This Row],[Order Date]])/3,0)</f>
        <v>Q4</v>
      </c>
      <c r="P702" s="5">
        <f>Table13[[#This Row],[Profit]]/Table13[[#This Row],[Amount]]</f>
        <v>5.948916909149693E-2</v>
      </c>
      <c r="Q702" s="6">
        <f>Table13[[#This Row],[Amount]]/Table13[[#This Row],[Quantity]]</f>
        <v>662.78571428571433</v>
      </c>
    </row>
    <row r="703" spans="1:17" x14ac:dyDescent="0.3">
      <c r="A703" t="s">
        <v>804</v>
      </c>
      <c r="B703">
        <v>9279</v>
      </c>
      <c r="C703">
        <v>552</v>
      </c>
      <c r="D703">
        <v>14</v>
      </c>
      <c r="E703" t="s">
        <v>45</v>
      </c>
      <c r="F703" t="s">
        <v>49</v>
      </c>
      <c r="G703" t="s">
        <v>40</v>
      </c>
      <c r="H703" s="1">
        <v>44165</v>
      </c>
      <c r="I703" t="s">
        <v>806</v>
      </c>
      <c r="J703" t="s">
        <v>42</v>
      </c>
      <c r="K703" t="s">
        <v>92</v>
      </c>
      <c r="L703" s="2" t="s">
        <v>80</v>
      </c>
      <c r="M703" t="str">
        <f>TEXT(Table13[[#This Row],[Order Date]],"MMM")</f>
        <v>Nov</v>
      </c>
      <c r="N703">
        <f>YEAR(Table13[[#This Row],[Order Date]])</f>
        <v>2020</v>
      </c>
      <c r="O703" t="str">
        <f>"Q"&amp;ROUNDUP(MONTH(Table13[[#This Row],[Order Date]])/3,0)</f>
        <v>Q4</v>
      </c>
      <c r="P703" s="5">
        <f>Table13[[#This Row],[Profit]]/Table13[[#This Row],[Amount]]</f>
        <v>5.948916909149693E-2</v>
      </c>
      <c r="Q703" s="6">
        <f>Table13[[#This Row],[Amount]]/Table13[[#This Row],[Quantity]]</f>
        <v>662.78571428571433</v>
      </c>
    </row>
    <row r="704" spans="1:17" x14ac:dyDescent="0.3">
      <c r="A704" t="s">
        <v>804</v>
      </c>
      <c r="B704">
        <v>2596</v>
      </c>
      <c r="C704">
        <v>1003</v>
      </c>
      <c r="D704">
        <v>19</v>
      </c>
      <c r="E704" t="s">
        <v>30</v>
      </c>
      <c r="F704" t="s">
        <v>64</v>
      </c>
      <c r="G704" t="s">
        <v>47</v>
      </c>
      <c r="H704" s="1">
        <v>44544</v>
      </c>
      <c r="I704" t="s">
        <v>805</v>
      </c>
      <c r="J704" t="s">
        <v>25</v>
      </c>
      <c r="K704" t="s">
        <v>26</v>
      </c>
      <c r="L704" s="2" t="s">
        <v>90</v>
      </c>
      <c r="M704" t="str">
        <f>TEXT(Table13[[#This Row],[Order Date]],"MMM")</f>
        <v>Dec</v>
      </c>
      <c r="N704">
        <f>YEAR(Table13[[#This Row],[Order Date]])</f>
        <v>2021</v>
      </c>
      <c r="O704" t="str">
        <f>"Q"&amp;ROUNDUP(MONTH(Table13[[#This Row],[Order Date]])/3,0)</f>
        <v>Q4</v>
      </c>
      <c r="P704" s="5">
        <f>Table13[[#This Row],[Profit]]/Table13[[#This Row],[Amount]]</f>
        <v>0.38636363636363635</v>
      </c>
      <c r="Q704" s="6">
        <f>Table13[[#This Row],[Amount]]/Table13[[#This Row],[Quantity]]</f>
        <v>136.63157894736841</v>
      </c>
    </row>
    <row r="705" spans="1:17" x14ac:dyDescent="0.3">
      <c r="A705" t="s">
        <v>804</v>
      </c>
      <c r="B705">
        <v>2596</v>
      </c>
      <c r="C705">
        <v>1003</v>
      </c>
      <c r="D705">
        <v>19</v>
      </c>
      <c r="E705" t="s">
        <v>30</v>
      </c>
      <c r="F705" t="s">
        <v>64</v>
      </c>
      <c r="G705" t="s">
        <v>47</v>
      </c>
      <c r="H705" s="1">
        <v>44165</v>
      </c>
      <c r="I705" t="s">
        <v>806</v>
      </c>
      <c r="J705" t="s">
        <v>42</v>
      </c>
      <c r="K705" t="s">
        <v>92</v>
      </c>
      <c r="L705" s="2" t="s">
        <v>80</v>
      </c>
      <c r="M705" t="str">
        <f>TEXT(Table13[[#This Row],[Order Date]],"MMM")</f>
        <v>Nov</v>
      </c>
      <c r="N705">
        <f>YEAR(Table13[[#This Row],[Order Date]])</f>
        <v>2020</v>
      </c>
      <c r="O705" t="str">
        <f>"Q"&amp;ROUNDUP(MONTH(Table13[[#This Row],[Order Date]])/3,0)</f>
        <v>Q4</v>
      </c>
      <c r="P705" s="5">
        <f>Table13[[#This Row],[Profit]]/Table13[[#This Row],[Amount]]</f>
        <v>0.38636363636363635</v>
      </c>
      <c r="Q705" s="6">
        <f>Table13[[#This Row],[Amount]]/Table13[[#This Row],[Quantity]]</f>
        <v>136.63157894736841</v>
      </c>
    </row>
    <row r="706" spans="1:17" x14ac:dyDescent="0.3">
      <c r="A706" t="s">
        <v>807</v>
      </c>
      <c r="B706">
        <v>6732</v>
      </c>
      <c r="C706">
        <v>911</v>
      </c>
      <c r="D706">
        <v>19</v>
      </c>
      <c r="E706" t="s">
        <v>45</v>
      </c>
      <c r="F706" t="s">
        <v>109</v>
      </c>
      <c r="G706" t="s">
        <v>40</v>
      </c>
      <c r="H706" s="1">
        <v>44559</v>
      </c>
      <c r="I706" t="s">
        <v>808</v>
      </c>
      <c r="J706" t="s">
        <v>25</v>
      </c>
      <c r="K706" t="s">
        <v>26</v>
      </c>
      <c r="L706" s="2" t="s">
        <v>90</v>
      </c>
      <c r="M706" t="str">
        <f>TEXT(Table13[[#This Row],[Order Date]],"MMM")</f>
        <v>Dec</v>
      </c>
      <c r="N706">
        <f>YEAR(Table13[[#This Row],[Order Date]])</f>
        <v>2021</v>
      </c>
      <c r="O706" t="str">
        <f>"Q"&amp;ROUNDUP(MONTH(Table13[[#This Row],[Order Date]])/3,0)</f>
        <v>Q4</v>
      </c>
      <c r="P706" s="5">
        <f>Table13[[#This Row],[Profit]]/Table13[[#This Row],[Amount]]</f>
        <v>0.13532382650029709</v>
      </c>
      <c r="Q706" s="6">
        <f>Table13[[#This Row],[Amount]]/Table13[[#This Row],[Quantity]]</f>
        <v>354.31578947368422</v>
      </c>
    </row>
    <row r="707" spans="1:17" x14ac:dyDescent="0.3">
      <c r="A707" t="s">
        <v>807</v>
      </c>
      <c r="B707">
        <v>4495</v>
      </c>
      <c r="C707">
        <v>1408</v>
      </c>
      <c r="D707">
        <v>14</v>
      </c>
      <c r="E707" t="s">
        <v>30</v>
      </c>
      <c r="F707" t="s">
        <v>31</v>
      </c>
      <c r="G707" t="s">
        <v>40</v>
      </c>
      <c r="H707" s="1">
        <v>44559</v>
      </c>
      <c r="I707" t="s">
        <v>808</v>
      </c>
      <c r="J707" t="s">
        <v>25</v>
      </c>
      <c r="K707" t="s">
        <v>26</v>
      </c>
      <c r="L707" s="2" t="s">
        <v>90</v>
      </c>
      <c r="M707" t="str">
        <f>TEXT(Table13[[#This Row],[Order Date]],"MMM")</f>
        <v>Dec</v>
      </c>
      <c r="N707">
        <f>YEAR(Table13[[#This Row],[Order Date]])</f>
        <v>2021</v>
      </c>
      <c r="O707" t="str">
        <f>"Q"&amp;ROUNDUP(MONTH(Table13[[#This Row],[Order Date]])/3,0)</f>
        <v>Q4</v>
      </c>
      <c r="P707" s="5">
        <f>Table13[[#This Row],[Profit]]/Table13[[#This Row],[Amount]]</f>
        <v>0.3132369299221357</v>
      </c>
      <c r="Q707" s="6">
        <f>Table13[[#This Row],[Amount]]/Table13[[#This Row],[Quantity]]</f>
        <v>321.07142857142856</v>
      </c>
    </row>
    <row r="708" spans="1:17" x14ac:dyDescent="0.3">
      <c r="A708" t="s">
        <v>809</v>
      </c>
      <c r="B708">
        <v>9653</v>
      </c>
      <c r="C708">
        <v>2471</v>
      </c>
      <c r="D708">
        <v>6</v>
      </c>
      <c r="E708" t="s">
        <v>30</v>
      </c>
      <c r="F708" t="s">
        <v>64</v>
      </c>
      <c r="G708" t="s">
        <v>15</v>
      </c>
      <c r="H708" s="1">
        <v>45481</v>
      </c>
      <c r="I708" t="s">
        <v>810</v>
      </c>
      <c r="J708" t="s">
        <v>25</v>
      </c>
      <c r="K708" t="s">
        <v>26</v>
      </c>
      <c r="L708" s="2" t="s">
        <v>215</v>
      </c>
      <c r="M708" t="str">
        <f>TEXT(Table13[[#This Row],[Order Date]],"MMM")</f>
        <v>Jul</v>
      </c>
      <c r="N708">
        <f>YEAR(Table13[[#This Row],[Order Date]])</f>
        <v>2024</v>
      </c>
      <c r="O708" t="str">
        <f>"Q"&amp;ROUNDUP(MONTH(Table13[[#This Row],[Order Date]])/3,0)</f>
        <v>Q3</v>
      </c>
      <c r="P708" s="5">
        <f>Table13[[#This Row],[Profit]]/Table13[[#This Row],[Amount]]</f>
        <v>0.25598259608411894</v>
      </c>
      <c r="Q708" s="6">
        <f>Table13[[#This Row],[Amount]]/Table13[[#This Row],[Quantity]]</f>
        <v>1608.8333333333333</v>
      </c>
    </row>
    <row r="709" spans="1:17" x14ac:dyDescent="0.3">
      <c r="A709" t="s">
        <v>811</v>
      </c>
      <c r="B709">
        <v>8945</v>
      </c>
      <c r="C709">
        <v>1728</v>
      </c>
      <c r="D709">
        <v>10</v>
      </c>
      <c r="E709" t="s">
        <v>45</v>
      </c>
      <c r="F709" t="s">
        <v>46</v>
      </c>
      <c r="G709" t="s">
        <v>15</v>
      </c>
      <c r="H709" s="1">
        <v>44237</v>
      </c>
      <c r="I709" t="s">
        <v>812</v>
      </c>
      <c r="J709" t="s">
        <v>21</v>
      </c>
      <c r="K709" t="s">
        <v>172</v>
      </c>
      <c r="L709" s="2" t="s">
        <v>292</v>
      </c>
      <c r="M709" t="str">
        <f>TEXT(Table13[[#This Row],[Order Date]],"MMM")</f>
        <v>Feb</v>
      </c>
      <c r="N709">
        <f>YEAR(Table13[[#This Row],[Order Date]])</f>
        <v>2021</v>
      </c>
      <c r="O709" t="str">
        <f>"Q"&amp;ROUNDUP(MONTH(Table13[[#This Row],[Order Date]])/3,0)</f>
        <v>Q1</v>
      </c>
      <c r="P709" s="5">
        <f>Table13[[#This Row],[Profit]]/Table13[[#This Row],[Amount]]</f>
        <v>0.19318054779206262</v>
      </c>
      <c r="Q709" s="6">
        <f>Table13[[#This Row],[Amount]]/Table13[[#This Row],[Quantity]]</f>
        <v>894.5</v>
      </c>
    </row>
    <row r="710" spans="1:17" x14ac:dyDescent="0.3">
      <c r="A710" t="s">
        <v>813</v>
      </c>
      <c r="B710">
        <v>4007</v>
      </c>
      <c r="C710">
        <v>201</v>
      </c>
      <c r="D710">
        <v>13</v>
      </c>
      <c r="E710" t="s">
        <v>45</v>
      </c>
      <c r="F710" t="s">
        <v>109</v>
      </c>
      <c r="G710" t="s">
        <v>65</v>
      </c>
      <c r="H710" s="1">
        <v>44125</v>
      </c>
      <c r="I710" t="s">
        <v>814</v>
      </c>
      <c r="J710" t="s">
        <v>98</v>
      </c>
      <c r="K710" t="s">
        <v>99</v>
      </c>
      <c r="L710" s="2" t="s">
        <v>119</v>
      </c>
      <c r="M710" t="str">
        <f>TEXT(Table13[[#This Row],[Order Date]],"MMM")</f>
        <v>Oct</v>
      </c>
      <c r="N710">
        <f>YEAR(Table13[[#This Row],[Order Date]])</f>
        <v>2020</v>
      </c>
      <c r="O710" t="str">
        <f>"Q"&amp;ROUNDUP(MONTH(Table13[[#This Row],[Order Date]])/3,0)</f>
        <v>Q4</v>
      </c>
      <c r="P710" s="5">
        <f>Table13[[#This Row],[Profit]]/Table13[[#This Row],[Amount]]</f>
        <v>5.0162216121786875E-2</v>
      </c>
      <c r="Q710" s="6">
        <f>Table13[[#This Row],[Amount]]/Table13[[#This Row],[Quantity]]</f>
        <v>308.23076923076923</v>
      </c>
    </row>
    <row r="711" spans="1:17" x14ac:dyDescent="0.3">
      <c r="A711" t="s">
        <v>813</v>
      </c>
      <c r="B711">
        <v>4007</v>
      </c>
      <c r="C711">
        <v>201</v>
      </c>
      <c r="D711">
        <v>13</v>
      </c>
      <c r="E711" t="s">
        <v>45</v>
      </c>
      <c r="F711" t="s">
        <v>109</v>
      </c>
      <c r="G711" t="s">
        <v>65</v>
      </c>
      <c r="H711" s="1">
        <v>45033</v>
      </c>
      <c r="I711" t="s">
        <v>815</v>
      </c>
      <c r="J711" t="s">
        <v>71</v>
      </c>
      <c r="K711" t="s">
        <v>72</v>
      </c>
      <c r="L711" s="2" t="s">
        <v>145</v>
      </c>
      <c r="M711" t="str">
        <f>TEXT(Table13[[#This Row],[Order Date]],"MMM")</f>
        <v>Apr</v>
      </c>
      <c r="N711">
        <f>YEAR(Table13[[#This Row],[Order Date]])</f>
        <v>2023</v>
      </c>
      <c r="O711" t="str">
        <f>"Q"&amp;ROUNDUP(MONTH(Table13[[#This Row],[Order Date]])/3,0)</f>
        <v>Q2</v>
      </c>
      <c r="P711" s="5">
        <f>Table13[[#This Row],[Profit]]/Table13[[#This Row],[Amount]]</f>
        <v>5.0162216121786875E-2</v>
      </c>
      <c r="Q711" s="6">
        <f>Table13[[#This Row],[Amount]]/Table13[[#This Row],[Quantity]]</f>
        <v>308.23076923076923</v>
      </c>
    </row>
    <row r="712" spans="1:17" x14ac:dyDescent="0.3">
      <c r="A712" t="s">
        <v>816</v>
      </c>
      <c r="B712">
        <v>810</v>
      </c>
      <c r="C712">
        <v>231</v>
      </c>
      <c r="D712">
        <v>18</v>
      </c>
      <c r="E712" t="s">
        <v>45</v>
      </c>
      <c r="F712" t="s">
        <v>109</v>
      </c>
      <c r="G712" t="s">
        <v>40</v>
      </c>
      <c r="H712" s="1">
        <v>44125</v>
      </c>
      <c r="I712" t="s">
        <v>817</v>
      </c>
      <c r="J712" t="s">
        <v>17</v>
      </c>
      <c r="K712" t="s">
        <v>150</v>
      </c>
      <c r="L712" s="2" t="s">
        <v>119</v>
      </c>
      <c r="M712" t="str">
        <f>TEXT(Table13[[#This Row],[Order Date]],"MMM")</f>
        <v>Oct</v>
      </c>
      <c r="N712">
        <f>YEAR(Table13[[#This Row],[Order Date]])</f>
        <v>2020</v>
      </c>
      <c r="O712" t="str">
        <f>"Q"&amp;ROUNDUP(MONTH(Table13[[#This Row],[Order Date]])/3,0)</f>
        <v>Q4</v>
      </c>
      <c r="P712" s="5">
        <f>Table13[[#This Row],[Profit]]/Table13[[#This Row],[Amount]]</f>
        <v>0.28518518518518521</v>
      </c>
      <c r="Q712" s="6">
        <f>Table13[[#This Row],[Amount]]/Table13[[#This Row],[Quantity]]</f>
        <v>45</v>
      </c>
    </row>
    <row r="713" spans="1:17" x14ac:dyDescent="0.3">
      <c r="A713" t="s">
        <v>818</v>
      </c>
      <c r="B713">
        <v>9789</v>
      </c>
      <c r="C713">
        <v>2071</v>
      </c>
      <c r="D713">
        <v>18</v>
      </c>
      <c r="E713" t="s">
        <v>45</v>
      </c>
      <c r="F713" t="s">
        <v>109</v>
      </c>
      <c r="G713" t="s">
        <v>32</v>
      </c>
      <c r="H713" s="1">
        <v>45288</v>
      </c>
      <c r="I713" t="s">
        <v>819</v>
      </c>
      <c r="J713" t="s">
        <v>25</v>
      </c>
      <c r="K713" t="s">
        <v>68</v>
      </c>
      <c r="L713" s="2" t="s">
        <v>102</v>
      </c>
      <c r="M713" t="str">
        <f>TEXT(Table13[[#This Row],[Order Date]],"MMM")</f>
        <v>Dec</v>
      </c>
      <c r="N713">
        <f>YEAR(Table13[[#This Row],[Order Date]])</f>
        <v>2023</v>
      </c>
      <c r="O713" t="str">
        <f>"Q"&amp;ROUNDUP(MONTH(Table13[[#This Row],[Order Date]])/3,0)</f>
        <v>Q4</v>
      </c>
      <c r="P713" s="5">
        <f>Table13[[#This Row],[Profit]]/Table13[[#This Row],[Amount]]</f>
        <v>0.21156400040862192</v>
      </c>
      <c r="Q713" s="6">
        <f>Table13[[#This Row],[Amount]]/Table13[[#This Row],[Quantity]]</f>
        <v>543.83333333333337</v>
      </c>
    </row>
    <row r="714" spans="1:17" x14ac:dyDescent="0.3">
      <c r="A714" t="s">
        <v>818</v>
      </c>
      <c r="B714">
        <v>9229</v>
      </c>
      <c r="C714">
        <v>4090</v>
      </c>
      <c r="D714">
        <v>8</v>
      </c>
      <c r="E714" t="s">
        <v>13</v>
      </c>
      <c r="F714" t="s">
        <v>14</v>
      </c>
      <c r="G714" t="s">
        <v>65</v>
      </c>
      <c r="H714" s="1">
        <v>45288</v>
      </c>
      <c r="I714" t="s">
        <v>819</v>
      </c>
      <c r="J714" t="s">
        <v>25</v>
      </c>
      <c r="K714" t="s">
        <v>68</v>
      </c>
      <c r="L714" s="2" t="s">
        <v>102</v>
      </c>
      <c r="M714" t="str">
        <f>TEXT(Table13[[#This Row],[Order Date]],"MMM")</f>
        <v>Dec</v>
      </c>
      <c r="N714">
        <f>YEAR(Table13[[#This Row],[Order Date]])</f>
        <v>2023</v>
      </c>
      <c r="O714" t="str">
        <f>"Q"&amp;ROUNDUP(MONTH(Table13[[#This Row],[Order Date]])/3,0)</f>
        <v>Q4</v>
      </c>
      <c r="P714" s="5">
        <f>Table13[[#This Row],[Profit]]/Table13[[#This Row],[Amount]]</f>
        <v>0.44316827391916785</v>
      </c>
      <c r="Q714" s="6">
        <f>Table13[[#This Row],[Amount]]/Table13[[#This Row],[Quantity]]</f>
        <v>1153.625</v>
      </c>
    </row>
    <row r="715" spans="1:17" x14ac:dyDescent="0.3">
      <c r="A715" t="s">
        <v>820</v>
      </c>
      <c r="B715">
        <v>8141</v>
      </c>
      <c r="C715">
        <v>3968</v>
      </c>
      <c r="D715">
        <v>18</v>
      </c>
      <c r="E715" t="s">
        <v>30</v>
      </c>
      <c r="F715" t="s">
        <v>57</v>
      </c>
      <c r="G715" t="s">
        <v>32</v>
      </c>
      <c r="H715" s="1">
        <v>44918</v>
      </c>
      <c r="I715" t="s">
        <v>821</v>
      </c>
      <c r="J715" t="s">
        <v>25</v>
      </c>
      <c r="K715" t="s">
        <v>68</v>
      </c>
      <c r="L715" s="2" t="s">
        <v>152</v>
      </c>
      <c r="M715" t="str">
        <f>TEXT(Table13[[#This Row],[Order Date]],"MMM")</f>
        <v>Dec</v>
      </c>
      <c r="N715">
        <f>YEAR(Table13[[#This Row],[Order Date]])</f>
        <v>2022</v>
      </c>
      <c r="O715" t="str">
        <f>"Q"&amp;ROUNDUP(MONTH(Table13[[#This Row],[Order Date]])/3,0)</f>
        <v>Q4</v>
      </c>
      <c r="P715" s="5">
        <f>Table13[[#This Row],[Profit]]/Table13[[#This Row],[Amount]]</f>
        <v>0.4874094091634934</v>
      </c>
      <c r="Q715" s="6">
        <f>Table13[[#This Row],[Amount]]/Table13[[#This Row],[Quantity]]</f>
        <v>452.27777777777777</v>
      </c>
    </row>
    <row r="716" spans="1:17" x14ac:dyDescent="0.3">
      <c r="A716" t="s">
        <v>820</v>
      </c>
      <c r="B716">
        <v>8141</v>
      </c>
      <c r="C716">
        <v>3968</v>
      </c>
      <c r="D716">
        <v>18</v>
      </c>
      <c r="E716" t="s">
        <v>30</v>
      </c>
      <c r="F716" t="s">
        <v>57</v>
      </c>
      <c r="G716" t="s">
        <v>32</v>
      </c>
      <c r="H716" s="1">
        <v>44783</v>
      </c>
      <c r="I716" t="s">
        <v>822</v>
      </c>
      <c r="J716" t="s">
        <v>21</v>
      </c>
      <c r="K716" t="s">
        <v>172</v>
      </c>
      <c r="L716" s="2" t="s">
        <v>209</v>
      </c>
      <c r="M716" t="str">
        <f>TEXT(Table13[[#This Row],[Order Date]],"MMM")</f>
        <v>Aug</v>
      </c>
      <c r="N716">
        <f>YEAR(Table13[[#This Row],[Order Date]])</f>
        <v>2022</v>
      </c>
      <c r="O716" t="str">
        <f>"Q"&amp;ROUNDUP(MONTH(Table13[[#This Row],[Order Date]])/3,0)</f>
        <v>Q3</v>
      </c>
      <c r="P716" s="5">
        <f>Table13[[#This Row],[Profit]]/Table13[[#This Row],[Amount]]</f>
        <v>0.4874094091634934</v>
      </c>
      <c r="Q716" s="6">
        <f>Table13[[#This Row],[Amount]]/Table13[[#This Row],[Quantity]]</f>
        <v>452.27777777777777</v>
      </c>
    </row>
    <row r="717" spans="1:17" x14ac:dyDescent="0.3">
      <c r="A717" t="s">
        <v>820</v>
      </c>
      <c r="B717">
        <v>1067</v>
      </c>
      <c r="C717">
        <v>251</v>
      </c>
      <c r="D717">
        <v>14</v>
      </c>
      <c r="E717" t="s">
        <v>45</v>
      </c>
      <c r="F717" t="s">
        <v>60</v>
      </c>
      <c r="G717" t="s">
        <v>40</v>
      </c>
      <c r="H717" s="1">
        <v>44918</v>
      </c>
      <c r="I717" t="s">
        <v>821</v>
      </c>
      <c r="J717" t="s">
        <v>25</v>
      </c>
      <c r="K717" t="s">
        <v>68</v>
      </c>
      <c r="L717" s="2" t="s">
        <v>152</v>
      </c>
      <c r="M717" t="str">
        <f>TEXT(Table13[[#This Row],[Order Date]],"MMM")</f>
        <v>Dec</v>
      </c>
      <c r="N717">
        <f>YEAR(Table13[[#This Row],[Order Date]])</f>
        <v>2022</v>
      </c>
      <c r="O717" t="str">
        <f>"Q"&amp;ROUNDUP(MONTH(Table13[[#This Row],[Order Date]])/3,0)</f>
        <v>Q4</v>
      </c>
      <c r="P717" s="5">
        <f>Table13[[#This Row],[Profit]]/Table13[[#This Row],[Amount]]</f>
        <v>0.23523898781630739</v>
      </c>
      <c r="Q717" s="6">
        <f>Table13[[#This Row],[Amount]]/Table13[[#This Row],[Quantity]]</f>
        <v>76.214285714285708</v>
      </c>
    </row>
    <row r="718" spans="1:17" x14ac:dyDescent="0.3">
      <c r="A718" t="s">
        <v>820</v>
      </c>
      <c r="B718">
        <v>1067</v>
      </c>
      <c r="C718">
        <v>251</v>
      </c>
      <c r="D718">
        <v>14</v>
      </c>
      <c r="E718" t="s">
        <v>45</v>
      </c>
      <c r="F718" t="s">
        <v>60</v>
      </c>
      <c r="G718" t="s">
        <v>40</v>
      </c>
      <c r="H718" s="1">
        <v>44783</v>
      </c>
      <c r="I718" t="s">
        <v>822</v>
      </c>
      <c r="J718" t="s">
        <v>21</v>
      </c>
      <c r="K718" t="s">
        <v>172</v>
      </c>
      <c r="L718" s="2" t="s">
        <v>209</v>
      </c>
      <c r="M718" t="str">
        <f>TEXT(Table13[[#This Row],[Order Date]],"MMM")</f>
        <v>Aug</v>
      </c>
      <c r="N718">
        <f>YEAR(Table13[[#This Row],[Order Date]])</f>
        <v>2022</v>
      </c>
      <c r="O718" t="str">
        <f>"Q"&amp;ROUNDUP(MONTH(Table13[[#This Row],[Order Date]])/3,0)</f>
        <v>Q3</v>
      </c>
      <c r="P718" s="5">
        <f>Table13[[#This Row],[Profit]]/Table13[[#This Row],[Amount]]</f>
        <v>0.23523898781630739</v>
      </c>
      <c r="Q718" s="6">
        <f>Table13[[#This Row],[Amount]]/Table13[[#This Row],[Quantity]]</f>
        <v>76.214285714285708</v>
      </c>
    </row>
    <row r="719" spans="1:17" x14ac:dyDescent="0.3">
      <c r="A719" t="s">
        <v>823</v>
      </c>
      <c r="B719">
        <v>3839</v>
      </c>
      <c r="C719">
        <v>1415</v>
      </c>
      <c r="D719">
        <v>10</v>
      </c>
      <c r="E719" t="s">
        <v>30</v>
      </c>
      <c r="F719" t="s">
        <v>78</v>
      </c>
      <c r="G719" t="s">
        <v>15</v>
      </c>
      <c r="H719" s="1">
        <v>45216</v>
      </c>
      <c r="I719" t="s">
        <v>824</v>
      </c>
      <c r="J719" t="s">
        <v>42</v>
      </c>
      <c r="K719" t="s">
        <v>43</v>
      </c>
      <c r="L719" s="2" t="s">
        <v>442</v>
      </c>
      <c r="M719" t="str">
        <f>TEXT(Table13[[#This Row],[Order Date]],"MMM")</f>
        <v>Oct</v>
      </c>
      <c r="N719">
        <f>YEAR(Table13[[#This Row],[Order Date]])</f>
        <v>2023</v>
      </c>
      <c r="O719" t="str">
        <f>"Q"&amp;ROUNDUP(MONTH(Table13[[#This Row],[Order Date]])/3,0)</f>
        <v>Q4</v>
      </c>
      <c r="P719" s="5">
        <f>Table13[[#This Row],[Profit]]/Table13[[#This Row],[Amount]]</f>
        <v>0.36858556915863505</v>
      </c>
      <c r="Q719" s="6">
        <f>Table13[[#This Row],[Amount]]/Table13[[#This Row],[Quantity]]</f>
        <v>383.9</v>
      </c>
    </row>
    <row r="720" spans="1:17" x14ac:dyDescent="0.3">
      <c r="A720" t="s">
        <v>823</v>
      </c>
      <c r="B720">
        <v>3839</v>
      </c>
      <c r="C720">
        <v>1415</v>
      </c>
      <c r="D720">
        <v>10</v>
      </c>
      <c r="E720" t="s">
        <v>30</v>
      </c>
      <c r="F720" t="s">
        <v>78</v>
      </c>
      <c r="G720" t="s">
        <v>15</v>
      </c>
      <c r="H720" s="1">
        <v>44620</v>
      </c>
      <c r="I720" t="s">
        <v>825</v>
      </c>
      <c r="J720" t="s">
        <v>17</v>
      </c>
      <c r="K720" t="s">
        <v>34</v>
      </c>
      <c r="L720" s="2" t="s">
        <v>137</v>
      </c>
      <c r="M720" t="str">
        <f>TEXT(Table13[[#This Row],[Order Date]],"MMM")</f>
        <v>Feb</v>
      </c>
      <c r="N720">
        <f>YEAR(Table13[[#This Row],[Order Date]])</f>
        <v>2022</v>
      </c>
      <c r="O720" t="str">
        <f>"Q"&amp;ROUNDUP(MONTH(Table13[[#This Row],[Order Date]])/3,0)</f>
        <v>Q1</v>
      </c>
      <c r="P720" s="5">
        <f>Table13[[#This Row],[Profit]]/Table13[[#This Row],[Amount]]</f>
        <v>0.36858556915863505</v>
      </c>
      <c r="Q720" s="6">
        <f>Table13[[#This Row],[Amount]]/Table13[[#This Row],[Quantity]]</f>
        <v>383.9</v>
      </c>
    </row>
    <row r="721" spans="1:17" x14ac:dyDescent="0.3">
      <c r="A721" t="s">
        <v>826</v>
      </c>
      <c r="B721">
        <v>2858</v>
      </c>
      <c r="C721">
        <v>482</v>
      </c>
      <c r="D721">
        <v>13</v>
      </c>
      <c r="E721" t="s">
        <v>13</v>
      </c>
      <c r="F721" t="s">
        <v>14</v>
      </c>
      <c r="G721" t="s">
        <v>65</v>
      </c>
      <c r="H721" s="1">
        <v>45436</v>
      </c>
      <c r="I721" t="s">
        <v>827</v>
      </c>
      <c r="J721" t="s">
        <v>71</v>
      </c>
      <c r="K721" t="s">
        <v>86</v>
      </c>
      <c r="L721" s="2" t="s">
        <v>35</v>
      </c>
      <c r="M721" t="str">
        <f>TEXT(Table13[[#This Row],[Order Date]],"MMM")</f>
        <v>May</v>
      </c>
      <c r="N721">
        <f>YEAR(Table13[[#This Row],[Order Date]])</f>
        <v>2024</v>
      </c>
      <c r="O721" t="str">
        <f>"Q"&amp;ROUNDUP(MONTH(Table13[[#This Row],[Order Date]])/3,0)</f>
        <v>Q2</v>
      </c>
      <c r="P721" s="5">
        <f>Table13[[#This Row],[Profit]]/Table13[[#This Row],[Amount]]</f>
        <v>0.16864940517844645</v>
      </c>
      <c r="Q721" s="6">
        <f>Table13[[#This Row],[Amount]]/Table13[[#This Row],[Quantity]]</f>
        <v>219.84615384615384</v>
      </c>
    </row>
    <row r="722" spans="1:17" x14ac:dyDescent="0.3">
      <c r="A722" t="s">
        <v>828</v>
      </c>
      <c r="B722">
        <v>2137</v>
      </c>
      <c r="C722">
        <v>638</v>
      </c>
      <c r="D722">
        <v>12</v>
      </c>
      <c r="E722" t="s">
        <v>45</v>
      </c>
      <c r="F722" t="s">
        <v>109</v>
      </c>
      <c r="G722" t="s">
        <v>32</v>
      </c>
      <c r="H722" s="1">
        <v>44106</v>
      </c>
      <c r="I722" t="s">
        <v>829</v>
      </c>
      <c r="J722" t="s">
        <v>25</v>
      </c>
      <c r="K722" t="s">
        <v>51</v>
      </c>
      <c r="L722" s="2" t="s">
        <v>119</v>
      </c>
      <c r="M722" t="str">
        <f>TEXT(Table13[[#This Row],[Order Date]],"MMM")</f>
        <v>Oct</v>
      </c>
      <c r="N722">
        <f>YEAR(Table13[[#This Row],[Order Date]])</f>
        <v>2020</v>
      </c>
      <c r="O722" t="str">
        <f>"Q"&amp;ROUNDUP(MONTH(Table13[[#This Row],[Order Date]])/3,0)</f>
        <v>Q4</v>
      </c>
      <c r="P722" s="5">
        <f>Table13[[#This Row],[Profit]]/Table13[[#This Row],[Amount]]</f>
        <v>0.29854936827328032</v>
      </c>
      <c r="Q722" s="6">
        <f>Table13[[#This Row],[Amount]]/Table13[[#This Row],[Quantity]]</f>
        <v>178.08333333333334</v>
      </c>
    </row>
    <row r="723" spans="1:17" x14ac:dyDescent="0.3">
      <c r="A723" t="s">
        <v>828</v>
      </c>
      <c r="B723">
        <v>2831</v>
      </c>
      <c r="C723">
        <v>1289</v>
      </c>
      <c r="D723">
        <v>12</v>
      </c>
      <c r="E723" t="s">
        <v>45</v>
      </c>
      <c r="F723" t="s">
        <v>49</v>
      </c>
      <c r="G723" t="s">
        <v>32</v>
      </c>
      <c r="H723" s="1">
        <v>44106</v>
      </c>
      <c r="I723" t="s">
        <v>829</v>
      </c>
      <c r="J723" t="s">
        <v>25</v>
      </c>
      <c r="K723" t="s">
        <v>51</v>
      </c>
      <c r="L723" s="2" t="s">
        <v>119</v>
      </c>
      <c r="M723" t="str">
        <f>TEXT(Table13[[#This Row],[Order Date]],"MMM")</f>
        <v>Oct</v>
      </c>
      <c r="N723">
        <f>YEAR(Table13[[#This Row],[Order Date]])</f>
        <v>2020</v>
      </c>
      <c r="O723" t="str">
        <f>"Q"&amp;ROUNDUP(MONTH(Table13[[#This Row],[Order Date]])/3,0)</f>
        <v>Q4</v>
      </c>
      <c r="P723" s="5">
        <f>Table13[[#This Row],[Profit]]/Table13[[#This Row],[Amount]]</f>
        <v>0.45531614270575771</v>
      </c>
      <c r="Q723" s="6">
        <f>Table13[[#This Row],[Amount]]/Table13[[#This Row],[Quantity]]</f>
        <v>235.91666666666666</v>
      </c>
    </row>
    <row r="724" spans="1:17" x14ac:dyDescent="0.3">
      <c r="A724" t="s">
        <v>830</v>
      </c>
      <c r="B724">
        <v>3913</v>
      </c>
      <c r="C724">
        <v>961</v>
      </c>
      <c r="D724">
        <v>15</v>
      </c>
      <c r="E724" t="s">
        <v>45</v>
      </c>
      <c r="F724" t="s">
        <v>60</v>
      </c>
      <c r="G724" t="s">
        <v>15</v>
      </c>
      <c r="H724" s="1">
        <v>45332</v>
      </c>
      <c r="I724" t="s">
        <v>831</v>
      </c>
      <c r="J724" t="s">
        <v>98</v>
      </c>
      <c r="K724" t="s">
        <v>99</v>
      </c>
      <c r="L724" s="2" t="s">
        <v>218</v>
      </c>
      <c r="M724" t="str">
        <f>TEXT(Table13[[#This Row],[Order Date]],"MMM")</f>
        <v>Feb</v>
      </c>
      <c r="N724">
        <f>YEAR(Table13[[#This Row],[Order Date]])</f>
        <v>2024</v>
      </c>
      <c r="O724" t="str">
        <f>"Q"&amp;ROUNDUP(MONTH(Table13[[#This Row],[Order Date]])/3,0)</f>
        <v>Q1</v>
      </c>
      <c r="P724" s="5">
        <f>Table13[[#This Row],[Profit]]/Table13[[#This Row],[Amount]]</f>
        <v>0.24559161768464094</v>
      </c>
      <c r="Q724" s="6">
        <f>Table13[[#This Row],[Amount]]/Table13[[#This Row],[Quantity]]</f>
        <v>260.86666666666667</v>
      </c>
    </row>
    <row r="725" spans="1:17" x14ac:dyDescent="0.3">
      <c r="A725" t="s">
        <v>830</v>
      </c>
      <c r="B725">
        <v>3913</v>
      </c>
      <c r="C725">
        <v>961</v>
      </c>
      <c r="D725">
        <v>15</v>
      </c>
      <c r="E725" t="s">
        <v>45</v>
      </c>
      <c r="F725" t="s">
        <v>60</v>
      </c>
      <c r="G725" t="s">
        <v>15</v>
      </c>
      <c r="H725" s="1">
        <v>44233</v>
      </c>
      <c r="I725" t="s">
        <v>832</v>
      </c>
      <c r="J725" t="s">
        <v>42</v>
      </c>
      <c r="K725" t="s">
        <v>92</v>
      </c>
      <c r="L725" s="2" t="s">
        <v>292</v>
      </c>
      <c r="M725" t="str">
        <f>TEXT(Table13[[#This Row],[Order Date]],"MMM")</f>
        <v>Feb</v>
      </c>
      <c r="N725">
        <f>YEAR(Table13[[#This Row],[Order Date]])</f>
        <v>2021</v>
      </c>
      <c r="O725" t="str">
        <f>"Q"&amp;ROUNDUP(MONTH(Table13[[#This Row],[Order Date]])/3,0)</f>
        <v>Q1</v>
      </c>
      <c r="P725" s="5">
        <f>Table13[[#This Row],[Profit]]/Table13[[#This Row],[Amount]]</f>
        <v>0.24559161768464094</v>
      </c>
      <c r="Q725" s="6">
        <f>Table13[[#This Row],[Amount]]/Table13[[#This Row],[Quantity]]</f>
        <v>260.86666666666667</v>
      </c>
    </row>
    <row r="726" spans="1:17" x14ac:dyDescent="0.3">
      <c r="A726" t="s">
        <v>833</v>
      </c>
      <c r="B726">
        <v>4468</v>
      </c>
      <c r="C726">
        <v>1940</v>
      </c>
      <c r="D726">
        <v>9</v>
      </c>
      <c r="E726" t="s">
        <v>30</v>
      </c>
      <c r="F726" t="s">
        <v>64</v>
      </c>
      <c r="G726" t="s">
        <v>65</v>
      </c>
      <c r="H726" s="1">
        <v>44636</v>
      </c>
      <c r="I726" t="s">
        <v>834</v>
      </c>
      <c r="J726" t="s">
        <v>17</v>
      </c>
      <c r="K726" t="s">
        <v>150</v>
      </c>
      <c r="L726" s="2" t="s">
        <v>134</v>
      </c>
      <c r="M726" t="str">
        <f>TEXT(Table13[[#This Row],[Order Date]],"MMM")</f>
        <v>Mar</v>
      </c>
      <c r="N726">
        <f>YEAR(Table13[[#This Row],[Order Date]])</f>
        <v>2022</v>
      </c>
      <c r="O726" t="str">
        <f>"Q"&amp;ROUNDUP(MONTH(Table13[[#This Row],[Order Date]])/3,0)</f>
        <v>Q1</v>
      </c>
      <c r="P726" s="5">
        <f>Table13[[#This Row],[Profit]]/Table13[[#This Row],[Amount]]</f>
        <v>0.43419874664279318</v>
      </c>
      <c r="Q726" s="6">
        <f>Table13[[#This Row],[Amount]]/Table13[[#This Row],[Quantity]]</f>
        <v>496.44444444444446</v>
      </c>
    </row>
    <row r="727" spans="1:17" x14ac:dyDescent="0.3">
      <c r="A727" t="s">
        <v>835</v>
      </c>
      <c r="B727">
        <v>1579</v>
      </c>
      <c r="C727">
        <v>602</v>
      </c>
      <c r="D727">
        <v>9</v>
      </c>
      <c r="E727" t="s">
        <v>13</v>
      </c>
      <c r="F727" t="s">
        <v>39</v>
      </c>
      <c r="G727" t="s">
        <v>47</v>
      </c>
      <c r="H727" s="1">
        <v>43975</v>
      </c>
      <c r="I727" t="s">
        <v>836</v>
      </c>
      <c r="J727" t="s">
        <v>98</v>
      </c>
      <c r="K727" t="s">
        <v>107</v>
      </c>
      <c r="L727" s="2" t="s">
        <v>59</v>
      </c>
      <c r="M727" t="str">
        <f>TEXT(Table13[[#This Row],[Order Date]],"MMM")</f>
        <v>May</v>
      </c>
      <c r="N727">
        <f>YEAR(Table13[[#This Row],[Order Date]])</f>
        <v>2020</v>
      </c>
      <c r="O727" t="str">
        <f>"Q"&amp;ROUNDUP(MONTH(Table13[[#This Row],[Order Date]])/3,0)</f>
        <v>Q2</v>
      </c>
      <c r="P727" s="5">
        <f>Table13[[#This Row],[Profit]]/Table13[[#This Row],[Amount]]</f>
        <v>0.38125395820139329</v>
      </c>
      <c r="Q727" s="6">
        <f>Table13[[#This Row],[Amount]]/Table13[[#This Row],[Quantity]]</f>
        <v>175.44444444444446</v>
      </c>
    </row>
    <row r="728" spans="1:17" x14ac:dyDescent="0.3">
      <c r="A728" t="s">
        <v>835</v>
      </c>
      <c r="B728">
        <v>1579</v>
      </c>
      <c r="C728">
        <v>602</v>
      </c>
      <c r="D728">
        <v>9</v>
      </c>
      <c r="E728" t="s">
        <v>13</v>
      </c>
      <c r="F728" t="s">
        <v>39</v>
      </c>
      <c r="G728" t="s">
        <v>47</v>
      </c>
      <c r="H728" s="1">
        <v>45704</v>
      </c>
      <c r="I728" t="s">
        <v>837</v>
      </c>
      <c r="J728" t="s">
        <v>71</v>
      </c>
      <c r="K728" t="s">
        <v>72</v>
      </c>
      <c r="L728" s="2" t="s">
        <v>73</v>
      </c>
      <c r="M728" t="str">
        <f>TEXT(Table13[[#This Row],[Order Date]],"MMM")</f>
        <v>Feb</v>
      </c>
      <c r="N728">
        <f>YEAR(Table13[[#This Row],[Order Date]])</f>
        <v>2025</v>
      </c>
      <c r="O728" t="str">
        <f>"Q"&amp;ROUNDUP(MONTH(Table13[[#This Row],[Order Date]])/3,0)</f>
        <v>Q1</v>
      </c>
      <c r="P728" s="5">
        <f>Table13[[#This Row],[Profit]]/Table13[[#This Row],[Amount]]</f>
        <v>0.38125395820139329</v>
      </c>
      <c r="Q728" s="6">
        <f>Table13[[#This Row],[Amount]]/Table13[[#This Row],[Quantity]]</f>
        <v>175.44444444444446</v>
      </c>
    </row>
    <row r="729" spans="1:17" x14ac:dyDescent="0.3">
      <c r="A729" t="s">
        <v>835</v>
      </c>
      <c r="B729">
        <v>1579</v>
      </c>
      <c r="C729">
        <v>602</v>
      </c>
      <c r="D729">
        <v>9</v>
      </c>
      <c r="E729" t="s">
        <v>13</v>
      </c>
      <c r="F729" t="s">
        <v>39</v>
      </c>
      <c r="G729" t="s">
        <v>47</v>
      </c>
      <c r="H729" s="1">
        <v>44516</v>
      </c>
      <c r="I729" t="s">
        <v>838</v>
      </c>
      <c r="J729" t="s">
        <v>98</v>
      </c>
      <c r="K729" t="s">
        <v>107</v>
      </c>
      <c r="L729" s="2" t="s">
        <v>175</v>
      </c>
      <c r="M729" t="str">
        <f>TEXT(Table13[[#This Row],[Order Date]],"MMM")</f>
        <v>Nov</v>
      </c>
      <c r="N729">
        <f>YEAR(Table13[[#This Row],[Order Date]])</f>
        <v>2021</v>
      </c>
      <c r="O729" t="str">
        <f>"Q"&amp;ROUNDUP(MONTH(Table13[[#This Row],[Order Date]])/3,0)</f>
        <v>Q4</v>
      </c>
      <c r="P729" s="5">
        <f>Table13[[#This Row],[Profit]]/Table13[[#This Row],[Amount]]</f>
        <v>0.38125395820139329</v>
      </c>
      <c r="Q729" s="6">
        <f>Table13[[#This Row],[Amount]]/Table13[[#This Row],[Quantity]]</f>
        <v>175.44444444444446</v>
      </c>
    </row>
    <row r="730" spans="1:17" x14ac:dyDescent="0.3">
      <c r="A730" t="s">
        <v>835</v>
      </c>
      <c r="B730">
        <v>1579</v>
      </c>
      <c r="C730">
        <v>602</v>
      </c>
      <c r="D730">
        <v>9</v>
      </c>
      <c r="E730" t="s">
        <v>13</v>
      </c>
      <c r="F730" t="s">
        <v>39</v>
      </c>
      <c r="G730" t="s">
        <v>47</v>
      </c>
      <c r="H730" s="1">
        <v>45543</v>
      </c>
      <c r="I730" t="s">
        <v>839</v>
      </c>
      <c r="J730" t="s">
        <v>25</v>
      </c>
      <c r="K730" t="s">
        <v>68</v>
      </c>
      <c r="L730" s="2" t="s">
        <v>159</v>
      </c>
      <c r="M730" t="str">
        <f>TEXT(Table13[[#This Row],[Order Date]],"MMM")</f>
        <v>Sep</v>
      </c>
      <c r="N730">
        <f>YEAR(Table13[[#This Row],[Order Date]])</f>
        <v>2024</v>
      </c>
      <c r="O730" t="str">
        <f>"Q"&amp;ROUNDUP(MONTH(Table13[[#This Row],[Order Date]])/3,0)</f>
        <v>Q3</v>
      </c>
      <c r="P730" s="5">
        <f>Table13[[#This Row],[Profit]]/Table13[[#This Row],[Amount]]</f>
        <v>0.38125395820139329</v>
      </c>
      <c r="Q730" s="6">
        <f>Table13[[#This Row],[Amount]]/Table13[[#This Row],[Quantity]]</f>
        <v>175.44444444444446</v>
      </c>
    </row>
    <row r="731" spans="1:17" x14ac:dyDescent="0.3">
      <c r="A731" t="s">
        <v>835</v>
      </c>
      <c r="B731">
        <v>3760</v>
      </c>
      <c r="C731">
        <v>1849</v>
      </c>
      <c r="D731">
        <v>19</v>
      </c>
      <c r="E731" t="s">
        <v>45</v>
      </c>
      <c r="F731" t="s">
        <v>49</v>
      </c>
      <c r="G731" t="s">
        <v>40</v>
      </c>
      <c r="H731" s="1">
        <v>43975</v>
      </c>
      <c r="I731" t="s">
        <v>836</v>
      </c>
      <c r="J731" t="s">
        <v>98</v>
      </c>
      <c r="K731" t="s">
        <v>107</v>
      </c>
      <c r="L731" s="2" t="s">
        <v>59</v>
      </c>
      <c r="M731" t="str">
        <f>TEXT(Table13[[#This Row],[Order Date]],"MMM")</f>
        <v>May</v>
      </c>
      <c r="N731">
        <f>YEAR(Table13[[#This Row],[Order Date]])</f>
        <v>2020</v>
      </c>
      <c r="O731" t="str">
        <f>"Q"&amp;ROUNDUP(MONTH(Table13[[#This Row],[Order Date]])/3,0)</f>
        <v>Q2</v>
      </c>
      <c r="P731" s="5">
        <f>Table13[[#This Row],[Profit]]/Table13[[#This Row],[Amount]]</f>
        <v>0.49175531914893617</v>
      </c>
      <c r="Q731" s="6">
        <f>Table13[[#This Row],[Amount]]/Table13[[#This Row],[Quantity]]</f>
        <v>197.89473684210526</v>
      </c>
    </row>
    <row r="732" spans="1:17" x14ac:dyDescent="0.3">
      <c r="A732" t="s">
        <v>835</v>
      </c>
      <c r="B732">
        <v>3760</v>
      </c>
      <c r="C732">
        <v>1849</v>
      </c>
      <c r="D732">
        <v>19</v>
      </c>
      <c r="E732" t="s">
        <v>45</v>
      </c>
      <c r="F732" t="s">
        <v>49</v>
      </c>
      <c r="G732" t="s">
        <v>40</v>
      </c>
      <c r="H732" s="1">
        <v>45704</v>
      </c>
      <c r="I732" t="s">
        <v>837</v>
      </c>
      <c r="J732" t="s">
        <v>71</v>
      </c>
      <c r="K732" t="s">
        <v>72</v>
      </c>
      <c r="L732" s="2" t="s">
        <v>73</v>
      </c>
      <c r="M732" t="str">
        <f>TEXT(Table13[[#This Row],[Order Date]],"MMM")</f>
        <v>Feb</v>
      </c>
      <c r="N732">
        <f>YEAR(Table13[[#This Row],[Order Date]])</f>
        <v>2025</v>
      </c>
      <c r="O732" t="str">
        <f>"Q"&amp;ROUNDUP(MONTH(Table13[[#This Row],[Order Date]])/3,0)</f>
        <v>Q1</v>
      </c>
      <c r="P732" s="5">
        <f>Table13[[#This Row],[Profit]]/Table13[[#This Row],[Amount]]</f>
        <v>0.49175531914893617</v>
      </c>
      <c r="Q732" s="6">
        <f>Table13[[#This Row],[Amount]]/Table13[[#This Row],[Quantity]]</f>
        <v>197.89473684210526</v>
      </c>
    </row>
    <row r="733" spans="1:17" x14ac:dyDescent="0.3">
      <c r="A733" t="s">
        <v>835</v>
      </c>
      <c r="B733">
        <v>3760</v>
      </c>
      <c r="C733">
        <v>1849</v>
      </c>
      <c r="D733">
        <v>19</v>
      </c>
      <c r="E733" t="s">
        <v>45</v>
      </c>
      <c r="F733" t="s">
        <v>49</v>
      </c>
      <c r="G733" t="s">
        <v>40</v>
      </c>
      <c r="H733" s="1">
        <v>44516</v>
      </c>
      <c r="I733" t="s">
        <v>838</v>
      </c>
      <c r="J733" t="s">
        <v>98</v>
      </c>
      <c r="K733" t="s">
        <v>107</v>
      </c>
      <c r="L733" s="2" t="s">
        <v>175</v>
      </c>
      <c r="M733" t="str">
        <f>TEXT(Table13[[#This Row],[Order Date]],"MMM")</f>
        <v>Nov</v>
      </c>
      <c r="N733">
        <f>YEAR(Table13[[#This Row],[Order Date]])</f>
        <v>2021</v>
      </c>
      <c r="O733" t="str">
        <f>"Q"&amp;ROUNDUP(MONTH(Table13[[#This Row],[Order Date]])/3,0)</f>
        <v>Q4</v>
      </c>
      <c r="P733" s="5">
        <f>Table13[[#This Row],[Profit]]/Table13[[#This Row],[Amount]]</f>
        <v>0.49175531914893617</v>
      </c>
      <c r="Q733" s="6">
        <f>Table13[[#This Row],[Amount]]/Table13[[#This Row],[Quantity]]</f>
        <v>197.89473684210526</v>
      </c>
    </row>
    <row r="734" spans="1:17" x14ac:dyDescent="0.3">
      <c r="A734" t="s">
        <v>835</v>
      </c>
      <c r="B734">
        <v>3760</v>
      </c>
      <c r="C734">
        <v>1849</v>
      </c>
      <c r="D734">
        <v>19</v>
      </c>
      <c r="E734" t="s">
        <v>45</v>
      </c>
      <c r="F734" t="s">
        <v>49</v>
      </c>
      <c r="G734" t="s">
        <v>40</v>
      </c>
      <c r="H734" s="1">
        <v>45543</v>
      </c>
      <c r="I734" t="s">
        <v>839</v>
      </c>
      <c r="J734" t="s">
        <v>25</v>
      </c>
      <c r="K734" t="s">
        <v>68</v>
      </c>
      <c r="L734" s="2" t="s">
        <v>159</v>
      </c>
      <c r="M734" t="str">
        <f>TEXT(Table13[[#This Row],[Order Date]],"MMM")</f>
        <v>Sep</v>
      </c>
      <c r="N734">
        <f>YEAR(Table13[[#This Row],[Order Date]])</f>
        <v>2024</v>
      </c>
      <c r="O734" t="str">
        <f>"Q"&amp;ROUNDUP(MONTH(Table13[[#This Row],[Order Date]])/3,0)</f>
        <v>Q3</v>
      </c>
      <c r="P734" s="5">
        <f>Table13[[#This Row],[Profit]]/Table13[[#This Row],[Amount]]</f>
        <v>0.49175531914893617</v>
      </c>
      <c r="Q734" s="6">
        <f>Table13[[#This Row],[Amount]]/Table13[[#This Row],[Quantity]]</f>
        <v>197.89473684210526</v>
      </c>
    </row>
    <row r="735" spans="1:17" x14ac:dyDescent="0.3">
      <c r="A735" t="s">
        <v>840</v>
      </c>
      <c r="B735">
        <v>8706</v>
      </c>
      <c r="C735">
        <v>3099</v>
      </c>
      <c r="D735">
        <v>14</v>
      </c>
      <c r="E735" t="s">
        <v>30</v>
      </c>
      <c r="F735" t="s">
        <v>31</v>
      </c>
      <c r="G735" t="s">
        <v>47</v>
      </c>
      <c r="H735" s="1">
        <v>44741</v>
      </c>
      <c r="I735" t="s">
        <v>841</v>
      </c>
      <c r="J735" t="s">
        <v>21</v>
      </c>
      <c r="K735" t="s">
        <v>22</v>
      </c>
      <c r="L735" s="2" t="s">
        <v>165</v>
      </c>
      <c r="M735" t="str">
        <f>TEXT(Table13[[#This Row],[Order Date]],"MMM")</f>
        <v>Jun</v>
      </c>
      <c r="N735">
        <f>YEAR(Table13[[#This Row],[Order Date]])</f>
        <v>2022</v>
      </c>
      <c r="O735" t="str">
        <f>"Q"&amp;ROUNDUP(MONTH(Table13[[#This Row],[Order Date]])/3,0)</f>
        <v>Q2</v>
      </c>
      <c r="P735" s="5">
        <f>Table13[[#This Row],[Profit]]/Table13[[#This Row],[Amount]]</f>
        <v>0.35596140592694692</v>
      </c>
      <c r="Q735" s="6">
        <f>Table13[[#This Row],[Amount]]/Table13[[#This Row],[Quantity]]</f>
        <v>621.85714285714289</v>
      </c>
    </row>
    <row r="736" spans="1:17" x14ac:dyDescent="0.3">
      <c r="A736" t="s">
        <v>840</v>
      </c>
      <c r="B736">
        <v>4708</v>
      </c>
      <c r="C736">
        <v>696</v>
      </c>
      <c r="D736">
        <v>14</v>
      </c>
      <c r="E736" t="s">
        <v>13</v>
      </c>
      <c r="F736" t="s">
        <v>14</v>
      </c>
      <c r="G736" t="s">
        <v>47</v>
      </c>
      <c r="H736" s="1">
        <v>44741</v>
      </c>
      <c r="I736" t="s">
        <v>841</v>
      </c>
      <c r="J736" t="s">
        <v>21</v>
      </c>
      <c r="K736" t="s">
        <v>22</v>
      </c>
      <c r="L736" s="2" t="s">
        <v>165</v>
      </c>
      <c r="M736" t="str">
        <f>TEXT(Table13[[#This Row],[Order Date]],"MMM")</f>
        <v>Jun</v>
      </c>
      <c r="N736">
        <f>YEAR(Table13[[#This Row],[Order Date]])</f>
        <v>2022</v>
      </c>
      <c r="O736" t="str">
        <f>"Q"&amp;ROUNDUP(MONTH(Table13[[#This Row],[Order Date]])/3,0)</f>
        <v>Q2</v>
      </c>
      <c r="P736" s="5">
        <f>Table13[[#This Row],[Profit]]/Table13[[#This Row],[Amount]]</f>
        <v>0.14783347493627869</v>
      </c>
      <c r="Q736" s="6">
        <f>Table13[[#This Row],[Amount]]/Table13[[#This Row],[Quantity]]</f>
        <v>336.28571428571428</v>
      </c>
    </row>
    <row r="737" spans="1:17" x14ac:dyDescent="0.3">
      <c r="A737" t="s">
        <v>840</v>
      </c>
      <c r="B737">
        <v>8089</v>
      </c>
      <c r="C737">
        <v>3132</v>
      </c>
      <c r="D737">
        <v>17</v>
      </c>
      <c r="E737" t="s">
        <v>45</v>
      </c>
      <c r="F737" t="s">
        <v>49</v>
      </c>
      <c r="G737" t="s">
        <v>65</v>
      </c>
      <c r="H737" s="1">
        <v>44741</v>
      </c>
      <c r="I737" t="s">
        <v>841</v>
      </c>
      <c r="J737" t="s">
        <v>21</v>
      </c>
      <c r="K737" t="s">
        <v>22</v>
      </c>
      <c r="L737" s="2" t="s">
        <v>165</v>
      </c>
      <c r="M737" t="str">
        <f>TEXT(Table13[[#This Row],[Order Date]],"MMM")</f>
        <v>Jun</v>
      </c>
      <c r="N737">
        <f>YEAR(Table13[[#This Row],[Order Date]])</f>
        <v>2022</v>
      </c>
      <c r="O737" t="str">
        <f>"Q"&amp;ROUNDUP(MONTH(Table13[[#This Row],[Order Date]])/3,0)</f>
        <v>Q2</v>
      </c>
      <c r="P737" s="5">
        <f>Table13[[#This Row],[Profit]]/Table13[[#This Row],[Amount]]</f>
        <v>0.38719248361973052</v>
      </c>
      <c r="Q737" s="6">
        <f>Table13[[#This Row],[Amount]]/Table13[[#This Row],[Quantity]]</f>
        <v>475.8235294117647</v>
      </c>
    </row>
    <row r="738" spans="1:17" x14ac:dyDescent="0.3">
      <c r="A738" t="s">
        <v>842</v>
      </c>
      <c r="B738">
        <v>5462</v>
      </c>
      <c r="C738">
        <v>673</v>
      </c>
      <c r="D738">
        <v>12</v>
      </c>
      <c r="E738" t="s">
        <v>13</v>
      </c>
      <c r="F738" t="s">
        <v>28</v>
      </c>
      <c r="G738" t="s">
        <v>32</v>
      </c>
      <c r="H738" s="1">
        <v>44868</v>
      </c>
      <c r="I738" t="s">
        <v>843</v>
      </c>
      <c r="J738" t="s">
        <v>71</v>
      </c>
      <c r="K738" t="s">
        <v>86</v>
      </c>
      <c r="L738" s="2" t="s">
        <v>44</v>
      </c>
      <c r="M738" t="str">
        <f>TEXT(Table13[[#This Row],[Order Date]],"MMM")</f>
        <v>Nov</v>
      </c>
      <c r="N738">
        <f>YEAR(Table13[[#This Row],[Order Date]])</f>
        <v>2022</v>
      </c>
      <c r="O738" t="str">
        <f>"Q"&amp;ROUNDUP(MONTH(Table13[[#This Row],[Order Date]])/3,0)</f>
        <v>Q4</v>
      </c>
      <c r="P738" s="5">
        <f>Table13[[#This Row],[Profit]]/Table13[[#This Row],[Amount]]</f>
        <v>0.12321493958257049</v>
      </c>
      <c r="Q738" s="6">
        <f>Table13[[#This Row],[Amount]]/Table13[[#This Row],[Quantity]]</f>
        <v>455.16666666666669</v>
      </c>
    </row>
    <row r="739" spans="1:17" x14ac:dyDescent="0.3">
      <c r="A739" t="s">
        <v>844</v>
      </c>
      <c r="B739">
        <v>6392</v>
      </c>
      <c r="C739">
        <v>444</v>
      </c>
      <c r="D739">
        <v>18</v>
      </c>
      <c r="E739" t="s">
        <v>13</v>
      </c>
      <c r="F739" t="s">
        <v>14</v>
      </c>
      <c r="G739" t="s">
        <v>47</v>
      </c>
      <c r="H739" s="1">
        <v>45258</v>
      </c>
      <c r="I739" t="s">
        <v>845</v>
      </c>
      <c r="J739" t="s">
        <v>17</v>
      </c>
      <c r="K739" t="s">
        <v>150</v>
      </c>
      <c r="L739" s="2" t="s">
        <v>52</v>
      </c>
      <c r="M739" t="str">
        <f>TEXT(Table13[[#This Row],[Order Date]],"MMM")</f>
        <v>Nov</v>
      </c>
      <c r="N739">
        <f>YEAR(Table13[[#This Row],[Order Date]])</f>
        <v>2023</v>
      </c>
      <c r="O739" t="str">
        <f>"Q"&amp;ROUNDUP(MONTH(Table13[[#This Row],[Order Date]])/3,0)</f>
        <v>Q4</v>
      </c>
      <c r="P739" s="5">
        <f>Table13[[#This Row],[Profit]]/Table13[[#This Row],[Amount]]</f>
        <v>6.9461827284105132E-2</v>
      </c>
      <c r="Q739" s="6">
        <f>Table13[[#This Row],[Amount]]/Table13[[#This Row],[Quantity]]</f>
        <v>355.11111111111109</v>
      </c>
    </row>
    <row r="740" spans="1:17" x14ac:dyDescent="0.3">
      <c r="A740" t="s">
        <v>846</v>
      </c>
      <c r="B740">
        <v>8706</v>
      </c>
      <c r="C740">
        <v>1724</v>
      </c>
      <c r="D740">
        <v>3</v>
      </c>
      <c r="E740" t="s">
        <v>13</v>
      </c>
      <c r="F740" t="s">
        <v>14</v>
      </c>
      <c r="G740" t="s">
        <v>32</v>
      </c>
      <c r="H740" s="1">
        <v>43946</v>
      </c>
      <c r="I740" t="s">
        <v>847</v>
      </c>
      <c r="J740" t="s">
        <v>17</v>
      </c>
      <c r="K740" t="s">
        <v>34</v>
      </c>
      <c r="L740" s="2" t="s">
        <v>162</v>
      </c>
      <c r="M740" t="str">
        <f>TEXT(Table13[[#This Row],[Order Date]],"MMM")</f>
        <v>Apr</v>
      </c>
      <c r="N740">
        <f>YEAR(Table13[[#This Row],[Order Date]])</f>
        <v>2020</v>
      </c>
      <c r="O740" t="str">
        <f>"Q"&amp;ROUNDUP(MONTH(Table13[[#This Row],[Order Date]])/3,0)</f>
        <v>Q2</v>
      </c>
      <c r="P740" s="5">
        <f>Table13[[#This Row],[Profit]]/Table13[[#This Row],[Amount]]</f>
        <v>0.1980243510222835</v>
      </c>
      <c r="Q740" s="6">
        <f>Table13[[#This Row],[Amount]]/Table13[[#This Row],[Quantity]]</f>
        <v>2902</v>
      </c>
    </row>
    <row r="741" spans="1:17" x14ac:dyDescent="0.3">
      <c r="A741" t="s">
        <v>848</v>
      </c>
      <c r="B741">
        <v>2349</v>
      </c>
      <c r="C741">
        <v>319</v>
      </c>
      <c r="D741">
        <v>4</v>
      </c>
      <c r="E741" t="s">
        <v>30</v>
      </c>
      <c r="F741" t="s">
        <v>31</v>
      </c>
      <c r="G741" t="s">
        <v>15</v>
      </c>
      <c r="H741" s="1">
        <v>44579</v>
      </c>
      <c r="I741" t="s">
        <v>849</v>
      </c>
      <c r="J741" t="s">
        <v>17</v>
      </c>
      <c r="K741" t="s">
        <v>18</v>
      </c>
      <c r="L741" s="2" t="s">
        <v>87</v>
      </c>
      <c r="M741" t="str">
        <f>TEXT(Table13[[#This Row],[Order Date]],"MMM")</f>
        <v>Jan</v>
      </c>
      <c r="N741">
        <f>YEAR(Table13[[#This Row],[Order Date]])</f>
        <v>2022</v>
      </c>
      <c r="O741" t="str">
        <f>"Q"&amp;ROUNDUP(MONTH(Table13[[#This Row],[Order Date]])/3,0)</f>
        <v>Q1</v>
      </c>
      <c r="P741" s="5">
        <f>Table13[[#This Row],[Profit]]/Table13[[#This Row],[Amount]]</f>
        <v>0.13580246913580246</v>
      </c>
      <c r="Q741" s="6">
        <f>Table13[[#This Row],[Amount]]/Table13[[#This Row],[Quantity]]</f>
        <v>587.25</v>
      </c>
    </row>
    <row r="742" spans="1:17" x14ac:dyDescent="0.3">
      <c r="A742" t="s">
        <v>848</v>
      </c>
      <c r="B742">
        <v>8220</v>
      </c>
      <c r="C742">
        <v>3882</v>
      </c>
      <c r="D742">
        <v>14</v>
      </c>
      <c r="E742" t="s">
        <v>45</v>
      </c>
      <c r="F742" t="s">
        <v>49</v>
      </c>
      <c r="G742" t="s">
        <v>15</v>
      </c>
      <c r="H742" s="1">
        <v>44579</v>
      </c>
      <c r="I742" t="s">
        <v>849</v>
      </c>
      <c r="J742" t="s">
        <v>17</v>
      </c>
      <c r="K742" t="s">
        <v>18</v>
      </c>
      <c r="L742" s="2" t="s">
        <v>87</v>
      </c>
      <c r="M742" t="str">
        <f>TEXT(Table13[[#This Row],[Order Date]],"MMM")</f>
        <v>Jan</v>
      </c>
      <c r="N742">
        <f>YEAR(Table13[[#This Row],[Order Date]])</f>
        <v>2022</v>
      </c>
      <c r="O742" t="str">
        <f>"Q"&amp;ROUNDUP(MONTH(Table13[[#This Row],[Order Date]])/3,0)</f>
        <v>Q1</v>
      </c>
      <c r="P742" s="5">
        <f>Table13[[#This Row],[Profit]]/Table13[[#This Row],[Amount]]</f>
        <v>0.47226277372262776</v>
      </c>
      <c r="Q742" s="6">
        <f>Table13[[#This Row],[Amount]]/Table13[[#This Row],[Quantity]]</f>
        <v>587.14285714285711</v>
      </c>
    </row>
    <row r="743" spans="1:17" x14ac:dyDescent="0.3">
      <c r="A743" t="s">
        <v>848</v>
      </c>
      <c r="B743">
        <v>2379</v>
      </c>
      <c r="C743">
        <v>279</v>
      </c>
      <c r="D743">
        <v>7</v>
      </c>
      <c r="E743" t="s">
        <v>45</v>
      </c>
      <c r="F743" t="s">
        <v>49</v>
      </c>
      <c r="G743" t="s">
        <v>32</v>
      </c>
      <c r="H743" s="1">
        <v>44579</v>
      </c>
      <c r="I743" t="s">
        <v>849</v>
      </c>
      <c r="J743" t="s">
        <v>17</v>
      </c>
      <c r="K743" t="s">
        <v>18</v>
      </c>
      <c r="L743" s="2" t="s">
        <v>87</v>
      </c>
      <c r="M743" t="str">
        <f>TEXT(Table13[[#This Row],[Order Date]],"MMM")</f>
        <v>Jan</v>
      </c>
      <c r="N743">
        <f>YEAR(Table13[[#This Row],[Order Date]])</f>
        <v>2022</v>
      </c>
      <c r="O743" t="str">
        <f>"Q"&amp;ROUNDUP(MONTH(Table13[[#This Row],[Order Date]])/3,0)</f>
        <v>Q1</v>
      </c>
      <c r="P743" s="5">
        <f>Table13[[#This Row],[Profit]]/Table13[[#This Row],[Amount]]</f>
        <v>0.11727616645649433</v>
      </c>
      <c r="Q743" s="6">
        <f>Table13[[#This Row],[Amount]]/Table13[[#This Row],[Quantity]]</f>
        <v>339.85714285714283</v>
      </c>
    </row>
    <row r="744" spans="1:17" x14ac:dyDescent="0.3">
      <c r="A744" t="s">
        <v>848</v>
      </c>
      <c r="B744">
        <v>7377</v>
      </c>
      <c r="C744">
        <v>2049</v>
      </c>
      <c r="D744">
        <v>4</v>
      </c>
      <c r="E744" t="s">
        <v>30</v>
      </c>
      <c r="F744" t="s">
        <v>57</v>
      </c>
      <c r="G744" t="s">
        <v>15</v>
      </c>
      <c r="H744" s="1">
        <v>44579</v>
      </c>
      <c r="I744" t="s">
        <v>849</v>
      </c>
      <c r="J744" t="s">
        <v>17</v>
      </c>
      <c r="K744" t="s">
        <v>18</v>
      </c>
      <c r="L744" s="2" t="s">
        <v>87</v>
      </c>
      <c r="M744" t="str">
        <f>TEXT(Table13[[#This Row],[Order Date]],"MMM")</f>
        <v>Jan</v>
      </c>
      <c r="N744">
        <f>YEAR(Table13[[#This Row],[Order Date]])</f>
        <v>2022</v>
      </c>
      <c r="O744" t="str">
        <f>"Q"&amp;ROUNDUP(MONTH(Table13[[#This Row],[Order Date]])/3,0)</f>
        <v>Q1</v>
      </c>
      <c r="P744" s="5">
        <f>Table13[[#This Row],[Profit]]/Table13[[#This Row],[Amount]]</f>
        <v>0.27775518503456692</v>
      </c>
      <c r="Q744" s="6">
        <f>Table13[[#This Row],[Amount]]/Table13[[#This Row],[Quantity]]</f>
        <v>1844.25</v>
      </c>
    </row>
    <row r="745" spans="1:17" x14ac:dyDescent="0.3">
      <c r="A745" t="s">
        <v>850</v>
      </c>
      <c r="B745">
        <v>717</v>
      </c>
      <c r="C745">
        <v>158</v>
      </c>
      <c r="D745">
        <v>16</v>
      </c>
      <c r="E745" t="s">
        <v>45</v>
      </c>
      <c r="F745" t="s">
        <v>46</v>
      </c>
      <c r="G745" t="s">
        <v>47</v>
      </c>
      <c r="H745" s="1">
        <v>44643</v>
      </c>
      <c r="I745" t="s">
        <v>851</v>
      </c>
      <c r="J745" t="s">
        <v>98</v>
      </c>
      <c r="K745" t="s">
        <v>117</v>
      </c>
      <c r="L745" s="2" t="s">
        <v>134</v>
      </c>
      <c r="M745" t="str">
        <f>TEXT(Table13[[#This Row],[Order Date]],"MMM")</f>
        <v>Mar</v>
      </c>
      <c r="N745">
        <f>YEAR(Table13[[#This Row],[Order Date]])</f>
        <v>2022</v>
      </c>
      <c r="O745" t="str">
        <f>"Q"&amp;ROUNDUP(MONTH(Table13[[#This Row],[Order Date]])/3,0)</f>
        <v>Q1</v>
      </c>
      <c r="P745" s="5">
        <f>Table13[[#This Row],[Profit]]/Table13[[#This Row],[Amount]]</f>
        <v>0.2203626220362622</v>
      </c>
      <c r="Q745" s="6">
        <f>Table13[[#This Row],[Amount]]/Table13[[#This Row],[Quantity]]</f>
        <v>44.8125</v>
      </c>
    </row>
    <row r="746" spans="1:17" x14ac:dyDescent="0.3">
      <c r="A746" t="s">
        <v>850</v>
      </c>
      <c r="B746">
        <v>717</v>
      </c>
      <c r="C746">
        <v>158</v>
      </c>
      <c r="D746">
        <v>16</v>
      </c>
      <c r="E746" t="s">
        <v>45</v>
      </c>
      <c r="F746" t="s">
        <v>46</v>
      </c>
      <c r="G746" t="s">
        <v>47</v>
      </c>
      <c r="H746" s="1">
        <v>44006</v>
      </c>
      <c r="I746" t="s">
        <v>852</v>
      </c>
      <c r="J746" t="s">
        <v>17</v>
      </c>
      <c r="K746" t="s">
        <v>18</v>
      </c>
      <c r="L746" s="2" t="s">
        <v>313</v>
      </c>
      <c r="M746" t="str">
        <f>TEXT(Table13[[#This Row],[Order Date]],"MMM")</f>
        <v>Jun</v>
      </c>
      <c r="N746">
        <f>YEAR(Table13[[#This Row],[Order Date]])</f>
        <v>2020</v>
      </c>
      <c r="O746" t="str">
        <f>"Q"&amp;ROUNDUP(MONTH(Table13[[#This Row],[Order Date]])/3,0)</f>
        <v>Q2</v>
      </c>
      <c r="P746" s="5">
        <f>Table13[[#This Row],[Profit]]/Table13[[#This Row],[Amount]]</f>
        <v>0.2203626220362622</v>
      </c>
      <c r="Q746" s="6">
        <f>Table13[[#This Row],[Amount]]/Table13[[#This Row],[Quantity]]</f>
        <v>44.8125</v>
      </c>
    </row>
    <row r="747" spans="1:17" x14ac:dyDescent="0.3">
      <c r="A747" t="s">
        <v>850</v>
      </c>
      <c r="B747">
        <v>717</v>
      </c>
      <c r="C747">
        <v>158</v>
      </c>
      <c r="D747">
        <v>16</v>
      </c>
      <c r="E747" t="s">
        <v>45</v>
      </c>
      <c r="F747" t="s">
        <v>46</v>
      </c>
      <c r="G747" t="s">
        <v>47</v>
      </c>
      <c r="H747" s="1">
        <v>44918</v>
      </c>
      <c r="I747" t="s">
        <v>853</v>
      </c>
      <c r="J747" t="s">
        <v>25</v>
      </c>
      <c r="K747" t="s">
        <v>26</v>
      </c>
      <c r="L747" s="2" t="s">
        <v>152</v>
      </c>
      <c r="M747" t="str">
        <f>TEXT(Table13[[#This Row],[Order Date]],"MMM")</f>
        <v>Dec</v>
      </c>
      <c r="N747">
        <f>YEAR(Table13[[#This Row],[Order Date]])</f>
        <v>2022</v>
      </c>
      <c r="O747" t="str">
        <f>"Q"&amp;ROUNDUP(MONTH(Table13[[#This Row],[Order Date]])/3,0)</f>
        <v>Q4</v>
      </c>
      <c r="P747" s="5">
        <f>Table13[[#This Row],[Profit]]/Table13[[#This Row],[Amount]]</f>
        <v>0.2203626220362622</v>
      </c>
      <c r="Q747" s="6">
        <f>Table13[[#This Row],[Amount]]/Table13[[#This Row],[Quantity]]</f>
        <v>44.8125</v>
      </c>
    </row>
    <row r="748" spans="1:17" x14ac:dyDescent="0.3">
      <c r="A748" t="s">
        <v>850</v>
      </c>
      <c r="B748">
        <v>717</v>
      </c>
      <c r="C748">
        <v>158</v>
      </c>
      <c r="D748">
        <v>16</v>
      </c>
      <c r="E748" t="s">
        <v>45</v>
      </c>
      <c r="F748" t="s">
        <v>46</v>
      </c>
      <c r="G748" t="s">
        <v>47</v>
      </c>
      <c r="H748" s="1">
        <v>45620</v>
      </c>
      <c r="I748" t="s">
        <v>854</v>
      </c>
      <c r="J748" t="s">
        <v>25</v>
      </c>
      <c r="K748" t="s">
        <v>51</v>
      </c>
      <c r="L748" s="2" t="s">
        <v>255</v>
      </c>
      <c r="M748" t="str">
        <f>TEXT(Table13[[#This Row],[Order Date]],"MMM")</f>
        <v>Nov</v>
      </c>
      <c r="N748">
        <f>YEAR(Table13[[#This Row],[Order Date]])</f>
        <v>2024</v>
      </c>
      <c r="O748" t="str">
        <f>"Q"&amp;ROUNDUP(MONTH(Table13[[#This Row],[Order Date]])/3,0)</f>
        <v>Q4</v>
      </c>
      <c r="P748" s="5">
        <f>Table13[[#This Row],[Profit]]/Table13[[#This Row],[Amount]]</f>
        <v>0.2203626220362622</v>
      </c>
      <c r="Q748" s="6">
        <f>Table13[[#This Row],[Amount]]/Table13[[#This Row],[Quantity]]</f>
        <v>44.8125</v>
      </c>
    </row>
    <row r="749" spans="1:17" x14ac:dyDescent="0.3">
      <c r="A749" t="s">
        <v>850</v>
      </c>
      <c r="B749">
        <v>717</v>
      </c>
      <c r="C749">
        <v>158</v>
      </c>
      <c r="D749">
        <v>16</v>
      </c>
      <c r="E749" t="s">
        <v>45</v>
      </c>
      <c r="F749" t="s">
        <v>46</v>
      </c>
      <c r="G749" t="s">
        <v>47</v>
      </c>
      <c r="H749" s="1">
        <v>44141</v>
      </c>
      <c r="I749" t="s">
        <v>855</v>
      </c>
      <c r="J749" t="s">
        <v>17</v>
      </c>
      <c r="K749" t="s">
        <v>34</v>
      </c>
      <c r="L749" s="2" t="s">
        <v>80</v>
      </c>
      <c r="M749" t="str">
        <f>TEXT(Table13[[#This Row],[Order Date]],"MMM")</f>
        <v>Nov</v>
      </c>
      <c r="N749">
        <f>YEAR(Table13[[#This Row],[Order Date]])</f>
        <v>2020</v>
      </c>
      <c r="O749" t="str">
        <f>"Q"&amp;ROUNDUP(MONTH(Table13[[#This Row],[Order Date]])/3,0)</f>
        <v>Q4</v>
      </c>
      <c r="P749" s="5">
        <f>Table13[[#This Row],[Profit]]/Table13[[#This Row],[Amount]]</f>
        <v>0.2203626220362622</v>
      </c>
      <c r="Q749" s="6">
        <f>Table13[[#This Row],[Amount]]/Table13[[#This Row],[Quantity]]</f>
        <v>44.8125</v>
      </c>
    </row>
    <row r="750" spans="1:17" x14ac:dyDescent="0.3">
      <c r="A750" t="s">
        <v>850</v>
      </c>
      <c r="B750">
        <v>717</v>
      </c>
      <c r="C750">
        <v>158</v>
      </c>
      <c r="D750">
        <v>16</v>
      </c>
      <c r="E750" t="s">
        <v>45</v>
      </c>
      <c r="F750" t="s">
        <v>46</v>
      </c>
      <c r="G750" t="s">
        <v>47</v>
      </c>
      <c r="H750" s="1">
        <v>45223</v>
      </c>
      <c r="I750" t="s">
        <v>856</v>
      </c>
      <c r="J750" t="s">
        <v>25</v>
      </c>
      <c r="K750" t="s">
        <v>68</v>
      </c>
      <c r="L750" s="2" t="s">
        <v>442</v>
      </c>
      <c r="M750" t="str">
        <f>TEXT(Table13[[#This Row],[Order Date]],"MMM")</f>
        <v>Oct</v>
      </c>
      <c r="N750">
        <f>YEAR(Table13[[#This Row],[Order Date]])</f>
        <v>2023</v>
      </c>
      <c r="O750" t="str">
        <f>"Q"&amp;ROUNDUP(MONTH(Table13[[#This Row],[Order Date]])/3,0)</f>
        <v>Q4</v>
      </c>
      <c r="P750" s="5">
        <f>Table13[[#This Row],[Profit]]/Table13[[#This Row],[Amount]]</f>
        <v>0.2203626220362622</v>
      </c>
      <c r="Q750" s="6">
        <f>Table13[[#This Row],[Amount]]/Table13[[#This Row],[Quantity]]</f>
        <v>44.8125</v>
      </c>
    </row>
    <row r="751" spans="1:17" x14ac:dyDescent="0.3">
      <c r="A751" t="s">
        <v>850</v>
      </c>
      <c r="B751">
        <v>508</v>
      </c>
      <c r="C751">
        <v>177</v>
      </c>
      <c r="D751">
        <v>17</v>
      </c>
      <c r="E751" t="s">
        <v>45</v>
      </c>
      <c r="F751" t="s">
        <v>60</v>
      </c>
      <c r="G751" t="s">
        <v>15</v>
      </c>
      <c r="H751" s="1">
        <v>44643</v>
      </c>
      <c r="I751" t="s">
        <v>851</v>
      </c>
      <c r="J751" t="s">
        <v>98</v>
      </c>
      <c r="K751" t="s">
        <v>117</v>
      </c>
      <c r="L751" s="2" t="s">
        <v>134</v>
      </c>
      <c r="M751" t="str">
        <f>TEXT(Table13[[#This Row],[Order Date]],"MMM")</f>
        <v>Mar</v>
      </c>
      <c r="N751">
        <f>YEAR(Table13[[#This Row],[Order Date]])</f>
        <v>2022</v>
      </c>
      <c r="O751" t="str">
        <f>"Q"&amp;ROUNDUP(MONTH(Table13[[#This Row],[Order Date]])/3,0)</f>
        <v>Q1</v>
      </c>
      <c r="P751" s="5">
        <f>Table13[[#This Row],[Profit]]/Table13[[#This Row],[Amount]]</f>
        <v>0.34842519685039369</v>
      </c>
      <c r="Q751" s="6">
        <f>Table13[[#This Row],[Amount]]/Table13[[#This Row],[Quantity]]</f>
        <v>29.882352941176471</v>
      </c>
    </row>
    <row r="752" spans="1:17" x14ac:dyDescent="0.3">
      <c r="A752" t="s">
        <v>850</v>
      </c>
      <c r="B752">
        <v>508</v>
      </c>
      <c r="C752">
        <v>177</v>
      </c>
      <c r="D752">
        <v>17</v>
      </c>
      <c r="E752" t="s">
        <v>45</v>
      </c>
      <c r="F752" t="s">
        <v>60</v>
      </c>
      <c r="G752" t="s">
        <v>15</v>
      </c>
      <c r="H752" s="1">
        <v>44006</v>
      </c>
      <c r="I752" t="s">
        <v>852</v>
      </c>
      <c r="J752" t="s">
        <v>17</v>
      </c>
      <c r="K752" t="s">
        <v>18</v>
      </c>
      <c r="L752" s="2" t="s">
        <v>313</v>
      </c>
      <c r="M752" t="str">
        <f>TEXT(Table13[[#This Row],[Order Date]],"MMM")</f>
        <v>Jun</v>
      </c>
      <c r="N752">
        <f>YEAR(Table13[[#This Row],[Order Date]])</f>
        <v>2020</v>
      </c>
      <c r="O752" t="str">
        <f>"Q"&amp;ROUNDUP(MONTH(Table13[[#This Row],[Order Date]])/3,0)</f>
        <v>Q2</v>
      </c>
      <c r="P752" s="5">
        <f>Table13[[#This Row],[Profit]]/Table13[[#This Row],[Amount]]</f>
        <v>0.34842519685039369</v>
      </c>
      <c r="Q752" s="6">
        <f>Table13[[#This Row],[Amount]]/Table13[[#This Row],[Quantity]]</f>
        <v>29.882352941176471</v>
      </c>
    </row>
    <row r="753" spans="1:17" x14ac:dyDescent="0.3">
      <c r="A753" t="s">
        <v>850</v>
      </c>
      <c r="B753">
        <v>508</v>
      </c>
      <c r="C753">
        <v>177</v>
      </c>
      <c r="D753">
        <v>17</v>
      </c>
      <c r="E753" t="s">
        <v>45</v>
      </c>
      <c r="F753" t="s">
        <v>60</v>
      </c>
      <c r="G753" t="s">
        <v>15</v>
      </c>
      <c r="H753" s="1">
        <v>44918</v>
      </c>
      <c r="I753" t="s">
        <v>853</v>
      </c>
      <c r="J753" t="s">
        <v>25</v>
      </c>
      <c r="K753" t="s">
        <v>26</v>
      </c>
      <c r="L753" s="2" t="s">
        <v>152</v>
      </c>
      <c r="M753" t="str">
        <f>TEXT(Table13[[#This Row],[Order Date]],"MMM")</f>
        <v>Dec</v>
      </c>
      <c r="N753">
        <f>YEAR(Table13[[#This Row],[Order Date]])</f>
        <v>2022</v>
      </c>
      <c r="O753" t="str">
        <f>"Q"&amp;ROUNDUP(MONTH(Table13[[#This Row],[Order Date]])/3,0)</f>
        <v>Q4</v>
      </c>
      <c r="P753" s="5">
        <f>Table13[[#This Row],[Profit]]/Table13[[#This Row],[Amount]]</f>
        <v>0.34842519685039369</v>
      </c>
      <c r="Q753" s="6">
        <f>Table13[[#This Row],[Amount]]/Table13[[#This Row],[Quantity]]</f>
        <v>29.882352941176471</v>
      </c>
    </row>
    <row r="754" spans="1:17" x14ac:dyDescent="0.3">
      <c r="A754" t="s">
        <v>850</v>
      </c>
      <c r="B754">
        <v>508</v>
      </c>
      <c r="C754">
        <v>177</v>
      </c>
      <c r="D754">
        <v>17</v>
      </c>
      <c r="E754" t="s">
        <v>45</v>
      </c>
      <c r="F754" t="s">
        <v>60</v>
      </c>
      <c r="G754" t="s">
        <v>15</v>
      </c>
      <c r="H754" s="1">
        <v>45620</v>
      </c>
      <c r="I754" t="s">
        <v>854</v>
      </c>
      <c r="J754" t="s">
        <v>25</v>
      </c>
      <c r="K754" t="s">
        <v>51</v>
      </c>
      <c r="L754" s="2" t="s">
        <v>255</v>
      </c>
      <c r="M754" t="str">
        <f>TEXT(Table13[[#This Row],[Order Date]],"MMM")</f>
        <v>Nov</v>
      </c>
      <c r="N754">
        <f>YEAR(Table13[[#This Row],[Order Date]])</f>
        <v>2024</v>
      </c>
      <c r="O754" t="str">
        <f>"Q"&amp;ROUNDUP(MONTH(Table13[[#This Row],[Order Date]])/3,0)</f>
        <v>Q4</v>
      </c>
      <c r="P754" s="5">
        <f>Table13[[#This Row],[Profit]]/Table13[[#This Row],[Amount]]</f>
        <v>0.34842519685039369</v>
      </c>
      <c r="Q754" s="6">
        <f>Table13[[#This Row],[Amount]]/Table13[[#This Row],[Quantity]]</f>
        <v>29.882352941176471</v>
      </c>
    </row>
    <row r="755" spans="1:17" x14ac:dyDescent="0.3">
      <c r="A755" t="s">
        <v>850</v>
      </c>
      <c r="B755">
        <v>508</v>
      </c>
      <c r="C755">
        <v>177</v>
      </c>
      <c r="D755">
        <v>17</v>
      </c>
      <c r="E755" t="s">
        <v>45</v>
      </c>
      <c r="F755" t="s">
        <v>60</v>
      </c>
      <c r="G755" t="s">
        <v>15</v>
      </c>
      <c r="H755" s="1">
        <v>44141</v>
      </c>
      <c r="I755" t="s">
        <v>855</v>
      </c>
      <c r="J755" t="s">
        <v>17</v>
      </c>
      <c r="K755" t="s">
        <v>34</v>
      </c>
      <c r="L755" s="2" t="s">
        <v>80</v>
      </c>
      <c r="M755" t="str">
        <f>TEXT(Table13[[#This Row],[Order Date]],"MMM")</f>
        <v>Nov</v>
      </c>
      <c r="N755">
        <f>YEAR(Table13[[#This Row],[Order Date]])</f>
        <v>2020</v>
      </c>
      <c r="O755" t="str">
        <f>"Q"&amp;ROUNDUP(MONTH(Table13[[#This Row],[Order Date]])/3,0)</f>
        <v>Q4</v>
      </c>
      <c r="P755" s="5">
        <f>Table13[[#This Row],[Profit]]/Table13[[#This Row],[Amount]]</f>
        <v>0.34842519685039369</v>
      </c>
      <c r="Q755" s="6">
        <f>Table13[[#This Row],[Amount]]/Table13[[#This Row],[Quantity]]</f>
        <v>29.882352941176471</v>
      </c>
    </row>
    <row r="756" spans="1:17" x14ac:dyDescent="0.3">
      <c r="A756" t="s">
        <v>850</v>
      </c>
      <c r="B756">
        <v>508</v>
      </c>
      <c r="C756">
        <v>177</v>
      </c>
      <c r="D756">
        <v>17</v>
      </c>
      <c r="E756" t="s">
        <v>45</v>
      </c>
      <c r="F756" t="s">
        <v>60</v>
      </c>
      <c r="G756" t="s">
        <v>15</v>
      </c>
      <c r="H756" s="1">
        <v>45223</v>
      </c>
      <c r="I756" t="s">
        <v>856</v>
      </c>
      <c r="J756" t="s">
        <v>25</v>
      </c>
      <c r="K756" t="s">
        <v>68</v>
      </c>
      <c r="L756" s="2" t="s">
        <v>442</v>
      </c>
      <c r="M756" t="str">
        <f>TEXT(Table13[[#This Row],[Order Date]],"MMM")</f>
        <v>Oct</v>
      </c>
      <c r="N756">
        <f>YEAR(Table13[[#This Row],[Order Date]])</f>
        <v>2023</v>
      </c>
      <c r="O756" t="str">
        <f>"Q"&amp;ROUNDUP(MONTH(Table13[[#This Row],[Order Date]])/3,0)</f>
        <v>Q4</v>
      </c>
      <c r="P756" s="5">
        <f>Table13[[#This Row],[Profit]]/Table13[[#This Row],[Amount]]</f>
        <v>0.34842519685039369</v>
      </c>
      <c r="Q756" s="6">
        <f>Table13[[#This Row],[Amount]]/Table13[[#This Row],[Quantity]]</f>
        <v>29.882352941176471</v>
      </c>
    </row>
    <row r="757" spans="1:17" x14ac:dyDescent="0.3">
      <c r="A757" t="s">
        <v>857</v>
      </c>
      <c r="B757">
        <v>9382</v>
      </c>
      <c r="C757">
        <v>1085</v>
      </c>
      <c r="D757">
        <v>3</v>
      </c>
      <c r="E757" t="s">
        <v>13</v>
      </c>
      <c r="F757" t="s">
        <v>28</v>
      </c>
      <c r="G757" t="s">
        <v>32</v>
      </c>
      <c r="H757" s="1">
        <v>45125</v>
      </c>
      <c r="I757" t="s">
        <v>858</v>
      </c>
      <c r="J757" t="s">
        <v>21</v>
      </c>
      <c r="K757" t="s">
        <v>22</v>
      </c>
      <c r="L757" s="2" t="s">
        <v>105</v>
      </c>
      <c r="M757" t="str">
        <f>TEXT(Table13[[#This Row],[Order Date]],"MMM")</f>
        <v>Jul</v>
      </c>
      <c r="N757">
        <f>YEAR(Table13[[#This Row],[Order Date]])</f>
        <v>2023</v>
      </c>
      <c r="O757" t="str">
        <f>"Q"&amp;ROUNDUP(MONTH(Table13[[#This Row],[Order Date]])/3,0)</f>
        <v>Q3</v>
      </c>
      <c r="P757" s="5">
        <f>Table13[[#This Row],[Profit]]/Table13[[#This Row],[Amount]]</f>
        <v>0.11564698358558943</v>
      </c>
      <c r="Q757" s="6">
        <f>Table13[[#This Row],[Amount]]/Table13[[#This Row],[Quantity]]</f>
        <v>3127.3333333333335</v>
      </c>
    </row>
    <row r="758" spans="1:17" x14ac:dyDescent="0.3">
      <c r="A758" t="s">
        <v>857</v>
      </c>
      <c r="B758">
        <v>9382</v>
      </c>
      <c r="C758">
        <v>1085</v>
      </c>
      <c r="D758">
        <v>3</v>
      </c>
      <c r="E758" t="s">
        <v>13</v>
      </c>
      <c r="F758" t="s">
        <v>28</v>
      </c>
      <c r="G758" t="s">
        <v>32</v>
      </c>
      <c r="H758" s="1">
        <v>44697</v>
      </c>
      <c r="I758" t="s">
        <v>859</v>
      </c>
      <c r="J758" t="s">
        <v>25</v>
      </c>
      <c r="K758" t="s">
        <v>68</v>
      </c>
      <c r="L758" s="2" t="s">
        <v>180</v>
      </c>
      <c r="M758" t="str">
        <f>TEXT(Table13[[#This Row],[Order Date]],"MMM")</f>
        <v>May</v>
      </c>
      <c r="N758">
        <f>YEAR(Table13[[#This Row],[Order Date]])</f>
        <v>2022</v>
      </c>
      <c r="O758" t="str">
        <f>"Q"&amp;ROUNDUP(MONTH(Table13[[#This Row],[Order Date]])/3,0)</f>
        <v>Q2</v>
      </c>
      <c r="P758" s="5">
        <f>Table13[[#This Row],[Profit]]/Table13[[#This Row],[Amount]]</f>
        <v>0.11564698358558943</v>
      </c>
      <c r="Q758" s="6">
        <f>Table13[[#This Row],[Amount]]/Table13[[#This Row],[Quantity]]</f>
        <v>3127.3333333333335</v>
      </c>
    </row>
    <row r="759" spans="1:17" x14ac:dyDescent="0.3">
      <c r="A759" t="s">
        <v>857</v>
      </c>
      <c r="B759">
        <v>4936</v>
      </c>
      <c r="C759">
        <v>576</v>
      </c>
      <c r="D759">
        <v>19</v>
      </c>
      <c r="E759" t="s">
        <v>45</v>
      </c>
      <c r="F759" t="s">
        <v>46</v>
      </c>
      <c r="G759" t="s">
        <v>65</v>
      </c>
      <c r="H759" s="1">
        <v>45125</v>
      </c>
      <c r="I759" t="s">
        <v>858</v>
      </c>
      <c r="J759" t="s">
        <v>21</v>
      </c>
      <c r="K759" t="s">
        <v>22</v>
      </c>
      <c r="L759" s="2" t="s">
        <v>105</v>
      </c>
      <c r="M759" t="str">
        <f>TEXT(Table13[[#This Row],[Order Date]],"MMM")</f>
        <v>Jul</v>
      </c>
      <c r="N759">
        <f>YEAR(Table13[[#This Row],[Order Date]])</f>
        <v>2023</v>
      </c>
      <c r="O759" t="str">
        <f>"Q"&amp;ROUNDUP(MONTH(Table13[[#This Row],[Order Date]])/3,0)</f>
        <v>Q3</v>
      </c>
      <c r="P759" s="5">
        <f>Table13[[#This Row],[Profit]]/Table13[[#This Row],[Amount]]</f>
        <v>0.1166936790923825</v>
      </c>
      <c r="Q759" s="6">
        <f>Table13[[#This Row],[Amount]]/Table13[[#This Row],[Quantity]]</f>
        <v>259.78947368421052</v>
      </c>
    </row>
    <row r="760" spans="1:17" x14ac:dyDescent="0.3">
      <c r="A760" t="s">
        <v>857</v>
      </c>
      <c r="B760">
        <v>4936</v>
      </c>
      <c r="C760">
        <v>576</v>
      </c>
      <c r="D760">
        <v>19</v>
      </c>
      <c r="E760" t="s">
        <v>45</v>
      </c>
      <c r="F760" t="s">
        <v>46</v>
      </c>
      <c r="G760" t="s">
        <v>65</v>
      </c>
      <c r="H760" s="1">
        <v>44697</v>
      </c>
      <c r="I760" t="s">
        <v>859</v>
      </c>
      <c r="J760" t="s">
        <v>25</v>
      </c>
      <c r="K760" t="s">
        <v>68</v>
      </c>
      <c r="L760" s="2" t="s">
        <v>180</v>
      </c>
      <c r="M760" t="str">
        <f>TEXT(Table13[[#This Row],[Order Date]],"MMM")</f>
        <v>May</v>
      </c>
      <c r="N760">
        <f>YEAR(Table13[[#This Row],[Order Date]])</f>
        <v>2022</v>
      </c>
      <c r="O760" t="str">
        <f>"Q"&amp;ROUNDUP(MONTH(Table13[[#This Row],[Order Date]])/3,0)</f>
        <v>Q2</v>
      </c>
      <c r="P760" s="5">
        <f>Table13[[#This Row],[Profit]]/Table13[[#This Row],[Amount]]</f>
        <v>0.1166936790923825</v>
      </c>
      <c r="Q760" s="6">
        <f>Table13[[#This Row],[Amount]]/Table13[[#This Row],[Quantity]]</f>
        <v>259.78947368421052</v>
      </c>
    </row>
    <row r="761" spans="1:17" x14ac:dyDescent="0.3">
      <c r="A761" t="s">
        <v>860</v>
      </c>
      <c r="B761">
        <v>2663</v>
      </c>
      <c r="C761">
        <v>64</v>
      </c>
      <c r="D761">
        <v>19</v>
      </c>
      <c r="E761" t="s">
        <v>45</v>
      </c>
      <c r="F761" t="s">
        <v>60</v>
      </c>
      <c r="G761" t="s">
        <v>65</v>
      </c>
      <c r="H761" s="1">
        <v>45459</v>
      </c>
      <c r="I761" t="s">
        <v>861</v>
      </c>
      <c r="J761" t="s">
        <v>42</v>
      </c>
      <c r="K761" t="s">
        <v>92</v>
      </c>
      <c r="L761" s="2" t="s">
        <v>262</v>
      </c>
      <c r="M761" t="str">
        <f>TEXT(Table13[[#This Row],[Order Date]],"MMM")</f>
        <v>Jun</v>
      </c>
      <c r="N761">
        <f>YEAR(Table13[[#This Row],[Order Date]])</f>
        <v>2024</v>
      </c>
      <c r="O761" t="str">
        <f>"Q"&amp;ROUNDUP(MONTH(Table13[[#This Row],[Order Date]])/3,0)</f>
        <v>Q2</v>
      </c>
      <c r="P761" s="5">
        <f>Table13[[#This Row],[Profit]]/Table13[[#This Row],[Amount]]</f>
        <v>2.403304543747653E-2</v>
      </c>
      <c r="Q761" s="6">
        <f>Table13[[#This Row],[Amount]]/Table13[[#This Row],[Quantity]]</f>
        <v>140.15789473684211</v>
      </c>
    </row>
    <row r="762" spans="1:17" x14ac:dyDescent="0.3">
      <c r="A762" t="s">
        <v>860</v>
      </c>
      <c r="B762">
        <v>2663</v>
      </c>
      <c r="C762">
        <v>64</v>
      </c>
      <c r="D762">
        <v>19</v>
      </c>
      <c r="E762" t="s">
        <v>45</v>
      </c>
      <c r="F762" t="s">
        <v>60</v>
      </c>
      <c r="G762" t="s">
        <v>65</v>
      </c>
      <c r="H762" s="1">
        <v>44492</v>
      </c>
      <c r="I762" t="s">
        <v>862</v>
      </c>
      <c r="J762" t="s">
        <v>98</v>
      </c>
      <c r="K762" t="s">
        <v>117</v>
      </c>
      <c r="L762" s="2" t="s">
        <v>37</v>
      </c>
      <c r="M762" t="str">
        <f>TEXT(Table13[[#This Row],[Order Date]],"MMM")</f>
        <v>Oct</v>
      </c>
      <c r="N762">
        <f>YEAR(Table13[[#This Row],[Order Date]])</f>
        <v>2021</v>
      </c>
      <c r="O762" t="str">
        <f>"Q"&amp;ROUNDUP(MONTH(Table13[[#This Row],[Order Date]])/3,0)</f>
        <v>Q4</v>
      </c>
      <c r="P762" s="5">
        <f>Table13[[#This Row],[Profit]]/Table13[[#This Row],[Amount]]</f>
        <v>2.403304543747653E-2</v>
      </c>
      <c r="Q762" s="6">
        <f>Table13[[#This Row],[Amount]]/Table13[[#This Row],[Quantity]]</f>
        <v>140.15789473684211</v>
      </c>
    </row>
    <row r="763" spans="1:17" x14ac:dyDescent="0.3">
      <c r="A763" t="s">
        <v>863</v>
      </c>
      <c r="B763">
        <v>5151</v>
      </c>
      <c r="C763">
        <v>1680</v>
      </c>
      <c r="D763">
        <v>5</v>
      </c>
      <c r="E763" t="s">
        <v>13</v>
      </c>
      <c r="F763" t="s">
        <v>28</v>
      </c>
      <c r="G763" t="s">
        <v>40</v>
      </c>
      <c r="H763" s="1">
        <v>44856</v>
      </c>
      <c r="I763" t="s">
        <v>864</v>
      </c>
      <c r="J763" t="s">
        <v>71</v>
      </c>
      <c r="K763" t="s">
        <v>138</v>
      </c>
      <c r="L763" s="2" t="s">
        <v>96</v>
      </c>
      <c r="M763" t="str">
        <f>TEXT(Table13[[#This Row],[Order Date]],"MMM")</f>
        <v>Oct</v>
      </c>
      <c r="N763">
        <f>YEAR(Table13[[#This Row],[Order Date]])</f>
        <v>2022</v>
      </c>
      <c r="O763" t="str">
        <f>"Q"&amp;ROUNDUP(MONTH(Table13[[#This Row],[Order Date]])/3,0)</f>
        <v>Q4</v>
      </c>
      <c r="P763" s="5">
        <f>Table13[[#This Row],[Profit]]/Table13[[#This Row],[Amount]]</f>
        <v>0.32615026208503201</v>
      </c>
      <c r="Q763" s="6">
        <f>Table13[[#This Row],[Amount]]/Table13[[#This Row],[Quantity]]</f>
        <v>1030.2</v>
      </c>
    </row>
    <row r="764" spans="1:17" x14ac:dyDescent="0.3">
      <c r="A764" t="s">
        <v>865</v>
      </c>
      <c r="B764">
        <v>2514</v>
      </c>
      <c r="C764">
        <v>95</v>
      </c>
      <c r="D764">
        <v>8</v>
      </c>
      <c r="E764" t="s">
        <v>30</v>
      </c>
      <c r="F764" t="s">
        <v>31</v>
      </c>
      <c r="G764" t="s">
        <v>15</v>
      </c>
      <c r="H764" s="1">
        <v>45124</v>
      </c>
      <c r="I764" t="s">
        <v>866</v>
      </c>
      <c r="J764" t="s">
        <v>25</v>
      </c>
      <c r="K764" t="s">
        <v>68</v>
      </c>
      <c r="L764" s="2" t="s">
        <v>105</v>
      </c>
      <c r="M764" t="str">
        <f>TEXT(Table13[[#This Row],[Order Date]],"MMM")</f>
        <v>Jul</v>
      </c>
      <c r="N764">
        <f>YEAR(Table13[[#This Row],[Order Date]])</f>
        <v>2023</v>
      </c>
      <c r="O764" t="str">
        <f>"Q"&amp;ROUNDUP(MONTH(Table13[[#This Row],[Order Date]])/3,0)</f>
        <v>Q3</v>
      </c>
      <c r="P764" s="5">
        <f>Table13[[#This Row],[Profit]]/Table13[[#This Row],[Amount]]</f>
        <v>3.7788385043754973E-2</v>
      </c>
      <c r="Q764" s="6">
        <f>Table13[[#This Row],[Amount]]/Table13[[#This Row],[Quantity]]</f>
        <v>314.25</v>
      </c>
    </row>
    <row r="765" spans="1:17" x14ac:dyDescent="0.3">
      <c r="A765" t="s">
        <v>867</v>
      </c>
      <c r="B765">
        <v>6129</v>
      </c>
      <c r="C765">
        <v>2976</v>
      </c>
      <c r="D765">
        <v>2</v>
      </c>
      <c r="E765" t="s">
        <v>13</v>
      </c>
      <c r="F765" t="s">
        <v>39</v>
      </c>
      <c r="G765" t="s">
        <v>40</v>
      </c>
      <c r="H765" s="1">
        <v>45712</v>
      </c>
      <c r="I765" t="s">
        <v>868</v>
      </c>
      <c r="J765" t="s">
        <v>25</v>
      </c>
      <c r="K765" t="s">
        <v>51</v>
      </c>
      <c r="L765" s="2" t="s">
        <v>73</v>
      </c>
      <c r="M765" t="str">
        <f>TEXT(Table13[[#This Row],[Order Date]],"MMM")</f>
        <v>Feb</v>
      </c>
      <c r="N765">
        <f>YEAR(Table13[[#This Row],[Order Date]])</f>
        <v>2025</v>
      </c>
      <c r="O765" t="str">
        <f>"Q"&amp;ROUNDUP(MONTH(Table13[[#This Row],[Order Date]])/3,0)</f>
        <v>Q1</v>
      </c>
      <c r="P765" s="5">
        <f>Table13[[#This Row],[Profit]]/Table13[[#This Row],[Amount]]</f>
        <v>0.48556045031815959</v>
      </c>
      <c r="Q765" s="6">
        <f>Table13[[#This Row],[Amount]]/Table13[[#This Row],[Quantity]]</f>
        <v>3064.5</v>
      </c>
    </row>
    <row r="766" spans="1:17" x14ac:dyDescent="0.3">
      <c r="A766" t="s">
        <v>867</v>
      </c>
      <c r="B766">
        <v>4395</v>
      </c>
      <c r="C766">
        <v>1663</v>
      </c>
      <c r="D766">
        <v>3</v>
      </c>
      <c r="E766" t="s">
        <v>45</v>
      </c>
      <c r="F766" t="s">
        <v>109</v>
      </c>
      <c r="G766" t="s">
        <v>65</v>
      </c>
      <c r="H766" s="1">
        <v>45712</v>
      </c>
      <c r="I766" t="s">
        <v>868</v>
      </c>
      <c r="J766" t="s">
        <v>25</v>
      </c>
      <c r="K766" t="s">
        <v>51</v>
      </c>
      <c r="L766" s="2" t="s">
        <v>73</v>
      </c>
      <c r="M766" t="str">
        <f>TEXT(Table13[[#This Row],[Order Date]],"MMM")</f>
        <v>Feb</v>
      </c>
      <c r="N766">
        <f>YEAR(Table13[[#This Row],[Order Date]])</f>
        <v>2025</v>
      </c>
      <c r="O766" t="str">
        <f>"Q"&amp;ROUNDUP(MONTH(Table13[[#This Row],[Order Date]])/3,0)</f>
        <v>Q1</v>
      </c>
      <c r="P766" s="5">
        <f>Table13[[#This Row],[Profit]]/Table13[[#This Row],[Amount]]</f>
        <v>0.37838452787258248</v>
      </c>
      <c r="Q766" s="6">
        <f>Table13[[#This Row],[Amount]]/Table13[[#This Row],[Quantity]]</f>
        <v>1465</v>
      </c>
    </row>
    <row r="767" spans="1:17" x14ac:dyDescent="0.3">
      <c r="A767" t="s">
        <v>869</v>
      </c>
      <c r="B767">
        <v>5393</v>
      </c>
      <c r="C767">
        <v>2642</v>
      </c>
      <c r="D767">
        <v>8</v>
      </c>
      <c r="E767" t="s">
        <v>45</v>
      </c>
      <c r="F767" t="s">
        <v>49</v>
      </c>
      <c r="G767" t="s">
        <v>15</v>
      </c>
      <c r="H767" s="1">
        <v>44262</v>
      </c>
      <c r="I767" t="s">
        <v>870</v>
      </c>
      <c r="J767" t="s">
        <v>98</v>
      </c>
      <c r="K767" t="s">
        <v>107</v>
      </c>
      <c r="L767" s="2" t="s">
        <v>167</v>
      </c>
      <c r="M767" t="str">
        <f>TEXT(Table13[[#This Row],[Order Date]],"MMM")</f>
        <v>Mar</v>
      </c>
      <c r="N767">
        <f>YEAR(Table13[[#This Row],[Order Date]])</f>
        <v>2021</v>
      </c>
      <c r="O767" t="str">
        <f>"Q"&amp;ROUNDUP(MONTH(Table13[[#This Row],[Order Date]])/3,0)</f>
        <v>Q1</v>
      </c>
      <c r="P767" s="5">
        <f>Table13[[#This Row],[Profit]]/Table13[[#This Row],[Amount]]</f>
        <v>0.48989430743556461</v>
      </c>
      <c r="Q767" s="6">
        <f>Table13[[#This Row],[Amount]]/Table13[[#This Row],[Quantity]]</f>
        <v>674.125</v>
      </c>
    </row>
    <row r="768" spans="1:17" x14ac:dyDescent="0.3">
      <c r="A768" t="s">
        <v>871</v>
      </c>
      <c r="B768">
        <v>2280</v>
      </c>
      <c r="C768">
        <v>509</v>
      </c>
      <c r="D768">
        <v>8</v>
      </c>
      <c r="E768" t="s">
        <v>13</v>
      </c>
      <c r="F768" t="s">
        <v>82</v>
      </c>
      <c r="G768" t="s">
        <v>47</v>
      </c>
      <c r="H768" s="1">
        <v>44199</v>
      </c>
      <c r="I768" t="s">
        <v>872</v>
      </c>
      <c r="J768" t="s">
        <v>25</v>
      </c>
      <c r="K768" t="s">
        <v>26</v>
      </c>
      <c r="L768" s="2" t="s">
        <v>276</v>
      </c>
      <c r="M768" t="str">
        <f>TEXT(Table13[[#This Row],[Order Date]],"MMM")</f>
        <v>Jan</v>
      </c>
      <c r="N768">
        <f>YEAR(Table13[[#This Row],[Order Date]])</f>
        <v>2021</v>
      </c>
      <c r="O768" t="str">
        <f>"Q"&amp;ROUNDUP(MONTH(Table13[[#This Row],[Order Date]])/3,0)</f>
        <v>Q1</v>
      </c>
      <c r="P768" s="5">
        <f>Table13[[#This Row],[Profit]]/Table13[[#This Row],[Amount]]</f>
        <v>0.22324561403508772</v>
      </c>
      <c r="Q768" s="6">
        <f>Table13[[#This Row],[Amount]]/Table13[[#This Row],[Quantity]]</f>
        <v>285</v>
      </c>
    </row>
    <row r="769" spans="1:17" x14ac:dyDescent="0.3">
      <c r="A769" t="s">
        <v>873</v>
      </c>
      <c r="B769">
        <v>6596</v>
      </c>
      <c r="C769">
        <v>1439</v>
      </c>
      <c r="D769">
        <v>9</v>
      </c>
      <c r="E769" t="s">
        <v>30</v>
      </c>
      <c r="F769" t="s">
        <v>64</v>
      </c>
      <c r="G769" t="s">
        <v>32</v>
      </c>
      <c r="H769" s="1">
        <v>45049</v>
      </c>
      <c r="I769" t="s">
        <v>874</v>
      </c>
      <c r="J769" t="s">
        <v>98</v>
      </c>
      <c r="K769" t="s">
        <v>107</v>
      </c>
      <c r="L769" s="2" t="s">
        <v>127</v>
      </c>
      <c r="M769" t="str">
        <f>TEXT(Table13[[#This Row],[Order Date]],"MMM")</f>
        <v>May</v>
      </c>
      <c r="N769">
        <f>YEAR(Table13[[#This Row],[Order Date]])</f>
        <v>2023</v>
      </c>
      <c r="O769" t="str">
        <f>"Q"&amp;ROUNDUP(MONTH(Table13[[#This Row],[Order Date]])/3,0)</f>
        <v>Q2</v>
      </c>
      <c r="P769" s="5">
        <f>Table13[[#This Row],[Profit]]/Table13[[#This Row],[Amount]]</f>
        <v>0.21816252274105519</v>
      </c>
      <c r="Q769" s="6">
        <f>Table13[[#This Row],[Amount]]/Table13[[#This Row],[Quantity]]</f>
        <v>732.88888888888891</v>
      </c>
    </row>
    <row r="770" spans="1:17" x14ac:dyDescent="0.3">
      <c r="A770" t="s">
        <v>875</v>
      </c>
      <c r="B770">
        <v>4510</v>
      </c>
      <c r="C770">
        <v>1896</v>
      </c>
      <c r="D770">
        <v>5</v>
      </c>
      <c r="E770" t="s">
        <v>30</v>
      </c>
      <c r="F770" t="s">
        <v>64</v>
      </c>
      <c r="G770" t="s">
        <v>40</v>
      </c>
      <c r="H770" s="1">
        <v>45224</v>
      </c>
      <c r="I770" t="s">
        <v>876</v>
      </c>
      <c r="J770" t="s">
        <v>42</v>
      </c>
      <c r="K770" t="s">
        <v>43</v>
      </c>
      <c r="L770" s="2" t="s">
        <v>442</v>
      </c>
      <c r="M770" t="str">
        <f>TEXT(Table13[[#This Row],[Order Date]],"MMM")</f>
        <v>Oct</v>
      </c>
      <c r="N770">
        <f>YEAR(Table13[[#This Row],[Order Date]])</f>
        <v>2023</v>
      </c>
      <c r="O770" t="str">
        <f>"Q"&amp;ROUNDUP(MONTH(Table13[[#This Row],[Order Date]])/3,0)</f>
        <v>Q4</v>
      </c>
      <c r="P770" s="5">
        <f>Table13[[#This Row],[Profit]]/Table13[[#This Row],[Amount]]</f>
        <v>0.42039911308203992</v>
      </c>
      <c r="Q770" s="6">
        <f>Table13[[#This Row],[Amount]]/Table13[[#This Row],[Quantity]]</f>
        <v>902</v>
      </c>
    </row>
    <row r="771" spans="1:17" x14ac:dyDescent="0.3">
      <c r="A771" t="s">
        <v>877</v>
      </c>
      <c r="B771">
        <v>6077</v>
      </c>
      <c r="C771">
        <v>2378</v>
      </c>
      <c r="D771">
        <v>18</v>
      </c>
      <c r="E771" t="s">
        <v>13</v>
      </c>
      <c r="F771" t="s">
        <v>82</v>
      </c>
      <c r="G771" t="s">
        <v>65</v>
      </c>
      <c r="H771" s="1">
        <v>44794</v>
      </c>
      <c r="I771" t="s">
        <v>878</v>
      </c>
      <c r="J771" t="s">
        <v>25</v>
      </c>
      <c r="K771" t="s">
        <v>51</v>
      </c>
      <c r="L771" s="2" t="s">
        <v>209</v>
      </c>
      <c r="M771" t="str">
        <f>TEXT(Table13[[#This Row],[Order Date]],"MMM")</f>
        <v>Aug</v>
      </c>
      <c r="N771">
        <f>YEAR(Table13[[#This Row],[Order Date]])</f>
        <v>2022</v>
      </c>
      <c r="O771" t="str">
        <f>"Q"&amp;ROUNDUP(MONTH(Table13[[#This Row],[Order Date]])/3,0)</f>
        <v>Q3</v>
      </c>
      <c r="P771" s="5">
        <f>Table13[[#This Row],[Profit]]/Table13[[#This Row],[Amount]]</f>
        <v>0.39131150238604573</v>
      </c>
      <c r="Q771" s="6">
        <f>Table13[[#This Row],[Amount]]/Table13[[#This Row],[Quantity]]</f>
        <v>337.61111111111109</v>
      </c>
    </row>
    <row r="772" spans="1:17" x14ac:dyDescent="0.3">
      <c r="A772" t="s">
        <v>879</v>
      </c>
      <c r="B772">
        <v>5379</v>
      </c>
      <c r="C772">
        <v>2510</v>
      </c>
      <c r="D772">
        <v>17</v>
      </c>
      <c r="E772" t="s">
        <v>13</v>
      </c>
      <c r="F772" t="s">
        <v>28</v>
      </c>
      <c r="G772" t="s">
        <v>65</v>
      </c>
      <c r="H772" s="1">
        <v>44667</v>
      </c>
      <c r="I772" t="s">
        <v>880</v>
      </c>
      <c r="J772" t="s">
        <v>98</v>
      </c>
      <c r="K772" t="s">
        <v>99</v>
      </c>
      <c r="L772" s="2" t="s">
        <v>187</v>
      </c>
      <c r="M772" t="str">
        <f>TEXT(Table13[[#This Row],[Order Date]],"MMM")</f>
        <v>Apr</v>
      </c>
      <c r="N772">
        <f>YEAR(Table13[[#This Row],[Order Date]])</f>
        <v>2022</v>
      </c>
      <c r="O772" t="str">
        <f>"Q"&amp;ROUNDUP(MONTH(Table13[[#This Row],[Order Date]])/3,0)</f>
        <v>Q2</v>
      </c>
      <c r="P772" s="5">
        <f>Table13[[#This Row],[Profit]]/Table13[[#This Row],[Amount]]</f>
        <v>0.466629485034393</v>
      </c>
      <c r="Q772" s="6">
        <f>Table13[[#This Row],[Amount]]/Table13[[#This Row],[Quantity]]</f>
        <v>316.41176470588238</v>
      </c>
    </row>
    <row r="773" spans="1:17" x14ac:dyDescent="0.3">
      <c r="A773" t="s">
        <v>881</v>
      </c>
      <c r="B773">
        <v>4629</v>
      </c>
      <c r="C773">
        <v>1660</v>
      </c>
      <c r="D773">
        <v>16</v>
      </c>
      <c r="E773" t="s">
        <v>30</v>
      </c>
      <c r="F773" t="s">
        <v>57</v>
      </c>
      <c r="G773" t="s">
        <v>40</v>
      </c>
      <c r="H773" s="1">
        <v>45018</v>
      </c>
      <c r="I773" t="s">
        <v>882</v>
      </c>
      <c r="J773" t="s">
        <v>42</v>
      </c>
      <c r="K773" t="s">
        <v>75</v>
      </c>
      <c r="L773" s="2" t="s">
        <v>145</v>
      </c>
      <c r="M773" t="str">
        <f>TEXT(Table13[[#This Row],[Order Date]],"MMM")</f>
        <v>Apr</v>
      </c>
      <c r="N773">
        <f>YEAR(Table13[[#This Row],[Order Date]])</f>
        <v>2023</v>
      </c>
      <c r="O773" t="str">
        <f>"Q"&amp;ROUNDUP(MONTH(Table13[[#This Row],[Order Date]])/3,0)</f>
        <v>Q2</v>
      </c>
      <c r="P773" s="5">
        <f>Table13[[#This Row],[Profit]]/Table13[[#This Row],[Amount]]</f>
        <v>0.35860877079282782</v>
      </c>
      <c r="Q773" s="6">
        <f>Table13[[#This Row],[Amount]]/Table13[[#This Row],[Quantity]]</f>
        <v>289.3125</v>
      </c>
    </row>
    <row r="774" spans="1:17" x14ac:dyDescent="0.3">
      <c r="A774" t="s">
        <v>883</v>
      </c>
      <c r="B774">
        <v>2710</v>
      </c>
      <c r="C774">
        <v>555</v>
      </c>
      <c r="D774">
        <v>20</v>
      </c>
      <c r="E774" t="s">
        <v>13</v>
      </c>
      <c r="F774" t="s">
        <v>39</v>
      </c>
      <c r="G774" t="s">
        <v>32</v>
      </c>
      <c r="H774" s="1">
        <v>45586</v>
      </c>
      <c r="I774" t="s">
        <v>884</v>
      </c>
      <c r="J774" t="s">
        <v>21</v>
      </c>
      <c r="K774" t="s">
        <v>22</v>
      </c>
      <c r="L774" s="2" t="s">
        <v>360</v>
      </c>
      <c r="M774" t="str">
        <f>TEXT(Table13[[#This Row],[Order Date]],"MMM")</f>
        <v>Oct</v>
      </c>
      <c r="N774">
        <f>YEAR(Table13[[#This Row],[Order Date]])</f>
        <v>2024</v>
      </c>
      <c r="O774" t="str">
        <f>"Q"&amp;ROUNDUP(MONTH(Table13[[#This Row],[Order Date]])/3,0)</f>
        <v>Q4</v>
      </c>
      <c r="P774" s="5">
        <f>Table13[[#This Row],[Profit]]/Table13[[#This Row],[Amount]]</f>
        <v>0.20479704797047971</v>
      </c>
      <c r="Q774" s="6">
        <f>Table13[[#This Row],[Amount]]/Table13[[#This Row],[Quantity]]</f>
        <v>135.5</v>
      </c>
    </row>
    <row r="775" spans="1:17" x14ac:dyDescent="0.3">
      <c r="A775" t="s">
        <v>883</v>
      </c>
      <c r="B775">
        <v>3224</v>
      </c>
      <c r="C775">
        <v>1018</v>
      </c>
      <c r="D775">
        <v>14</v>
      </c>
      <c r="E775" t="s">
        <v>30</v>
      </c>
      <c r="F775" t="s">
        <v>78</v>
      </c>
      <c r="G775" t="s">
        <v>15</v>
      </c>
      <c r="H775" s="1">
        <v>45586</v>
      </c>
      <c r="I775" t="s">
        <v>884</v>
      </c>
      <c r="J775" t="s">
        <v>21</v>
      </c>
      <c r="K775" t="s">
        <v>22</v>
      </c>
      <c r="L775" s="2" t="s">
        <v>360</v>
      </c>
      <c r="M775" t="str">
        <f>TEXT(Table13[[#This Row],[Order Date]],"MMM")</f>
        <v>Oct</v>
      </c>
      <c r="N775">
        <f>YEAR(Table13[[#This Row],[Order Date]])</f>
        <v>2024</v>
      </c>
      <c r="O775" t="str">
        <f>"Q"&amp;ROUNDUP(MONTH(Table13[[#This Row],[Order Date]])/3,0)</f>
        <v>Q4</v>
      </c>
      <c r="P775" s="5">
        <f>Table13[[#This Row],[Profit]]/Table13[[#This Row],[Amount]]</f>
        <v>0.31575682382133996</v>
      </c>
      <c r="Q775" s="6">
        <f>Table13[[#This Row],[Amount]]/Table13[[#This Row],[Quantity]]</f>
        <v>230.28571428571428</v>
      </c>
    </row>
    <row r="776" spans="1:17" x14ac:dyDescent="0.3">
      <c r="A776" t="s">
        <v>885</v>
      </c>
      <c r="B776">
        <v>8042</v>
      </c>
      <c r="C776">
        <v>936</v>
      </c>
      <c r="D776">
        <v>15</v>
      </c>
      <c r="E776" t="s">
        <v>30</v>
      </c>
      <c r="F776" t="s">
        <v>57</v>
      </c>
      <c r="G776" t="s">
        <v>40</v>
      </c>
      <c r="H776" s="1">
        <v>44386</v>
      </c>
      <c r="I776" t="s">
        <v>886</v>
      </c>
      <c r="J776" t="s">
        <v>21</v>
      </c>
      <c r="K776" t="s">
        <v>63</v>
      </c>
      <c r="L776" s="2" t="s">
        <v>27</v>
      </c>
      <c r="M776" t="str">
        <f>TEXT(Table13[[#This Row],[Order Date]],"MMM")</f>
        <v>Jul</v>
      </c>
      <c r="N776">
        <f>YEAR(Table13[[#This Row],[Order Date]])</f>
        <v>2021</v>
      </c>
      <c r="O776" t="str">
        <f>"Q"&amp;ROUNDUP(MONTH(Table13[[#This Row],[Order Date]])/3,0)</f>
        <v>Q3</v>
      </c>
      <c r="P776" s="5">
        <f>Table13[[#This Row],[Profit]]/Table13[[#This Row],[Amount]]</f>
        <v>0.11638895797065407</v>
      </c>
      <c r="Q776" s="6">
        <f>Table13[[#This Row],[Amount]]/Table13[[#This Row],[Quantity]]</f>
        <v>536.13333333333333</v>
      </c>
    </row>
    <row r="777" spans="1:17" x14ac:dyDescent="0.3">
      <c r="A777" t="s">
        <v>885</v>
      </c>
      <c r="B777">
        <v>8042</v>
      </c>
      <c r="C777">
        <v>936</v>
      </c>
      <c r="D777">
        <v>15</v>
      </c>
      <c r="E777" t="s">
        <v>30</v>
      </c>
      <c r="F777" t="s">
        <v>57</v>
      </c>
      <c r="G777" t="s">
        <v>40</v>
      </c>
      <c r="H777" s="1">
        <v>44659</v>
      </c>
      <c r="I777" t="s">
        <v>887</v>
      </c>
      <c r="J777" t="s">
        <v>42</v>
      </c>
      <c r="K777" t="s">
        <v>43</v>
      </c>
      <c r="L777" s="2" t="s">
        <v>187</v>
      </c>
      <c r="M777" t="str">
        <f>TEXT(Table13[[#This Row],[Order Date]],"MMM")</f>
        <v>Apr</v>
      </c>
      <c r="N777">
        <f>YEAR(Table13[[#This Row],[Order Date]])</f>
        <v>2022</v>
      </c>
      <c r="O777" t="str">
        <f>"Q"&amp;ROUNDUP(MONTH(Table13[[#This Row],[Order Date]])/3,0)</f>
        <v>Q2</v>
      </c>
      <c r="P777" s="5">
        <f>Table13[[#This Row],[Profit]]/Table13[[#This Row],[Amount]]</f>
        <v>0.11638895797065407</v>
      </c>
      <c r="Q777" s="6">
        <f>Table13[[#This Row],[Amount]]/Table13[[#This Row],[Quantity]]</f>
        <v>536.13333333333333</v>
      </c>
    </row>
    <row r="778" spans="1:17" x14ac:dyDescent="0.3">
      <c r="A778" t="s">
        <v>888</v>
      </c>
      <c r="B778">
        <v>3957</v>
      </c>
      <c r="C778">
        <v>151</v>
      </c>
      <c r="D778">
        <v>10</v>
      </c>
      <c r="E778" t="s">
        <v>30</v>
      </c>
      <c r="F778" t="s">
        <v>78</v>
      </c>
      <c r="G778" t="s">
        <v>40</v>
      </c>
      <c r="H778" s="1">
        <v>44681</v>
      </c>
      <c r="I778" t="s">
        <v>889</v>
      </c>
      <c r="J778" t="s">
        <v>71</v>
      </c>
      <c r="K778" t="s">
        <v>86</v>
      </c>
      <c r="L778" s="2" t="s">
        <v>187</v>
      </c>
      <c r="M778" t="str">
        <f>TEXT(Table13[[#This Row],[Order Date]],"MMM")</f>
        <v>Apr</v>
      </c>
      <c r="N778">
        <f>YEAR(Table13[[#This Row],[Order Date]])</f>
        <v>2022</v>
      </c>
      <c r="O778" t="str">
        <f>"Q"&amp;ROUNDUP(MONTH(Table13[[#This Row],[Order Date]])/3,0)</f>
        <v>Q2</v>
      </c>
      <c r="P778" s="5">
        <f>Table13[[#This Row],[Profit]]/Table13[[#This Row],[Amount]]</f>
        <v>3.8160222390700028E-2</v>
      </c>
      <c r="Q778" s="6">
        <f>Table13[[#This Row],[Amount]]/Table13[[#This Row],[Quantity]]</f>
        <v>395.7</v>
      </c>
    </row>
    <row r="779" spans="1:17" x14ac:dyDescent="0.3">
      <c r="A779" t="s">
        <v>890</v>
      </c>
      <c r="B779">
        <v>8769</v>
      </c>
      <c r="C779">
        <v>3178</v>
      </c>
      <c r="D779">
        <v>16</v>
      </c>
      <c r="E779" t="s">
        <v>30</v>
      </c>
      <c r="F779" t="s">
        <v>57</v>
      </c>
      <c r="G779" t="s">
        <v>32</v>
      </c>
      <c r="H779" s="1">
        <v>44946</v>
      </c>
      <c r="I779" t="s">
        <v>891</v>
      </c>
      <c r="J779" t="s">
        <v>21</v>
      </c>
      <c r="K779" t="s">
        <v>22</v>
      </c>
      <c r="L779" s="2" t="s">
        <v>333</v>
      </c>
      <c r="M779" t="str">
        <f>TEXT(Table13[[#This Row],[Order Date]],"MMM")</f>
        <v>Jan</v>
      </c>
      <c r="N779">
        <f>YEAR(Table13[[#This Row],[Order Date]])</f>
        <v>2023</v>
      </c>
      <c r="O779" t="str">
        <f>"Q"&amp;ROUNDUP(MONTH(Table13[[#This Row],[Order Date]])/3,0)</f>
        <v>Q1</v>
      </c>
      <c r="P779" s="5">
        <f>Table13[[#This Row],[Profit]]/Table13[[#This Row],[Amount]]</f>
        <v>0.36241304595734974</v>
      </c>
      <c r="Q779" s="6">
        <f>Table13[[#This Row],[Amount]]/Table13[[#This Row],[Quantity]]</f>
        <v>548.0625</v>
      </c>
    </row>
    <row r="780" spans="1:17" x14ac:dyDescent="0.3">
      <c r="A780" t="s">
        <v>892</v>
      </c>
      <c r="B780">
        <v>2957</v>
      </c>
      <c r="C780">
        <v>917</v>
      </c>
      <c r="D780">
        <v>16</v>
      </c>
      <c r="E780" t="s">
        <v>30</v>
      </c>
      <c r="F780" t="s">
        <v>31</v>
      </c>
      <c r="G780" t="s">
        <v>32</v>
      </c>
      <c r="H780" s="1">
        <v>45613</v>
      </c>
      <c r="I780" t="s">
        <v>893</v>
      </c>
      <c r="J780" t="s">
        <v>21</v>
      </c>
      <c r="K780" t="s">
        <v>22</v>
      </c>
      <c r="L780" s="2" t="s">
        <v>255</v>
      </c>
      <c r="M780" t="str">
        <f>TEXT(Table13[[#This Row],[Order Date]],"MMM")</f>
        <v>Nov</v>
      </c>
      <c r="N780">
        <f>YEAR(Table13[[#This Row],[Order Date]])</f>
        <v>2024</v>
      </c>
      <c r="O780" t="str">
        <f>"Q"&amp;ROUNDUP(MONTH(Table13[[#This Row],[Order Date]])/3,0)</f>
        <v>Q4</v>
      </c>
      <c r="P780" s="5">
        <f>Table13[[#This Row],[Profit]]/Table13[[#This Row],[Amount]]</f>
        <v>0.31011159959418327</v>
      </c>
      <c r="Q780" s="6">
        <f>Table13[[#This Row],[Amount]]/Table13[[#This Row],[Quantity]]</f>
        <v>184.8125</v>
      </c>
    </row>
    <row r="781" spans="1:17" x14ac:dyDescent="0.3">
      <c r="A781" t="s">
        <v>894</v>
      </c>
      <c r="B781">
        <v>5344</v>
      </c>
      <c r="C781">
        <v>2607</v>
      </c>
      <c r="D781">
        <v>6</v>
      </c>
      <c r="E781" t="s">
        <v>30</v>
      </c>
      <c r="F781" t="s">
        <v>64</v>
      </c>
      <c r="G781" t="s">
        <v>32</v>
      </c>
      <c r="H781" s="1">
        <v>44674</v>
      </c>
      <c r="I781" t="s">
        <v>895</v>
      </c>
      <c r="J781" t="s">
        <v>71</v>
      </c>
      <c r="K781" t="s">
        <v>72</v>
      </c>
      <c r="L781" s="2" t="s">
        <v>187</v>
      </c>
      <c r="M781" t="str">
        <f>TEXT(Table13[[#This Row],[Order Date]],"MMM")</f>
        <v>Apr</v>
      </c>
      <c r="N781">
        <f>YEAR(Table13[[#This Row],[Order Date]])</f>
        <v>2022</v>
      </c>
      <c r="O781" t="str">
        <f>"Q"&amp;ROUNDUP(MONTH(Table13[[#This Row],[Order Date]])/3,0)</f>
        <v>Q2</v>
      </c>
      <c r="P781" s="5">
        <f>Table13[[#This Row],[Profit]]/Table13[[#This Row],[Amount]]</f>
        <v>0.48783682634730541</v>
      </c>
      <c r="Q781" s="6">
        <f>Table13[[#This Row],[Amount]]/Table13[[#This Row],[Quantity]]</f>
        <v>890.66666666666663</v>
      </c>
    </row>
    <row r="782" spans="1:17" x14ac:dyDescent="0.3">
      <c r="A782" t="s">
        <v>894</v>
      </c>
      <c r="B782">
        <v>5344</v>
      </c>
      <c r="C782">
        <v>2607</v>
      </c>
      <c r="D782">
        <v>6</v>
      </c>
      <c r="E782" t="s">
        <v>30</v>
      </c>
      <c r="F782" t="s">
        <v>64</v>
      </c>
      <c r="G782" t="s">
        <v>32</v>
      </c>
      <c r="H782" s="1">
        <v>45706</v>
      </c>
      <c r="I782" t="s">
        <v>896</v>
      </c>
      <c r="J782" t="s">
        <v>25</v>
      </c>
      <c r="K782" t="s">
        <v>68</v>
      </c>
      <c r="L782" s="2" t="s">
        <v>73</v>
      </c>
      <c r="M782" t="str">
        <f>TEXT(Table13[[#This Row],[Order Date]],"MMM")</f>
        <v>Feb</v>
      </c>
      <c r="N782">
        <f>YEAR(Table13[[#This Row],[Order Date]])</f>
        <v>2025</v>
      </c>
      <c r="O782" t="str">
        <f>"Q"&amp;ROUNDUP(MONTH(Table13[[#This Row],[Order Date]])/3,0)</f>
        <v>Q1</v>
      </c>
      <c r="P782" s="5">
        <f>Table13[[#This Row],[Profit]]/Table13[[#This Row],[Amount]]</f>
        <v>0.48783682634730541</v>
      </c>
      <c r="Q782" s="6">
        <f>Table13[[#This Row],[Amount]]/Table13[[#This Row],[Quantity]]</f>
        <v>890.66666666666663</v>
      </c>
    </row>
    <row r="783" spans="1:17" x14ac:dyDescent="0.3">
      <c r="A783" t="s">
        <v>897</v>
      </c>
      <c r="B783">
        <v>6061</v>
      </c>
      <c r="C783">
        <v>2121</v>
      </c>
      <c r="D783">
        <v>19</v>
      </c>
      <c r="E783" t="s">
        <v>13</v>
      </c>
      <c r="F783" t="s">
        <v>39</v>
      </c>
      <c r="G783" t="s">
        <v>40</v>
      </c>
      <c r="H783" s="1">
        <v>44343</v>
      </c>
      <c r="I783" t="s">
        <v>898</v>
      </c>
      <c r="J783" t="s">
        <v>98</v>
      </c>
      <c r="K783" t="s">
        <v>117</v>
      </c>
      <c r="L783" s="2" t="s">
        <v>108</v>
      </c>
      <c r="M783" t="str">
        <f>TEXT(Table13[[#This Row],[Order Date]],"MMM")</f>
        <v>May</v>
      </c>
      <c r="N783">
        <f>YEAR(Table13[[#This Row],[Order Date]])</f>
        <v>2021</v>
      </c>
      <c r="O783" t="str">
        <f>"Q"&amp;ROUNDUP(MONTH(Table13[[#This Row],[Order Date]])/3,0)</f>
        <v>Q2</v>
      </c>
      <c r="P783" s="5">
        <f>Table13[[#This Row],[Profit]]/Table13[[#This Row],[Amount]]</f>
        <v>0.34994225375350602</v>
      </c>
      <c r="Q783" s="6">
        <f>Table13[[#This Row],[Amount]]/Table13[[#This Row],[Quantity]]</f>
        <v>319</v>
      </c>
    </row>
    <row r="784" spans="1:17" x14ac:dyDescent="0.3">
      <c r="A784" t="s">
        <v>897</v>
      </c>
      <c r="B784">
        <v>6061</v>
      </c>
      <c r="C784">
        <v>2121</v>
      </c>
      <c r="D784">
        <v>19</v>
      </c>
      <c r="E784" t="s">
        <v>13</v>
      </c>
      <c r="F784" t="s">
        <v>39</v>
      </c>
      <c r="G784" t="s">
        <v>40</v>
      </c>
      <c r="H784" s="1">
        <v>44578</v>
      </c>
      <c r="I784" t="s">
        <v>899</v>
      </c>
      <c r="J784" t="s">
        <v>42</v>
      </c>
      <c r="K784" t="s">
        <v>75</v>
      </c>
      <c r="L784" s="2" t="s">
        <v>87</v>
      </c>
      <c r="M784" t="str">
        <f>TEXT(Table13[[#This Row],[Order Date]],"MMM")</f>
        <v>Jan</v>
      </c>
      <c r="N784">
        <f>YEAR(Table13[[#This Row],[Order Date]])</f>
        <v>2022</v>
      </c>
      <c r="O784" t="str">
        <f>"Q"&amp;ROUNDUP(MONTH(Table13[[#This Row],[Order Date]])/3,0)</f>
        <v>Q1</v>
      </c>
      <c r="P784" s="5">
        <f>Table13[[#This Row],[Profit]]/Table13[[#This Row],[Amount]]</f>
        <v>0.34994225375350602</v>
      </c>
      <c r="Q784" s="6">
        <f>Table13[[#This Row],[Amount]]/Table13[[#This Row],[Quantity]]</f>
        <v>319</v>
      </c>
    </row>
    <row r="785" spans="1:17" x14ac:dyDescent="0.3">
      <c r="A785" t="s">
        <v>900</v>
      </c>
      <c r="B785">
        <v>5376</v>
      </c>
      <c r="C785">
        <v>1928</v>
      </c>
      <c r="D785">
        <v>7</v>
      </c>
      <c r="E785" t="s">
        <v>45</v>
      </c>
      <c r="F785" t="s">
        <v>46</v>
      </c>
      <c r="G785" t="s">
        <v>47</v>
      </c>
      <c r="H785" s="1">
        <v>45672</v>
      </c>
      <c r="I785" t="s">
        <v>901</v>
      </c>
      <c r="J785" t="s">
        <v>25</v>
      </c>
      <c r="K785" t="s">
        <v>51</v>
      </c>
      <c r="L785" s="2" t="s">
        <v>308</v>
      </c>
      <c r="M785" t="str">
        <f>TEXT(Table13[[#This Row],[Order Date]],"MMM")</f>
        <v>Jan</v>
      </c>
      <c r="N785">
        <f>YEAR(Table13[[#This Row],[Order Date]])</f>
        <v>2025</v>
      </c>
      <c r="O785" t="str">
        <f>"Q"&amp;ROUNDUP(MONTH(Table13[[#This Row],[Order Date]])/3,0)</f>
        <v>Q1</v>
      </c>
      <c r="P785" s="5">
        <f>Table13[[#This Row],[Profit]]/Table13[[#This Row],[Amount]]</f>
        <v>0.35863095238095238</v>
      </c>
      <c r="Q785" s="6">
        <f>Table13[[#This Row],[Amount]]/Table13[[#This Row],[Quantity]]</f>
        <v>768</v>
      </c>
    </row>
    <row r="786" spans="1:17" x14ac:dyDescent="0.3">
      <c r="A786" t="s">
        <v>902</v>
      </c>
      <c r="B786">
        <v>2792</v>
      </c>
      <c r="C786">
        <v>1008</v>
      </c>
      <c r="D786">
        <v>8</v>
      </c>
      <c r="E786" t="s">
        <v>13</v>
      </c>
      <c r="F786" t="s">
        <v>28</v>
      </c>
      <c r="G786" t="s">
        <v>65</v>
      </c>
      <c r="H786" s="1">
        <v>44241</v>
      </c>
      <c r="I786" t="s">
        <v>903</v>
      </c>
      <c r="J786" t="s">
        <v>17</v>
      </c>
      <c r="K786" t="s">
        <v>18</v>
      </c>
      <c r="L786" s="2" t="s">
        <v>292</v>
      </c>
      <c r="M786" t="str">
        <f>TEXT(Table13[[#This Row],[Order Date]],"MMM")</f>
        <v>Feb</v>
      </c>
      <c r="N786">
        <f>YEAR(Table13[[#This Row],[Order Date]])</f>
        <v>2021</v>
      </c>
      <c r="O786" t="str">
        <f>"Q"&amp;ROUNDUP(MONTH(Table13[[#This Row],[Order Date]])/3,0)</f>
        <v>Q1</v>
      </c>
      <c r="P786" s="5">
        <f>Table13[[#This Row],[Profit]]/Table13[[#This Row],[Amount]]</f>
        <v>0.36103151862464183</v>
      </c>
      <c r="Q786" s="6">
        <f>Table13[[#This Row],[Amount]]/Table13[[#This Row],[Quantity]]</f>
        <v>349</v>
      </c>
    </row>
    <row r="787" spans="1:17" x14ac:dyDescent="0.3">
      <c r="A787" t="s">
        <v>904</v>
      </c>
      <c r="B787">
        <v>2944</v>
      </c>
      <c r="C787">
        <v>249</v>
      </c>
      <c r="D787">
        <v>5</v>
      </c>
      <c r="E787" t="s">
        <v>30</v>
      </c>
      <c r="F787" t="s">
        <v>78</v>
      </c>
      <c r="G787" t="s">
        <v>47</v>
      </c>
      <c r="H787" s="1">
        <v>45535</v>
      </c>
      <c r="I787" t="s">
        <v>905</v>
      </c>
      <c r="J787" t="s">
        <v>98</v>
      </c>
      <c r="K787" t="s">
        <v>99</v>
      </c>
      <c r="L787" s="2" t="s">
        <v>114</v>
      </c>
      <c r="M787" t="str">
        <f>TEXT(Table13[[#This Row],[Order Date]],"MMM")</f>
        <v>Aug</v>
      </c>
      <c r="N787">
        <f>YEAR(Table13[[#This Row],[Order Date]])</f>
        <v>2024</v>
      </c>
      <c r="O787" t="str">
        <f>"Q"&amp;ROUNDUP(MONTH(Table13[[#This Row],[Order Date]])/3,0)</f>
        <v>Q3</v>
      </c>
      <c r="P787" s="5">
        <f>Table13[[#This Row],[Profit]]/Table13[[#This Row],[Amount]]</f>
        <v>8.4578804347826081E-2</v>
      </c>
      <c r="Q787" s="6">
        <f>Table13[[#This Row],[Amount]]/Table13[[#This Row],[Quantity]]</f>
        <v>588.79999999999995</v>
      </c>
    </row>
    <row r="788" spans="1:17" x14ac:dyDescent="0.3">
      <c r="A788" t="s">
        <v>904</v>
      </c>
      <c r="B788">
        <v>2944</v>
      </c>
      <c r="C788">
        <v>249</v>
      </c>
      <c r="D788">
        <v>5</v>
      </c>
      <c r="E788" t="s">
        <v>30</v>
      </c>
      <c r="F788" t="s">
        <v>78</v>
      </c>
      <c r="G788" t="s">
        <v>47</v>
      </c>
      <c r="H788" s="1">
        <v>44921</v>
      </c>
      <c r="I788" t="s">
        <v>906</v>
      </c>
      <c r="J788" t="s">
        <v>71</v>
      </c>
      <c r="K788" t="s">
        <v>72</v>
      </c>
      <c r="L788" s="2" t="s">
        <v>152</v>
      </c>
      <c r="M788" t="str">
        <f>TEXT(Table13[[#This Row],[Order Date]],"MMM")</f>
        <v>Dec</v>
      </c>
      <c r="N788">
        <f>YEAR(Table13[[#This Row],[Order Date]])</f>
        <v>2022</v>
      </c>
      <c r="O788" t="str">
        <f>"Q"&amp;ROUNDUP(MONTH(Table13[[#This Row],[Order Date]])/3,0)</f>
        <v>Q4</v>
      </c>
      <c r="P788" s="5">
        <f>Table13[[#This Row],[Profit]]/Table13[[#This Row],[Amount]]</f>
        <v>8.4578804347826081E-2</v>
      </c>
      <c r="Q788" s="6">
        <f>Table13[[#This Row],[Amount]]/Table13[[#This Row],[Quantity]]</f>
        <v>588.79999999999995</v>
      </c>
    </row>
    <row r="789" spans="1:17" x14ac:dyDescent="0.3">
      <c r="A789" t="s">
        <v>907</v>
      </c>
      <c r="B789">
        <v>4220</v>
      </c>
      <c r="C789">
        <v>945</v>
      </c>
      <c r="D789">
        <v>13</v>
      </c>
      <c r="E789" t="s">
        <v>30</v>
      </c>
      <c r="F789" t="s">
        <v>57</v>
      </c>
      <c r="G789" t="s">
        <v>40</v>
      </c>
      <c r="H789" s="1">
        <v>45372</v>
      </c>
      <c r="I789" t="s">
        <v>908</v>
      </c>
      <c r="J789" t="s">
        <v>21</v>
      </c>
      <c r="K789" t="s">
        <v>63</v>
      </c>
      <c r="L789" s="2" t="s">
        <v>338</v>
      </c>
      <c r="M789" t="str">
        <f>TEXT(Table13[[#This Row],[Order Date]],"MMM")</f>
        <v>Mar</v>
      </c>
      <c r="N789">
        <f>YEAR(Table13[[#This Row],[Order Date]])</f>
        <v>2024</v>
      </c>
      <c r="O789" t="str">
        <f>"Q"&amp;ROUNDUP(MONTH(Table13[[#This Row],[Order Date]])/3,0)</f>
        <v>Q1</v>
      </c>
      <c r="P789" s="5">
        <f>Table13[[#This Row],[Profit]]/Table13[[#This Row],[Amount]]</f>
        <v>0.22393364928909953</v>
      </c>
      <c r="Q789" s="6">
        <f>Table13[[#This Row],[Amount]]/Table13[[#This Row],[Quantity]]</f>
        <v>324.61538461538464</v>
      </c>
    </row>
    <row r="790" spans="1:17" x14ac:dyDescent="0.3">
      <c r="A790" t="s">
        <v>907</v>
      </c>
      <c r="B790">
        <v>4220</v>
      </c>
      <c r="C790">
        <v>945</v>
      </c>
      <c r="D790">
        <v>13</v>
      </c>
      <c r="E790" t="s">
        <v>30</v>
      </c>
      <c r="F790" t="s">
        <v>57</v>
      </c>
      <c r="G790" t="s">
        <v>40</v>
      </c>
      <c r="H790" s="1">
        <v>44180</v>
      </c>
      <c r="I790" t="s">
        <v>909</v>
      </c>
      <c r="J790" t="s">
        <v>21</v>
      </c>
      <c r="K790" t="s">
        <v>172</v>
      </c>
      <c r="L790" s="2" t="s">
        <v>287</v>
      </c>
      <c r="M790" t="str">
        <f>TEXT(Table13[[#This Row],[Order Date]],"MMM")</f>
        <v>Dec</v>
      </c>
      <c r="N790">
        <f>YEAR(Table13[[#This Row],[Order Date]])</f>
        <v>2020</v>
      </c>
      <c r="O790" t="str">
        <f>"Q"&amp;ROUNDUP(MONTH(Table13[[#This Row],[Order Date]])/3,0)</f>
        <v>Q4</v>
      </c>
      <c r="P790" s="5">
        <f>Table13[[#This Row],[Profit]]/Table13[[#This Row],[Amount]]</f>
        <v>0.22393364928909953</v>
      </c>
      <c r="Q790" s="6">
        <f>Table13[[#This Row],[Amount]]/Table13[[#This Row],[Quantity]]</f>
        <v>324.61538461538464</v>
      </c>
    </row>
    <row r="791" spans="1:17" x14ac:dyDescent="0.3">
      <c r="A791" t="s">
        <v>910</v>
      </c>
      <c r="B791">
        <v>8526</v>
      </c>
      <c r="C791">
        <v>1704</v>
      </c>
      <c r="D791">
        <v>4</v>
      </c>
      <c r="E791" t="s">
        <v>30</v>
      </c>
      <c r="F791" t="s">
        <v>78</v>
      </c>
      <c r="G791" t="s">
        <v>32</v>
      </c>
      <c r="H791" s="1">
        <v>45006</v>
      </c>
      <c r="I791" t="s">
        <v>911</v>
      </c>
      <c r="J791" t="s">
        <v>71</v>
      </c>
      <c r="K791" t="s">
        <v>86</v>
      </c>
      <c r="L791" s="2" t="s">
        <v>245</v>
      </c>
      <c r="M791" t="str">
        <f>TEXT(Table13[[#This Row],[Order Date]],"MMM")</f>
        <v>Mar</v>
      </c>
      <c r="N791">
        <f>YEAR(Table13[[#This Row],[Order Date]])</f>
        <v>2023</v>
      </c>
      <c r="O791" t="str">
        <f>"Q"&amp;ROUNDUP(MONTH(Table13[[#This Row],[Order Date]])/3,0)</f>
        <v>Q1</v>
      </c>
      <c r="P791" s="5">
        <f>Table13[[#This Row],[Profit]]/Table13[[#This Row],[Amount]]</f>
        <v>0.19985925404644617</v>
      </c>
      <c r="Q791" s="6">
        <f>Table13[[#This Row],[Amount]]/Table13[[#This Row],[Quantity]]</f>
        <v>2131.5</v>
      </c>
    </row>
    <row r="792" spans="1:17" x14ac:dyDescent="0.3">
      <c r="A792" t="s">
        <v>912</v>
      </c>
      <c r="B792">
        <v>8218</v>
      </c>
      <c r="C792">
        <v>1430</v>
      </c>
      <c r="D792">
        <v>19</v>
      </c>
      <c r="E792" t="s">
        <v>45</v>
      </c>
      <c r="F792" t="s">
        <v>109</v>
      </c>
      <c r="G792" t="s">
        <v>47</v>
      </c>
      <c r="H792" s="1">
        <v>45085</v>
      </c>
      <c r="I792" t="s">
        <v>913</v>
      </c>
      <c r="J792" t="s">
        <v>42</v>
      </c>
      <c r="K792" t="s">
        <v>92</v>
      </c>
      <c r="L792" s="2" t="s">
        <v>19</v>
      </c>
      <c r="M792" t="str">
        <f>TEXT(Table13[[#This Row],[Order Date]],"MMM")</f>
        <v>Jun</v>
      </c>
      <c r="N792">
        <f>YEAR(Table13[[#This Row],[Order Date]])</f>
        <v>2023</v>
      </c>
      <c r="O792" t="str">
        <f>"Q"&amp;ROUNDUP(MONTH(Table13[[#This Row],[Order Date]])/3,0)</f>
        <v>Q2</v>
      </c>
      <c r="P792" s="5">
        <f>Table13[[#This Row],[Profit]]/Table13[[#This Row],[Amount]]</f>
        <v>0.17400827451934778</v>
      </c>
      <c r="Q792" s="6">
        <f>Table13[[#This Row],[Amount]]/Table13[[#This Row],[Quantity]]</f>
        <v>432.5263157894737</v>
      </c>
    </row>
    <row r="793" spans="1:17" x14ac:dyDescent="0.3">
      <c r="A793" t="s">
        <v>914</v>
      </c>
      <c r="B793">
        <v>599</v>
      </c>
      <c r="C793">
        <v>265</v>
      </c>
      <c r="D793">
        <v>4</v>
      </c>
      <c r="E793" t="s">
        <v>13</v>
      </c>
      <c r="F793" t="s">
        <v>82</v>
      </c>
      <c r="G793" t="s">
        <v>47</v>
      </c>
      <c r="H793" s="1">
        <v>44759</v>
      </c>
      <c r="I793" t="s">
        <v>915</v>
      </c>
      <c r="J793" t="s">
        <v>25</v>
      </c>
      <c r="K793" t="s">
        <v>26</v>
      </c>
      <c r="L793" s="2" t="s">
        <v>418</v>
      </c>
      <c r="M793" t="str">
        <f>TEXT(Table13[[#This Row],[Order Date]],"MMM")</f>
        <v>Jul</v>
      </c>
      <c r="N793">
        <f>YEAR(Table13[[#This Row],[Order Date]])</f>
        <v>2022</v>
      </c>
      <c r="O793" t="str">
        <f>"Q"&amp;ROUNDUP(MONTH(Table13[[#This Row],[Order Date]])/3,0)</f>
        <v>Q3</v>
      </c>
      <c r="P793" s="5">
        <f>Table13[[#This Row],[Profit]]/Table13[[#This Row],[Amount]]</f>
        <v>0.44240400667779634</v>
      </c>
      <c r="Q793" s="6">
        <f>Table13[[#This Row],[Amount]]/Table13[[#This Row],[Quantity]]</f>
        <v>149.75</v>
      </c>
    </row>
    <row r="794" spans="1:17" x14ac:dyDescent="0.3">
      <c r="A794" t="s">
        <v>914</v>
      </c>
      <c r="B794">
        <v>599</v>
      </c>
      <c r="C794">
        <v>265</v>
      </c>
      <c r="D794">
        <v>4</v>
      </c>
      <c r="E794" t="s">
        <v>13</v>
      </c>
      <c r="F794" t="s">
        <v>82</v>
      </c>
      <c r="G794" t="s">
        <v>47</v>
      </c>
      <c r="H794" s="1">
        <v>45631</v>
      </c>
      <c r="I794" t="s">
        <v>916</v>
      </c>
      <c r="J794" t="s">
        <v>25</v>
      </c>
      <c r="K794" t="s">
        <v>68</v>
      </c>
      <c r="L794" s="2" t="s">
        <v>23</v>
      </c>
      <c r="M794" t="str">
        <f>TEXT(Table13[[#This Row],[Order Date]],"MMM")</f>
        <v>Dec</v>
      </c>
      <c r="N794">
        <f>YEAR(Table13[[#This Row],[Order Date]])</f>
        <v>2024</v>
      </c>
      <c r="O794" t="str">
        <f>"Q"&amp;ROUNDUP(MONTH(Table13[[#This Row],[Order Date]])/3,0)</f>
        <v>Q4</v>
      </c>
      <c r="P794" s="5">
        <f>Table13[[#This Row],[Profit]]/Table13[[#This Row],[Amount]]</f>
        <v>0.44240400667779634</v>
      </c>
      <c r="Q794" s="6">
        <f>Table13[[#This Row],[Amount]]/Table13[[#This Row],[Quantity]]</f>
        <v>149.75</v>
      </c>
    </row>
    <row r="795" spans="1:17" x14ac:dyDescent="0.3">
      <c r="A795" t="s">
        <v>914</v>
      </c>
      <c r="B795">
        <v>2727</v>
      </c>
      <c r="C795">
        <v>543</v>
      </c>
      <c r="D795">
        <v>10</v>
      </c>
      <c r="E795" t="s">
        <v>45</v>
      </c>
      <c r="F795" t="s">
        <v>109</v>
      </c>
      <c r="G795" t="s">
        <v>47</v>
      </c>
      <c r="H795" s="1">
        <v>44759</v>
      </c>
      <c r="I795" t="s">
        <v>915</v>
      </c>
      <c r="J795" t="s">
        <v>25</v>
      </c>
      <c r="K795" t="s">
        <v>26</v>
      </c>
      <c r="L795" s="2" t="s">
        <v>418</v>
      </c>
      <c r="M795" t="str">
        <f>TEXT(Table13[[#This Row],[Order Date]],"MMM")</f>
        <v>Jul</v>
      </c>
      <c r="N795">
        <f>YEAR(Table13[[#This Row],[Order Date]])</f>
        <v>2022</v>
      </c>
      <c r="O795" t="str">
        <f>"Q"&amp;ROUNDUP(MONTH(Table13[[#This Row],[Order Date]])/3,0)</f>
        <v>Q3</v>
      </c>
      <c r="P795" s="5">
        <f>Table13[[#This Row],[Profit]]/Table13[[#This Row],[Amount]]</f>
        <v>0.19911991199119913</v>
      </c>
      <c r="Q795" s="6">
        <f>Table13[[#This Row],[Amount]]/Table13[[#This Row],[Quantity]]</f>
        <v>272.7</v>
      </c>
    </row>
    <row r="796" spans="1:17" x14ac:dyDescent="0.3">
      <c r="A796" t="s">
        <v>914</v>
      </c>
      <c r="B796">
        <v>2727</v>
      </c>
      <c r="C796">
        <v>543</v>
      </c>
      <c r="D796">
        <v>10</v>
      </c>
      <c r="E796" t="s">
        <v>45</v>
      </c>
      <c r="F796" t="s">
        <v>109</v>
      </c>
      <c r="G796" t="s">
        <v>47</v>
      </c>
      <c r="H796" s="1">
        <v>45631</v>
      </c>
      <c r="I796" t="s">
        <v>916</v>
      </c>
      <c r="J796" t="s">
        <v>25</v>
      </c>
      <c r="K796" t="s">
        <v>68</v>
      </c>
      <c r="L796" s="2" t="s">
        <v>23</v>
      </c>
      <c r="M796" t="str">
        <f>TEXT(Table13[[#This Row],[Order Date]],"MMM")</f>
        <v>Dec</v>
      </c>
      <c r="N796">
        <f>YEAR(Table13[[#This Row],[Order Date]])</f>
        <v>2024</v>
      </c>
      <c r="O796" t="str">
        <f>"Q"&amp;ROUNDUP(MONTH(Table13[[#This Row],[Order Date]])/3,0)</f>
        <v>Q4</v>
      </c>
      <c r="P796" s="5">
        <f>Table13[[#This Row],[Profit]]/Table13[[#This Row],[Amount]]</f>
        <v>0.19911991199119913</v>
      </c>
      <c r="Q796" s="6">
        <f>Table13[[#This Row],[Amount]]/Table13[[#This Row],[Quantity]]</f>
        <v>272.7</v>
      </c>
    </row>
    <row r="797" spans="1:17" x14ac:dyDescent="0.3">
      <c r="A797" t="s">
        <v>917</v>
      </c>
      <c r="B797">
        <v>2589</v>
      </c>
      <c r="C797">
        <v>605</v>
      </c>
      <c r="D797">
        <v>11</v>
      </c>
      <c r="E797" t="s">
        <v>30</v>
      </c>
      <c r="F797" t="s">
        <v>31</v>
      </c>
      <c r="G797" t="s">
        <v>40</v>
      </c>
      <c r="H797" s="1">
        <v>45232</v>
      </c>
      <c r="I797" t="s">
        <v>918</v>
      </c>
      <c r="J797" t="s">
        <v>42</v>
      </c>
      <c r="K797" t="s">
        <v>92</v>
      </c>
      <c r="L797" s="2" t="s">
        <v>52</v>
      </c>
      <c r="M797" t="str">
        <f>TEXT(Table13[[#This Row],[Order Date]],"MMM")</f>
        <v>Nov</v>
      </c>
      <c r="N797">
        <f>YEAR(Table13[[#This Row],[Order Date]])</f>
        <v>2023</v>
      </c>
      <c r="O797" t="str">
        <f>"Q"&amp;ROUNDUP(MONTH(Table13[[#This Row],[Order Date]])/3,0)</f>
        <v>Q4</v>
      </c>
      <c r="P797" s="5">
        <f>Table13[[#This Row],[Profit]]/Table13[[#This Row],[Amount]]</f>
        <v>0.23368095789880264</v>
      </c>
      <c r="Q797" s="6">
        <f>Table13[[#This Row],[Amount]]/Table13[[#This Row],[Quantity]]</f>
        <v>235.36363636363637</v>
      </c>
    </row>
    <row r="798" spans="1:17" x14ac:dyDescent="0.3">
      <c r="A798" t="s">
        <v>917</v>
      </c>
      <c r="B798">
        <v>2589</v>
      </c>
      <c r="C798">
        <v>605</v>
      </c>
      <c r="D798">
        <v>11</v>
      </c>
      <c r="E798" t="s">
        <v>30</v>
      </c>
      <c r="F798" t="s">
        <v>31</v>
      </c>
      <c r="G798" t="s">
        <v>40</v>
      </c>
      <c r="H798" s="1">
        <v>45570</v>
      </c>
      <c r="I798" t="s">
        <v>919</v>
      </c>
      <c r="J798" t="s">
        <v>98</v>
      </c>
      <c r="K798" t="s">
        <v>117</v>
      </c>
      <c r="L798" s="2" t="s">
        <v>360</v>
      </c>
      <c r="M798" t="str">
        <f>TEXT(Table13[[#This Row],[Order Date]],"MMM")</f>
        <v>Oct</v>
      </c>
      <c r="N798">
        <f>YEAR(Table13[[#This Row],[Order Date]])</f>
        <v>2024</v>
      </c>
      <c r="O798" t="str">
        <f>"Q"&amp;ROUNDUP(MONTH(Table13[[#This Row],[Order Date]])/3,0)</f>
        <v>Q4</v>
      </c>
      <c r="P798" s="5">
        <f>Table13[[#This Row],[Profit]]/Table13[[#This Row],[Amount]]</f>
        <v>0.23368095789880264</v>
      </c>
      <c r="Q798" s="6">
        <f>Table13[[#This Row],[Amount]]/Table13[[#This Row],[Quantity]]</f>
        <v>235.36363636363637</v>
      </c>
    </row>
    <row r="799" spans="1:17" x14ac:dyDescent="0.3">
      <c r="A799" t="s">
        <v>920</v>
      </c>
      <c r="B799">
        <v>3776</v>
      </c>
      <c r="C799">
        <v>1100</v>
      </c>
      <c r="D799">
        <v>9</v>
      </c>
      <c r="E799" t="s">
        <v>13</v>
      </c>
      <c r="F799" t="s">
        <v>14</v>
      </c>
      <c r="G799" t="s">
        <v>40</v>
      </c>
      <c r="H799" s="1">
        <v>44878</v>
      </c>
      <c r="I799" t="s">
        <v>921</v>
      </c>
      <c r="J799" t="s">
        <v>71</v>
      </c>
      <c r="K799" t="s">
        <v>86</v>
      </c>
      <c r="L799" s="2" t="s">
        <v>44</v>
      </c>
      <c r="M799" t="str">
        <f>TEXT(Table13[[#This Row],[Order Date]],"MMM")</f>
        <v>Nov</v>
      </c>
      <c r="N799">
        <f>YEAR(Table13[[#This Row],[Order Date]])</f>
        <v>2022</v>
      </c>
      <c r="O799" t="str">
        <f>"Q"&amp;ROUNDUP(MONTH(Table13[[#This Row],[Order Date]])/3,0)</f>
        <v>Q4</v>
      </c>
      <c r="P799" s="5">
        <f>Table13[[#This Row],[Profit]]/Table13[[#This Row],[Amount]]</f>
        <v>0.2913135593220339</v>
      </c>
      <c r="Q799" s="6">
        <f>Table13[[#This Row],[Amount]]/Table13[[#This Row],[Quantity]]</f>
        <v>419.55555555555554</v>
      </c>
    </row>
    <row r="800" spans="1:17" x14ac:dyDescent="0.3">
      <c r="A800" t="s">
        <v>920</v>
      </c>
      <c r="B800">
        <v>3776</v>
      </c>
      <c r="C800">
        <v>1100</v>
      </c>
      <c r="D800">
        <v>9</v>
      </c>
      <c r="E800" t="s">
        <v>13</v>
      </c>
      <c r="F800" t="s">
        <v>14</v>
      </c>
      <c r="G800" t="s">
        <v>40</v>
      </c>
      <c r="H800" s="1">
        <v>44923</v>
      </c>
      <c r="I800" t="s">
        <v>922</v>
      </c>
      <c r="J800" t="s">
        <v>21</v>
      </c>
      <c r="K800" t="s">
        <v>172</v>
      </c>
      <c r="L800" s="2" t="s">
        <v>152</v>
      </c>
      <c r="M800" t="str">
        <f>TEXT(Table13[[#This Row],[Order Date]],"MMM")</f>
        <v>Dec</v>
      </c>
      <c r="N800">
        <f>YEAR(Table13[[#This Row],[Order Date]])</f>
        <v>2022</v>
      </c>
      <c r="O800" t="str">
        <f>"Q"&amp;ROUNDUP(MONTH(Table13[[#This Row],[Order Date]])/3,0)</f>
        <v>Q4</v>
      </c>
      <c r="P800" s="5">
        <f>Table13[[#This Row],[Profit]]/Table13[[#This Row],[Amount]]</f>
        <v>0.2913135593220339</v>
      </c>
      <c r="Q800" s="6">
        <f>Table13[[#This Row],[Amount]]/Table13[[#This Row],[Quantity]]</f>
        <v>419.55555555555554</v>
      </c>
    </row>
    <row r="801" spans="1:17" x14ac:dyDescent="0.3">
      <c r="A801" t="s">
        <v>923</v>
      </c>
      <c r="B801">
        <v>5402</v>
      </c>
      <c r="C801">
        <v>1666</v>
      </c>
      <c r="D801">
        <v>12</v>
      </c>
      <c r="E801" t="s">
        <v>45</v>
      </c>
      <c r="F801" t="s">
        <v>109</v>
      </c>
      <c r="G801" t="s">
        <v>40</v>
      </c>
      <c r="H801" s="1">
        <v>45714</v>
      </c>
      <c r="I801" t="s">
        <v>924</v>
      </c>
      <c r="J801" t="s">
        <v>98</v>
      </c>
      <c r="K801" t="s">
        <v>117</v>
      </c>
      <c r="L801" s="2" t="s">
        <v>73</v>
      </c>
      <c r="M801" t="str">
        <f>TEXT(Table13[[#This Row],[Order Date]],"MMM")</f>
        <v>Feb</v>
      </c>
      <c r="N801">
        <f>YEAR(Table13[[#This Row],[Order Date]])</f>
        <v>2025</v>
      </c>
      <c r="O801" t="str">
        <f>"Q"&amp;ROUNDUP(MONTH(Table13[[#This Row],[Order Date]])/3,0)</f>
        <v>Q1</v>
      </c>
      <c r="P801" s="5">
        <f>Table13[[#This Row],[Profit]]/Table13[[#This Row],[Amount]]</f>
        <v>0.30840429470566455</v>
      </c>
      <c r="Q801" s="6">
        <f>Table13[[#This Row],[Amount]]/Table13[[#This Row],[Quantity]]</f>
        <v>450.16666666666669</v>
      </c>
    </row>
    <row r="802" spans="1:17" x14ac:dyDescent="0.3">
      <c r="A802" t="s">
        <v>925</v>
      </c>
      <c r="B802">
        <v>5165</v>
      </c>
      <c r="C802">
        <v>885</v>
      </c>
      <c r="D802">
        <v>16</v>
      </c>
      <c r="E802" t="s">
        <v>30</v>
      </c>
      <c r="F802" t="s">
        <v>31</v>
      </c>
      <c r="G802" t="s">
        <v>40</v>
      </c>
      <c r="H802" s="1">
        <v>44877</v>
      </c>
      <c r="I802" t="s">
        <v>926</v>
      </c>
      <c r="J802" t="s">
        <v>21</v>
      </c>
      <c r="K802" t="s">
        <v>172</v>
      </c>
      <c r="L802" s="2" t="s">
        <v>44</v>
      </c>
      <c r="M802" t="str">
        <f>TEXT(Table13[[#This Row],[Order Date]],"MMM")</f>
        <v>Nov</v>
      </c>
      <c r="N802">
        <f>YEAR(Table13[[#This Row],[Order Date]])</f>
        <v>2022</v>
      </c>
      <c r="O802" t="str">
        <f>"Q"&amp;ROUNDUP(MONTH(Table13[[#This Row],[Order Date]])/3,0)</f>
        <v>Q4</v>
      </c>
      <c r="P802" s="5">
        <f>Table13[[#This Row],[Profit]]/Table13[[#This Row],[Amount]]</f>
        <v>0.17134559535333979</v>
      </c>
      <c r="Q802" s="6">
        <f>Table13[[#This Row],[Amount]]/Table13[[#This Row],[Quantity]]</f>
        <v>322.8125</v>
      </c>
    </row>
    <row r="803" spans="1:17" x14ac:dyDescent="0.3">
      <c r="A803" t="s">
        <v>925</v>
      </c>
      <c r="B803">
        <v>4863</v>
      </c>
      <c r="C803">
        <v>2394</v>
      </c>
      <c r="D803">
        <v>4</v>
      </c>
      <c r="E803" t="s">
        <v>45</v>
      </c>
      <c r="F803" t="s">
        <v>109</v>
      </c>
      <c r="G803" t="s">
        <v>40</v>
      </c>
      <c r="H803" s="1">
        <v>44877</v>
      </c>
      <c r="I803" t="s">
        <v>926</v>
      </c>
      <c r="J803" t="s">
        <v>21</v>
      </c>
      <c r="K803" t="s">
        <v>172</v>
      </c>
      <c r="L803" s="2" t="s">
        <v>44</v>
      </c>
      <c r="M803" t="str">
        <f>TEXT(Table13[[#This Row],[Order Date]],"MMM")</f>
        <v>Nov</v>
      </c>
      <c r="N803">
        <f>YEAR(Table13[[#This Row],[Order Date]])</f>
        <v>2022</v>
      </c>
      <c r="O803" t="str">
        <f>"Q"&amp;ROUNDUP(MONTH(Table13[[#This Row],[Order Date]])/3,0)</f>
        <v>Q4</v>
      </c>
      <c r="P803" s="5">
        <f>Table13[[#This Row],[Profit]]/Table13[[#This Row],[Amount]]</f>
        <v>0.49228871067242441</v>
      </c>
      <c r="Q803" s="6">
        <f>Table13[[#This Row],[Amount]]/Table13[[#This Row],[Quantity]]</f>
        <v>1215.75</v>
      </c>
    </row>
    <row r="804" spans="1:17" x14ac:dyDescent="0.3">
      <c r="A804" t="s">
        <v>927</v>
      </c>
      <c r="B804">
        <v>1626</v>
      </c>
      <c r="C804">
        <v>258</v>
      </c>
      <c r="D804">
        <v>15</v>
      </c>
      <c r="E804" t="s">
        <v>30</v>
      </c>
      <c r="F804" t="s">
        <v>31</v>
      </c>
      <c r="G804" t="s">
        <v>40</v>
      </c>
      <c r="H804" s="1">
        <v>44354</v>
      </c>
      <c r="I804" t="s">
        <v>928</v>
      </c>
      <c r="J804" t="s">
        <v>17</v>
      </c>
      <c r="K804" t="s">
        <v>34</v>
      </c>
      <c r="L804" s="2" t="s">
        <v>125</v>
      </c>
      <c r="M804" t="str">
        <f>TEXT(Table13[[#This Row],[Order Date]],"MMM")</f>
        <v>Jun</v>
      </c>
      <c r="N804">
        <f>YEAR(Table13[[#This Row],[Order Date]])</f>
        <v>2021</v>
      </c>
      <c r="O804" t="str">
        <f>"Q"&amp;ROUNDUP(MONTH(Table13[[#This Row],[Order Date]])/3,0)</f>
        <v>Q2</v>
      </c>
      <c r="P804" s="5">
        <f>Table13[[#This Row],[Profit]]/Table13[[#This Row],[Amount]]</f>
        <v>0.15867158671586715</v>
      </c>
      <c r="Q804" s="6">
        <f>Table13[[#This Row],[Amount]]/Table13[[#This Row],[Quantity]]</f>
        <v>108.4</v>
      </c>
    </row>
    <row r="805" spans="1:17" x14ac:dyDescent="0.3">
      <c r="A805" t="s">
        <v>929</v>
      </c>
      <c r="B805">
        <v>8851</v>
      </c>
      <c r="C805">
        <v>3962</v>
      </c>
      <c r="D805">
        <v>7</v>
      </c>
      <c r="E805" t="s">
        <v>45</v>
      </c>
      <c r="F805" t="s">
        <v>46</v>
      </c>
      <c r="G805" t="s">
        <v>40</v>
      </c>
      <c r="H805" s="1">
        <v>44100</v>
      </c>
      <c r="I805" t="s">
        <v>930</v>
      </c>
      <c r="J805" t="s">
        <v>17</v>
      </c>
      <c r="K805" t="s">
        <v>18</v>
      </c>
      <c r="L805" s="2" t="s">
        <v>389</v>
      </c>
      <c r="M805" t="str">
        <f>TEXT(Table13[[#This Row],[Order Date]],"MMM")</f>
        <v>Sep</v>
      </c>
      <c r="N805">
        <f>YEAR(Table13[[#This Row],[Order Date]])</f>
        <v>2020</v>
      </c>
      <c r="O805" t="str">
        <f>"Q"&amp;ROUNDUP(MONTH(Table13[[#This Row],[Order Date]])/3,0)</f>
        <v>Q3</v>
      </c>
      <c r="P805" s="5">
        <f>Table13[[#This Row],[Profit]]/Table13[[#This Row],[Amount]]</f>
        <v>0.44763303581516212</v>
      </c>
      <c r="Q805" s="6">
        <f>Table13[[#This Row],[Amount]]/Table13[[#This Row],[Quantity]]</f>
        <v>1264.4285714285713</v>
      </c>
    </row>
    <row r="806" spans="1:17" x14ac:dyDescent="0.3">
      <c r="A806" t="s">
        <v>931</v>
      </c>
      <c r="B806">
        <v>9680</v>
      </c>
      <c r="C806">
        <v>3295</v>
      </c>
      <c r="D806">
        <v>9</v>
      </c>
      <c r="E806" t="s">
        <v>45</v>
      </c>
      <c r="F806" t="s">
        <v>46</v>
      </c>
      <c r="G806" t="s">
        <v>65</v>
      </c>
      <c r="H806" s="1">
        <v>45411</v>
      </c>
      <c r="I806" t="s">
        <v>932</v>
      </c>
      <c r="J806" t="s">
        <v>25</v>
      </c>
      <c r="K806" t="s">
        <v>68</v>
      </c>
      <c r="L806" s="2" t="s">
        <v>235</v>
      </c>
      <c r="M806" t="str">
        <f>TEXT(Table13[[#This Row],[Order Date]],"MMM")</f>
        <v>Apr</v>
      </c>
      <c r="N806">
        <f>YEAR(Table13[[#This Row],[Order Date]])</f>
        <v>2024</v>
      </c>
      <c r="O806" t="str">
        <f>"Q"&amp;ROUNDUP(MONTH(Table13[[#This Row],[Order Date]])/3,0)</f>
        <v>Q2</v>
      </c>
      <c r="P806" s="5">
        <f>Table13[[#This Row],[Profit]]/Table13[[#This Row],[Amount]]</f>
        <v>0.34039256198347106</v>
      </c>
      <c r="Q806" s="6">
        <f>Table13[[#This Row],[Amount]]/Table13[[#This Row],[Quantity]]</f>
        <v>1075.5555555555557</v>
      </c>
    </row>
    <row r="807" spans="1:17" x14ac:dyDescent="0.3">
      <c r="A807" t="s">
        <v>931</v>
      </c>
      <c r="B807">
        <v>8468</v>
      </c>
      <c r="C807">
        <v>3666</v>
      </c>
      <c r="D807">
        <v>8</v>
      </c>
      <c r="E807" t="s">
        <v>30</v>
      </c>
      <c r="F807" t="s">
        <v>31</v>
      </c>
      <c r="G807" t="s">
        <v>15</v>
      </c>
      <c r="H807" s="1">
        <v>45411</v>
      </c>
      <c r="I807" t="s">
        <v>932</v>
      </c>
      <c r="J807" t="s">
        <v>25</v>
      </c>
      <c r="K807" t="s">
        <v>68</v>
      </c>
      <c r="L807" s="2" t="s">
        <v>235</v>
      </c>
      <c r="M807" t="str">
        <f>TEXT(Table13[[#This Row],[Order Date]],"MMM")</f>
        <v>Apr</v>
      </c>
      <c r="N807">
        <f>YEAR(Table13[[#This Row],[Order Date]])</f>
        <v>2024</v>
      </c>
      <c r="O807" t="str">
        <f>"Q"&amp;ROUNDUP(MONTH(Table13[[#This Row],[Order Date]])/3,0)</f>
        <v>Q2</v>
      </c>
      <c r="P807" s="5">
        <f>Table13[[#This Row],[Profit]]/Table13[[#This Row],[Amount]]</f>
        <v>0.43292394898441189</v>
      </c>
      <c r="Q807" s="6">
        <f>Table13[[#This Row],[Amount]]/Table13[[#This Row],[Quantity]]</f>
        <v>1058.5</v>
      </c>
    </row>
    <row r="808" spans="1:17" x14ac:dyDescent="0.3">
      <c r="A808" t="s">
        <v>931</v>
      </c>
      <c r="B808">
        <v>4441</v>
      </c>
      <c r="C808">
        <v>314</v>
      </c>
      <c r="D808">
        <v>14</v>
      </c>
      <c r="E808" t="s">
        <v>45</v>
      </c>
      <c r="F808" t="s">
        <v>49</v>
      </c>
      <c r="G808" t="s">
        <v>32</v>
      </c>
      <c r="H808" s="1">
        <v>45411</v>
      </c>
      <c r="I808" t="s">
        <v>932</v>
      </c>
      <c r="J808" t="s">
        <v>25</v>
      </c>
      <c r="K808" t="s">
        <v>68</v>
      </c>
      <c r="L808" s="2" t="s">
        <v>235</v>
      </c>
      <c r="M808" t="str">
        <f>TEXT(Table13[[#This Row],[Order Date]],"MMM")</f>
        <v>Apr</v>
      </c>
      <c r="N808">
        <f>YEAR(Table13[[#This Row],[Order Date]])</f>
        <v>2024</v>
      </c>
      <c r="O808" t="str">
        <f>"Q"&amp;ROUNDUP(MONTH(Table13[[#This Row],[Order Date]])/3,0)</f>
        <v>Q2</v>
      </c>
      <c r="P808" s="5">
        <f>Table13[[#This Row],[Profit]]/Table13[[#This Row],[Amount]]</f>
        <v>7.0704796217068225E-2</v>
      </c>
      <c r="Q808" s="6">
        <f>Table13[[#This Row],[Amount]]/Table13[[#This Row],[Quantity]]</f>
        <v>317.21428571428572</v>
      </c>
    </row>
    <row r="809" spans="1:17" x14ac:dyDescent="0.3">
      <c r="A809" t="s">
        <v>933</v>
      </c>
      <c r="B809">
        <v>6622</v>
      </c>
      <c r="C809">
        <v>2673</v>
      </c>
      <c r="D809">
        <v>8</v>
      </c>
      <c r="E809" t="s">
        <v>45</v>
      </c>
      <c r="F809" t="s">
        <v>60</v>
      </c>
      <c r="G809" t="s">
        <v>65</v>
      </c>
      <c r="H809" s="1">
        <v>45392</v>
      </c>
      <c r="I809" t="s">
        <v>934</v>
      </c>
      <c r="J809" t="s">
        <v>25</v>
      </c>
      <c r="K809" t="s">
        <v>51</v>
      </c>
      <c r="L809" s="2" t="s">
        <v>235</v>
      </c>
      <c r="M809" t="str">
        <f>TEXT(Table13[[#This Row],[Order Date]],"MMM")</f>
        <v>Apr</v>
      </c>
      <c r="N809">
        <f>YEAR(Table13[[#This Row],[Order Date]])</f>
        <v>2024</v>
      </c>
      <c r="O809" t="str">
        <f>"Q"&amp;ROUNDUP(MONTH(Table13[[#This Row],[Order Date]])/3,0)</f>
        <v>Q2</v>
      </c>
      <c r="P809" s="5">
        <f>Table13[[#This Row],[Profit]]/Table13[[#This Row],[Amount]]</f>
        <v>0.40365448504983387</v>
      </c>
      <c r="Q809" s="6">
        <f>Table13[[#This Row],[Amount]]/Table13[[#This Row],[Quantity]]</f>
        <v>827.75</v>
      </c>
    </row>
    <row r="810" spans="1:17" x14ac:dyDescent="0.3">
      <c r="A810" t="s">
        <v>935</v>
      </c>
      <c r="B810">
        <v>3260</v>
      </c>
      <c r="C810">
        <v>207</v>
      </c>
      <c r="D810">
        <v>17</v>
      </c>
      <c r="E810" t="s">
        <v>45</v>
      </c>
      <c r="F810" t="s">
        <v>46</v>
      </c>
      <c r="G810" t="s">
        <v>15</v>
      </c>
      <c r="H810" s="1">
        <v>45281</v>
      </c>
      <c r="I810" t="s">
        <v>936</v>
      </c>
      <c r="J810" t="s">
        <v>42</v>
      </c>
      <c r="K810" t="s">
        <v>75</v>
      </c>
      <c r="L810" s="2" t="s">
        <v>102</v>
      </c>
      <c r="M810" t="str">
        <f>TEXT(Table13[[#This Row],[Order Date]],"MMM")</f>
        <v>Dec</v>
      </c>
      <c r="N810">
        <f>YEAR(Table13[[#This Row],[Order Date]])</f>
        <v>2023</v>
      </c>
      <c r="O810" t="str">
        <f>"Q"&amp;ROUNDUP(MONTH(Table13[[#This Row],[Order Date]])/3,0)</f>
        <v>Q4</v>
      </c>
      <c r="P810" s="5">
        <f>Table13[[#This Row],[Profit]]/Table13[[#This Row],[Amount]]</f>
        <v>6.3496932515337418E-2</v>
      </c>
      <c r="Q810" s="6">
        <f>Table13[[#This Row],[Amount]]/Table13[[#This Row],[Quantity]]</f>
        <v>191.76470588235293</v>
      </c>
    </row>
    <row r="811" spans="1:17" x14ac:dyDescent="0.3">
      <c r="A811" t="s">
        <v>937</v>
      </c>
      <c r="B811">
        <v>8709</v>
      </c>
      <c r="C811">
        <v>2322</v>
      </c>
      <c r="D811">
        <v>8</v>
      </c>
      <c r="E811" t="s">
        <v>45</v>
      </c>
      <c r="F811" t="s">
        <v>46</v>
      </c>
      <c r="G811" t="s">
        <v>32</v>
      </c>
      <c r="H811" s="1">
        <v>45414</v>
      </c>
      <c r="I811" t="s">
        <v>938</v>
      </c>
      <c r="J811" t="s">
        <v>71</v>
      </c>
      <c r="K811" t="s">
        <v>86</v>
      </c>
      <c r="L811" s="2" t="s">
        <v>35</v>
      </c>
      <c r="M811" t="str">
        <f>TEXT(Table13[[#This Row],[Order Date]],"MMM")</f>
        <v>May</v>
      </c>
      <c r="N811">
        <f>YEAR(Table13[[#This Row],[Order Date]])</f>
        <v>2024</v>
      </c>
      <c r="O811" t="str">
        <f>"Q"&amp;ROUNDUP(MONTH(Table13[[#This Row],[Order Date]])/3,0)</f>
        <v>Q2</v>
      </c>
      <c r="P811" s="5">
        <f>Table13[[#This Row],[Profit]]/Table13[[#This Row],[Amount]]</f>
        <v>0.26662073716844642</v>
      </c>
      <c r="Q811" s="6">
        <f>Table13[[#This Row],[Amount]]/Table13[[#This Row],[Quantity]]</f>
        <v>1088.625</v>
      </c>
    </row>
    <row r="812" spans="1:17" x14ac:dyDescent="0.3">
      <c r="A812" t="s">
        <v>937</v>
      </c>
      <c r="B812">
        <v>8709</v>
      </c>
      <c r="C812">
        <v>2322</v>
      </c>
      <c r="D812">
        <v>8</v>
      </c>
      <c r="E812" t="s">
        <v>45</v>
      </c>
      <c r="F812" t="s">
        <v>46</v>
      </c>
      <c r="G812" t="s">
        <v>32</v>
      </c>
      <c r="H812" s="1">
        <v>45617</v>
      </c>
      <c r="I812" t="s">
        <v>939</v>
      </c>
      <c r="J812" t="s">
        <v>42</v>
      </c>
      <c r="K812" t="s">
        <v>92</v>
      </c>
      <c r="L812" s="2" t="s">
        <v>255</v>
      </c>
      <c r="M812" t="str">
        <f>TEXT(Table13[[#This Row],[Order Date]],"MMM")</f>
        <v>Nov</v>
      </c>
      <c r="N812">
        <f>YEAR(Table13[[#This Row],[Order Date]])</f>
        <v>2024</v>
      </c>
      <c r="O812" t="str">
        <f>"Q"&amp;ROUNDUP(MONTH(Table13[[#This Row],[Order Date]])/3,0)</f>
        <v>Q4</v>
      </c>
      <c r="P812" s="5">
        <f>Table13[[#This Row],[Profit]]/Table13[[#This Row],[Amount]]</f>
        <v>0.26662073716844642</v>
      </c>
      <c r="Q812" s="6">
        <f>Table13[[#This Row],[Amount]]/Table13[[#This Row],[Quantity]]</f>
        <v>1088.625</v>
      </c>
    </row>
    <row r="813" spans="1:17" x14ac:dyDescent="0.3">
      <c r="A813" t="s">
        <v>940</v>
      </c>
      <c r="B813">
        <v>5250</v>
      </c>
      <c r="C813">
        <v>187</v>
      </c>
      <c r="D813">
        <v>1</v>
      </c>
      <c r="E813" t="s">
        <v>30</v>
      </c>
      <c r="F813" t="s">
        <v>78</v>
      </c>
      <c r="G813" t="s">
        <v>65</v>
      </c>
      <c r="H813" s="1">
        <v>44637</v>
      </c>
      <c r="I813" t="s">
        <v>941</v>
      </c>
      <c r="J813" t="s">
        <v>98</v>
      </c>
      <c r="K813" t="s">
        <v>107</v>
      </c>
      <c r="L813" s="2" t="s">
        <v>134</v>
      </c>
      <c r="M813" t="str">
        <f>TEXT(Table13[[#This Row],[Order Date]],"MMM")</f>
        <v>Mar</v>
      </c>
      <c r="N813">
        <f>YEAR(Table13[[#This Row],[Order Date]])</f>
        <v>2022</v>
      </c>
      <c r="O813" t="str">
        <f>"Q"&amp;ROUNDUP(MONTH(Table13[[#This Row],[Order Date]])/3,0)</f>
        <v>Q1</v>
      </c>
      <c r="P813" s="5">
        <f>Table13[[#This Row],[Profit]]/Table13[[#This Row],[Amount]]</f>
        <v>3.561904761904762E-2</v>
      </c>
      <c r="Q813" s="6">
        <f>Table13[[#This Row],[Amount]]/Table13[[#This Row],[Quantity]]</f>
        <v>5250</v>
      </c>
    </row>
    <row r="814" spans="1:17" x14ac:dyDescent="0.3">
      <c r="A814" t="s">
        <v>940</v>
      </c>
      <c r="B814">
        <v>5250</v>
      </c>
      <c r="C814">
        <v>187</v>
      </c>
      <c r="D814">
        <v>1</v>
      </c>
      <c r="E814" t="s">
        <v>30</v>
      </c>
      <c r="F814" t="s">
        <v>78</v>
      </c>
      <c r="G814" t="s">
        <v>65</v>
      </c>
      <c r="H814" s="1">
        <v>45060</v>
      </c>
      <c r="I814" t="s">
        <v>942</v>
      </c>
      <c r="J814" t="s">
        <v>71</v>
      </c>
      <c r="K814" t="s">
        <v>138</v>
      </c>
      <c r="L814" s="2" t="s">
        <v>127</v>
      </c>
      <c r="M814" t="str">
        <f>TEXT(Table13[[#This Row],[Order Date]],"MMM")</f>
        <v>May</v>
      </c>
      <c r="N814">
        <f>YEAR(Table13[[#This Row],[Order Date]])</f>
        <v>2023</v>
      </c>
      <c r="O814" t="str">
        <f>"Q"&amp;ROUNDUP(MONTH(Table13[[#This Row],[Order Date]])/3,0)</f>
        <v>Q2</v>
      </c>
      <c r="P814" s="5">
        <f>Table13[[#This Row],[Profit]]/Table13[[#This Row],[Amount]]</f>
        <v>3.561904761904762E-2</v>
      </c>
      <c r="Q814" s="6">
        <f>Table13[[#This Row],[Amount]]/Table13[[#This Row],[Quantity]]</f>
        <v>5250</v>
      </c>
    </row>
    <row r="815" spans="1:17" x14ac:dyDescent="0.3">
      <c r="A815" t="s">
        <v>943</v>
      </c>
      <c r="B815">
        <v>4116</v>
      </c>
      <c r="C815">
        <v>921</v>
      </c>
      <c r="D815">
        <v>20</v>
      </c>
      <c r="E815" t="s">
        <v>30</v>
      </c>
      <c r="F815" t="s">
        <v>64</v>
      </c>
      <c r="G815" t="s">
        <v>15</v>
      </c>
      <c r="H815" s="1">
        <v>45572</v>
      </c>
      <c r="I815" t="s">
        <v>944</v>
      </c>
      <c r="J815" t="s">
        <v>42</v>
      </c>
      <c r="K815" t="s">
        <v>43</v>
      </c>
      <c r="L815" s="2" t="s">
        <v>360</v>
      </c>
      <c r="M815" t="str">
        <f>TEXT(Table13[[#This Row],[Order Date]],"MMM")</f>
        <v>Oct</v>
      </c>
      <c r="N815">
        <f>YEAR(Table13[[#This Row],[Order Date]])</f>
        <v>2024</v>
      </c>
      <c r="O815" t="str">
        <f>"Q"&amp;ROUNDUP(MONTH(Table13[[#This Row],[Order Date]])/3,0)</f>
        <v>Q4</v>
      </c>
      <c r="P815" s="5">
        <f>Table13[[#This Row],[Profit]]/Table13[[#This Row],[Amount]]</f>
        <v>0.22376093294460642</v>
      </c>
      <c r="Q815" s="6">
        <f>Table13[[#This Row],[Amount]]/Table13[[#This Row],[Quantity]]</f>
        <v>205.8</v>
      </c>
    </row>
    <row r="816" spans="1:17" x14ac:dyDescent="0.3">
      <c r="A816" t="s">
        <v>943</v>
      </c>
      <c r="B816">
        <v>4116</v>
      </c>
      <c r="C816">
        <v>921</v>
      </c>
      <c r="D816">
        <v>20</v>
      </c>
      <c r="E816" t="s">
        <v>30</v>
      </c>
      <c r="F816" t="s">
        <v>64</v>
      </c>
      <c r="G816" t="s">
        <v>15</v>
      </c>
      <c r="H816" s="1">
        <v>44082</v>
      </c>
      <c r="I816" t="s">
        <v>945</v>
      </c>
      <c r="J816" t="s">
        <v>21</v>
      </c>
      <c r="K816" t="s">
        <v>63</v>
      </c>
      <c r="L816" s="2" t="s">
        <v>389</v>
      </c>
      <c r="M816" t="str">
        <f>TEXT(Table13[[#This Row],[Order Date]],"MMM")</f>
        <v>Sep</v>
      </c>
      <c r="N816">
        <f>YEAR(Table13[[#This Row],[Order Date]])</f>
        <v>2020</v>
      </c>
      <c r="O816" t="str">
        <f>"Q"&amp;ROUNDUP(MONTH(Table13[[#This Row],[Order Date]])/3,0)</f>
        <v>Q3</v>
      </c>
      <c r="P816" s="5">
        <f>Table13[[#This Row],[Profit]]/Table13[[#This Row],[Amount]]</f>
        <v>0.22376093294460642</v>
      </c>
      <c r="Q816" s="6">
        <f>Table13[[#This Row],[Amount]]/Table13[[#This Row],[Quantity]]</f>
        <v>205.8</v>
      </c>
    </row>
    <row r="817" spans="1:17" x14ac:dyDescent="0.3">
      <c r="A817" t="s">
        <v>946</v>
      </c>
      <c r="B817">
        <v>1109</v>
      </c>
      <c r="C817">
        <v>418</v>
      </c>
      <c r="D817">
        <v>15</v>
      </c>
      <c r="E817" t="s">
        <v>30</v>
      </c>
      <c r="F817" t="s">
        <v>64</v>
      </c>
      <c r="G817" t="s">
        <v>15</v>
      </c>
      <c r="H817" s="1">
        <v>44427</v>
      </c>
      <c r="I817" t="s">
        <v>947</v>
      </c>
      <c r="J817" t="s">
        <v>42</v>
      </c>
      <c r="K817" t="s">
        <v>43</v>
      </c>
      <c r="L817" s="2" t="s">
        <v>178</v>
      </c>
      <c r="M817" t="str">
        <f>TEXT(Table13[[#This Row],[Order Date]],"MMM")</f>
        <v>Aug</v>
      </c>
      <c r="N817">
        <f>YEAR(Table13[[#This Row],[Order Date]])</f>
        <v>2021</v>
      </c>
      <c r="O817" t="str">
        <f>"Q"&amp;ROUNDUP(MONTH(Table13[[#This Row],[Order Date]])/3,0)</f>
        <v>Q3</v>
      </c>
      <c r="P817" s="5">
        <f>Table13[[#This Row],[Profit]]/Table13[[#This Row],[Amount]]</f>
        <v>0.37691614066726781</v>
      </c>
      <c r="Q817" s="6">
        <f>Table13[[#This Row],[Amount]]/Table13[[#This Row],[Quantity]]</f>
        <v>73.933333333333337</v>
      </c>
    </row>
    <row r="818" spans="1:17" x14ac:dyDescent="0.3">
      <c r="A818" t="s">
        <v>948</v>
      </c>
      <c r="B818">
        <v>3573</v>
      </c>
      <c r="C818">
        <v>562</v>
      </c>
      <c r="D818">
        <v>7</v>
      </c>
      <c r="E818" t="s">
        <v>30</v>
      </c>
      <c r="F818" t="s">
        <v>31</v>
      </c>
      <c r="G818" t="s">
        <v>40</v>
      </c>
      <c r="H818" s="1">
        <v>44846</v>
      </c>
      <c r="I818" t="s">
        <v>454</v>
      </c>
      <c r="J818" t="s">
        <v>25</v>
      </c>
      <c r="K818" t="s">
        <v>68</v>
      </c>
      <c r="L818" s="2" t="s">
        <v>96</v>
      </c>
      <c r="M818" t="str">
        <f>TEXT(Table13[[#This Row],[Order Date]],"MMM")</f>
        <v>Oct</v>
      </c>
      <c r="N818">
        <f>YEAR(Table13[[#This Row],[Order Date]])</f>
        <v>2022</v>
      </c>
      <c r="O818" t="str">
        <f>"Q"&amp;ROUNDUP(MONTH(Table13[[#This Row],[Order Date]])/3,0)</f>
        <v>Q4</v>
      </c>
      <c r="P818" s="5">
        <f>Table13[[#This Row],[Profit]]/Table13[[#This Row],[Amount]]</f>
        <v>0.15729079205149735</v>
      </c>
      <c r="Q818" s="6">
        <f>Table13[[#This Row],[Amount]]/Table13[[#This Row],[Quantity]]</f>
        <v>510.42857142857144</v>
      </c>
    </row>
    <row r="819" spans="1:17" x14ac:dyDescent="0.3">
      <c r="A819" t="s">
        <v>948</v>
      </c>
      <c r="B819">
        <v>3573</v>
      </c>
      <c r="C819">
        <v>562</v>
      </c>
      <c r="D819">
        <v>7</v>
      </c>
      <c r="E819" t="s">
        <v>30</v>
      </c>
      <c r="F819" t="s">
        <v>31</v>
      </c>
      <c r="G819" t="s">
        <v>40</v>
      </c>
      <c r="H819" s="1">
        <v>43974</v>
      </c>
      <c r="I819" t="s">
        <v>949</v>
      </c>
      <c r="J819" t="s">
        <v>42</v>
      </c>
      <c r="K819" t="s">
        <v>75</v>
      </c>
      <c r="L819" s="2" t="s">
        <v>59</v>
      </c>
      <c r="M819" t="str">
        <f>TEXT(Table13[[#This Row],[Order Date]],"MMM")</f>
        <v>May</v>
      </c>
      <c r="N819">
        <f>YEAR(Table13[[#This Row],[Order Date]])</f>
        <v>2020</v>
      </c>
      <c r="O819" t="str">
        <f>"Q"&amp;ROUNDUP(MONTH(Table13[[#This Row],[Order Date]])/3,0)</f>
        <v>Q2</v>
      </c>
      <c r="P819" s="5">
        <f>Table13[[#This Row],[Profit]]/Table13[[#This Row],[Amount]]</f>
        <v>0.15729079205149735</v>
      </c>
      <c r="Q819" s="6">
        <f>Table13[[#This Row],[Amount]]/Table13[[#This Row],[Quantity]]</f>
        <v>510.42857142857144</v>
      </c>
    </row>
    <row r="820" spans="1:17" x14ac:dyDescent="0.3">
      <c r="A820" t="s">
        <v>948</v>
      </c>
      <c r="B820">
        <v>3573</v>
      </c>
      <c r="C820">
        <v>562</v>
      </c>
      <c r="D820">
        <v>7</v>
      </c>
      <c r="E820" t="s">
        <v>30</v>
      </c>
      <c r="F820" t="s">
        <v>31</v>
      </c>
      <c r="G820" t="s">
        <v>40</v>
      </c>
      <c r="H820" s="1">
        <v>43939</v>
      </c>
      <c r="I820" t="s">
        <v>950</v>
      </c>
      <c r="J820" t="s">
        <v>17</v>
      </c>
      <c r="K820" t="s">
        <v>150</v>
      </c>
      <c r="L820" s="2" t="s">
        <v>162</v>
      </c>
      <c r="M820" t="str">
        <f>TEXT(Table13[[#This Row],[Order Date]],"MMM")</f>
        <v>Apr</v>
      </c>
      <c r="N820">
        <f>YEAR(Table13[[#This Row],[Order Date]])</f>
        <v>2020</v>
      </c>
      <c r="O820" t="str">
        <f>"Q"&amp;ROUNDUP(MONTH(Table13[[#This Row],[Order Date]])/3,0)</f>
        <v>Q2</v>
      </c>
      <c r="P820" s="5">
        <f>Table13[[#This Row],[Profit]]/Table13[[#This Row],[Amount]]</f>
        <v>0.15729079205149735</v>
      </c>
      <c r="Q820" s="6">
        <f>Table13[[#This Row],[Amount]]/Table13[[#This Row],[Quantity]]</f>
        <v>510.42857142857144</v>
      </c>
    </row>
    <row r="821" spans="1:17" x14ac:dyDescent="0.3">
      <c r="A821" t="s">
        <v>948</v>
      </c>
      <c r="B821">
        <v>8055</v>
      </c>
      <c r="C821">
        <v>661</v>
      </c>
      <c r="D821">
        <v>10</v>
      </c>
      <c r="E821" t="s">
        <v>13</v>
      </c>
      <c r="F821" t="s">
        <v>82</v>
      </c>
      <c r="G821" t="s">
        <v>40</v>
      </c>
      <c r="H821" s="1">
        <v>44846</v>
      </c>
      <c r="I821" t="s">
        <v>454</v>
      </c>
      <c r="J821" t="s">
        <v>25</v>
      </c>
      <c r="K821" t="s">
        <v>68</v>
      </c>
      <c r="L821" s="2" t="s">
        <v>96</v>
      </c>
      <c r="M821" t="str">
        <f>TEXT(Table13[[#This Row],[Order Date]],"MMM")</f>
        <v>Oct</v>
      </c>
      <c r="N821">
        <f>YEAR(Table13[[#This Row],[Order Date]])</f>
        <v>2022</v>
      </c>
      <c r="O821" t="str">
        <f>"Q"&amp;ROUNDUP(MONTH(Table13[[#This Row],[Order Date]])/3,0)</f>
        <v>Q4</v>
      </c>
      <c r="P821" s="5">
        <f>Table13[[#This Row],[Profit]]/Table13[[#This Row],[Amount]]</f>
        <v>8.2060831781502169E-2</v>
      </c>
      <c r="Q821" s="6">
        <f>Table13[[#This Row],[Amount]]/Table13[[#This Row],[Quantity]]</f>
        <v>805.5</v>
      </c>
    </row>
    <row r="822" spans="1:17" x14ac:dyDescent="0.3">
      <c r="A822" t="s">
        <v>948</v>
      </c>
      <c r="B822">
        <v>8055</v>
      </c>
      <c r="C822">
        <v>661</v>
      </c>
      <c r="D822">
        <v>10</v>
      </c>
      <c r="E822" t="s">
        <v>13</v>
      </c>
      <c r="F822" t="s">
        <v>82</v>
      </c>
      <c r="G822" t="s">
        <v>40</v>
      </c>
      <c r="H822" s="1">
        <v>43974</v>
      </c>
      <c r="I822" t="s">
        <v>949</v>
      </c>
      <c r="J822" t="s">
        <v>42</v>
      </c>
      <c r="K822" t="s">
        <v>75</v>
      </c>
      <c r="L822" s="2" t="s">
        <v>59</v>
      </c>
      <c r="M822" t="str">
        <f>TEXT(Table13[[#This Row],[Order Date]],"MMM")</f>
        <v>May</v>
      </c>
      <c r="N822">
        <f>YEAR(Table13[[#This Row],[Order Date]])</f>
        <v>2020</v>
      </c>
      <c r="O822" t="str">
        <f>"Q"&amp;ROUNDUP(MONTH(Table13[[#This Row],[Order Date]])/3,0)</f>
        <v>Q2</v>
      </c>
      <c r="P822" s="5">
        <f>Table13[[#This Row],[Profit]]/Table13[[#This Row],[Amount]]</f>
        <v>8.2060831781502169E-2</v>
      </c>
      <c r="Q822" s="6">
        <f>Table13[[#This Row],[Amount]]/Table13[[#This Row],[Quantity]]</f>
        <v>805.5</v>
      </c>
    </row>
    <row r="823" spans="1:17" x14ac:dyDescent="0.3">
      <c r="A823" t="s">
        <v>948</v>
      </c>
      <c r="B823">
        <v>8055</v>
      </c>
      <c r="C823">
        <v>661</v>
      </c>
      <c r="D823">
        <v>10</v>
      </c>
      <c r="E823" t="s">
        <v>13</v>
      </c>
      <c r="F823" t="s">
        <v>82</v>
      </c>
      <c r="G823" t="s">
        <v>40</v>
      </c>
      <c r="H823" s="1">
        <v>43939</v>
      </c>
      <c r="I823" t="s">
        <v>950</v>
      </c>
      <c r="J823" t="s">
        <v>17</v>
      </c>
      <c r="K823" t="s">
        <v>150</v>
      </c>
      <c r="L823" s="2" t="s">
        <v>162</v>
      </c>
      <c r="M823" t="str">
        <f>TEXT(Table13[[#This Row],[Order Date]],"MMM")</f>
        <v>Apr</v>
      </c>
      <c r="N823">
        <f>YEAR(Table13[[#This Row],[Order Date]])</f>
        <v>2020</v>
      </c>
      <c r="O823" t="str">
        <f>"Q"&amp;ROUNDUP(MONTH(Table13[[#This Row],[Order Date]])/3,0)</f>
        <v>Q2</v>
      </c>
      <c r="P823" s="5">
        <f>Table13[[#This Row],[Profit]]/Table13[[#This Row],[Amount]]</f>
        <v>8.2060831781502169E-2</v>
      </c>
      <c r="Q823" s="6">
        <f>Table13[[#This Row],[Amount]]/Table13[[#This Row],[Quantity]]</f>
        <v>805.5</v>
      </c>
    </row>
    <row r="824" spans="1:17" x14ac:dyDescent="0.3">
      <c r="A824" t="s">
        <v>951</v>
      </c>
      <c r="B824">
        <v>6829</v>
      </c>
      <c r="C824">
        <v>2609</v>
      </c>
      <c r="D824">
        <v>2</v>
      </c>
      <c r="E824" t="s">
        <v>13</v>
      </c>
      <c r="F824" t="s">
        <v>39</v>
      </c>
      <c r="G824" t="s">
        <v>40</v>
      </c>
      <c r="H824" s="1">
        <v>44716</v>
      </c>
      <c r="I824" t="s">
        <v>952</v>
      </c>
      <c r="J824" t="s">
        <v>42</v>
      </c>
      <c r="K824" t="s">
        <v>92</v>
      </c>
      <c r="L824" s="2" t="s">
        <v>165</v>
      </c>
      <c r="M824" t="str">
        <f>TEXT(Table13[[#This Row],[Order Date]],"MMM")</f>
        <v>Jun</v>
      </c>
      <c r="N824">
        <f>YEAR(Table13[[#This Row],[Order Date]])</f>
        <v>2022</v>
      </c>
      <c r="O824" t="str">
        <f>"Q"&amp;ROUNDUP(MONTH(Table13[[#This Row],[Order Date]])/3,0)</f>
        <v>Q2</v>
      </c>
      <c r="P824" s="5">
        <f>Table13[[#This Row],[Profit]]/Table13[[#This Row],[Amount]]</f>
        <v>0.38204715185239418</v>
      </c>
      <c r="Q824" s="6">
        <f>Table13[[#This Row],[Amount]]/Table13[[#This Row],[Quantity]]</f>
        <v>3414.5</v>
      </c>
    </row>
    <row r="825" spans="1:17" x14ac:dyDescent="0.3">
      <c r="A825" t="s">
        <v>951</v>
      </c>
      <c r="B825">
        <v>6390</v>
      </c>
      <c r="C825">
        <v>3089</v>
      </c>
      <c r="D825">
        <v>12</v>
      </c>
      <c r="E825" t="s">
        <v>30</v>
      </c>
      <c r="F825" t="s">
        <v>64</v>
      </c>
      <c r="G825" t="s">
        <v>65</v>
      </c>
      <c r="H825" s="1">
        <v>44716</v>
      </c>
      <c r="I825" t="s">
        <v>952</v>
      </c>
      <c r="J825" t="s">
        <v>42</v>
      </c>
      <c r="K825" t="s">
        <v>92</v>
      </c>
      <c r="L825" s="2" t="s">
        <v>165</v>
      </c>
      <c r="M825" t="str">
        <f>TEXT(Table13[[#This Row],[Order Date]],"MMM")</f>
        <v>Jun</v>
      </c>
      <c r="N825">
        <f>YEAR(Table13[[#This Row],[Order Date]])</f>
        <v>2022</v>
      </c>
      <c r="O825" t="str">
        <f>"Q"&amp;ROUNDUP(MONTH(Table13[[#This Row],[Order Date]])/3,0)</f>
        <v>Q2</v>
      </c>
      <c r="P825" s="5">
        <f>Table13[[#This Row],[Profit]]/Table13[[#This Row],[Amount]]</f>
        <v>0.4834115805946792</v>
      </c>
      <c r="Q825" s="6">
        <f>Table13[[#This Row],[Amount]]/Table13[[#This Row],[Quantity]]</f>
        <v>532.5</v>
      </c>
    </row>
    <row r="826" spans="1:17" x14ac:dyDescent="0.3">
      <c r="A826" t="s">
        <v>953</v>
      </c>
      <c r="B826">
        <v>5831</v>
      </c>
      <c r="C826">
        <v>1574</v>
      </c>
      <c r="D826">
        <v>17</v>
      </c>
      <c r="E826" t="s">
        <v>30</v>
      </c>
      <c r="F826" t="s">
        <v>31</v>
      </c>
      <c r="G826" t="s">
        <v>32</v>
      </c>
      <c r="H826" s="1">
        <v>44881</v>
      </c>
      <c r="I826" t="s">
        <v>954</v>
      </c>
      <c r="J826" t="s">
        <v>42</v>
      </c>
      <c r="K826" t="s">
        <v>92</v>
      </c>
      <c r="L826" s="2" t="s">
        <v>44</v>
      </c>
      <c r="M826" t="str">
        <f>TEXT(Table13[[#This Row],[Order Date]],"MMM")</f>
        <v>Nov</v>
      </c>
      <c r="N826">
        <f>YEAR(Table13[[#This Row],[Order Date]])</f>
        <v>2022</v>
      </c>
      <c r="O826" t="str">
        <f>"Q"&amp;ROUNDUP(MONTH(Table13[[#This Row],[Order Date]])/3,0)</f>
        <v>Q4</v>
      </c>
      <c r="P826" s="5">
        <f>Table13[[#This Row],[Profit]]/Table13[[#This Row],[Amount]]</f>
        <v>0.26993654604699024</v>
      </c>
      <c r="Q826" s="6">
        <f>Table13[[#This Row],[Amount]]/Table13[[#This Row],[Quantity]]</f>
        <v>343</v>
      </c>
    </row>
    <row r="827" spans="1:17" x14ac:dyDescent="0.3">
      <c r="A827" t="s">
        <v>953</v>
      </c>
      <c r="B827">
        <v>5831</v>
      </c>
      <c r="C827">
        <v>1574</v>
      </c>
      <c r="D827">
        <v>17</v>
      </c>
      <c r="E827" t="s">
        <v>30</v>
      </c>
      <c r="F827" t="s">
        <v>31</v>
      </c>
      <c r="G827" t="s">
        <v>32</v>
      </c>
      <c r="H827" s="1">
        <v>45491</v>
      </c>
      <c r="I827" t="s">
        <v>955</v>
      </c>
      <c r="J827" t="s">
        <v>42</v>
      </c>
      <c r="K827" t="s">
        <v>75</v>
      </c>
      <c r="L827" s="2" t="s">
        <v>215</v>
      </c>
      <c r="M827" t="str">
        <f>TEXT(Table13[[#This Row],[Order Date]],"MMM")</f>
        <v>Jul</v>
      </c>
      <c r="N827">
        <f>YEAR(Table13[[#This Row],[Order Date]])</f>
        <v>2024</v>
      </c>
      <c r="O827" t="str">
        <f>"Q"&amp;ROUNDUP(MONTH(Table13[[#This Row],[Order Date]])/3,0)</f>
        <v>Q3</v>
      </c>
      <c r="P827" s="5">
        <f>Table13[[#This Row],[Profit]]/Table13[[#This Row],[Amount]]</f>
        <v>0.26993654604699024</v>
      </c>
      <c r="Q827" s="6">
        <f>Table13[[#This Row],[Amount]]/Table13[[#This Row],[Quantity]]</f>
        <v>343</v>
      </c>
    </row>
    <row r="828" spans="1:17" x14ac:dyDescent="0.3">
      <c r="A828" t="s">
        <v>953</v>
      </c>
      <c r="B828">
        <v>5831</v>
      </c>
      <c r="C828">
        <v>1574</v>
      </c>
      <c r="D828">
        <v>17</v>
      </c>
      <c r="E828" t="s">
        <v>30</v>
      </c>
      <c r="F828" t="s">
        <v>31</v>
      </c>
      <c r="G828" t="s">
        <v>32</v>
      </c>
      <c r="H828" s="1">
        <v>45123</v>
      </c>
      <c r="I828" t="s">
        <v>956</v>
      </c>
      <c r="J828" t="s">
        <v>17</v>
      </c>
      <c r="K828" t="s">
        <v>18</v>
      </c>
      <c r="L828" s="2" t="s">
        <v>105</v>
      </c>
      <c r="M828" t="str">
        <f>TEXT(Table13[[#This Row],[Order Date]],"MMM")</f>
        <v>Jul</v>
      </c>
      <c r="N828">
        <f>YEAR(Table13[[#This Row],[Order Date]])</f>
        <v>2023</v>
      </c>
      <c r="O828" t="str">
        <f>"Q"&amp;ROUNDUP(MONTH(Table13[[#This Row],[Order Date]])/3,0)</f>
        <v>Q3</v>
      </c>
      <c r="P828" s="5">
        <f>Table13[[#This Row],[Profit]]/Table13[[#This Row],[Amount]]</f>
        <v>0.26993654604699024</v>
      </c>
      <c r="Q828" s="6">
        <f>Table13[[#This Row],[Amount]]/Table13[[#This Row],[Quantity]]</f>
        <v>343</v>
      </c>
    </row>
    <row r="829" spans="1:17" x14ac:dyDescent="0.3">
      <c r="A829" t="s">
        <v>957</v>
      </c>
      <c r="B829">
        <v>7952</v>
      </c>
      <c r="C829">
        <v>3865</v>
      </c>
      <c r="D829">
        <v>8</v>
      </c>
      <c r="E829" t="s">
        <v>45</v>
      </c>
      <c r="F829" t="s">
        <v>60</v>
      </c>
      <c r="G829" t="s">
        <v>32</v>
      </c>
      <c r="H829" s="1">
        <v>44053</v>
      </c>
      <c r="I829" t="s">
        <v>958</v>
      </c>
      <c r="J829" t="s">
        <v>21</v>
      </c>
      <c r="K829" t="s">
        <v>172</v>
      </c>
      <c r="L829" s="2" t="s">
        <v>185</v>
      </c>
      <c r="M829" t="str">
        <f>TEXT(Table13[[#This Row],[Order Date]],"MMM")</f>
        <v>Aug</v>
      </c>
      <c r="N829">
        <f>YEAR(Table13[[#This Row],[Order Date]])</f>
        <v>2020</v>
      </c>
      <c r="O829" t="str">
        <f>"Q"&amp;ROUNDUP(MONTH(Table13[[#This Row],[Order Date]])/3,0)</f>
        <v>Q3</v>
      </c>
      <c r="P829" s="5">
        <f>Table13[[#This Row],[Profit]]/Table13[[#This Row],[Amount]]</f>
        <v>0.48604124748490946</v>
      </c>
      <c r="Q829" s="6">
        <f>Table13[[#This Row],[Amount]]/Table13[[#This Row],[Quantity]]</f>
        <v>994</v>
      </c>
    </row>
    <row r="830" spans="1:17" x14ac:dyDescent="0.3">
      <c r="A830" t="s">
        <v>959</v>
      </c>
      <c r="B830">
        <v>3659</v>
      </c>
      <c r="C830">
        <v>379</v>
      </c>
      <c r="D830">
        <v>5</v>
      </c>
      <c r="E830" t="s">
        <v>45</v>
      </c>
      <c r="F830" t="s">
        <v>109</v>
      </c>
      <c r="G830" t="s">
        <v>15</v>
      </c>
      <c r="H830" s="1">
        <v>45465</v>
      </c>
      <c r="I830" t="s">
        <v>960</v>
      </c>
      <c r="J830" t="s">
        <v>42</v>
      </c>
      <c r="K830" t="s">
        <v>43</v>
      </c>
      <c r="L830" s="2" t="s">
        <v>262</v>
      </c>
      <c r="M830" t="str">
        <f>TEXT(Table13[[#This Row],[Order Date]],"MMM")</f>
        <v>Jun</v>
      </c>
      <c r="N830">
        <f>YEAR(Table13[[#This Row],[Order Date]])</f>
        <v>2024</v>
      </c>
      <c r="O830" t="str">
        <f>"Q"&amp;ROUNDUP(MONTH(Table13[[#This Row],[Order Date]])/3,0)</f>
        <v>Q2</v>
      </c>
      <c r="P830" s="5">
        <f>Table13[[#This Row],[Profit]]/Table13[[#This Row],[Amount]]</f>
        <v>0.10358021317299809</v>
      </c>
      <c r="Q830" s="6">
        <f>Table13[[#This Row],[Amount]]/Table13[[#This Row],[Quantity]]</f>
        <v>731.8</v>
      </c>
    </row>
    <row r="831" spans="1:17" x14ac:dyDescent="0.3">
      <c r="A831" t="s">
        <v>961</v>
      </c>
      <c r="B831">
        <v>4183</v>
      </c>
      <c r="C831">
        <v>1159</v>
      </c>
      <c r="D831">
        <v>4</v>
      </c>
      <c r="E831" t="s">
        <v>30</v>
      </c>
      <c r="F831" t="s">
        <v>31</v>
      </c>
      <c r="G831" t="s">
        <v>32</v>
      </c>
      <c r="H831" s="1">
        <v>44025</v>
      </c>
      <c r="I831" t="s">
        <v>962</v>
      </c>
      <c r="J831" t="s">
        <v>21</v>
      </c>
      <c r="K831" t="s">
        <v>63</v>
      </c>
      <c r="L831" s="2" t="s">
        <v>462</v>
      </c>
      <c r="M831" t="str">
        <f>TEXT(Table13[[#This Row],[Order Date]],"MMM")</f>
        <v>Jul</v>
      </c>
      <c r="N831">
        <f>YEAR(Table13[[#This Row],[Order Date]])</f>
        <v>2020</v>
      </c>
      <c r="O831" t="str">
        <f>"Q"&amp;ROUNDUP(MONTH(Table13[[#This Row],[Order Date]])/3,0)</f>
        <v>Q3</v>
      </c>
      <c r="P831" s="5">
        <f>Table13[[#This Row],[Profit]]/Table13[[#This Row],[Amount]]</f>
        <v>0.27707387042792253</v>
      </c>
      <c r="Q831" s="6">
        <f>Table13[[#This Row],[Amount]]/Table13[[#This Row],[Quantity]]</f>
        <v>1045.75</v>
      </c>
    </row>
    <row r="832" spans="1:17" x14ac:dyDescent="0.3">
      <c r="A832" t="s">
        <v>963</v>
      </c>
      <c r="B832">
        <v>7478</v>
      </c>
      <c r="C832">
        <v>1381</v>
      </c>
      <c r="D832">
        <v>11</v>
      </c>
      <c r="E832" t="s">
        <v>13</v>
      </c>
      <c r="F832" t="s">
        <v>82</v>
      </c>
      <c r="G832" t="s">
        <v>40</v>
      </c>
      <c r="H832" s="1">
        <v>45398</v>
      </c>
      <c r="I832" t="s">
        <v>964</v>
      </c>
      <c r="J832" t="s">
        <v>71</v>
      </c>
      <c r="K832" t="s">
        <v>138</v>
      </c>
      <c r="L832" s="2" t="s">
        <v>235</v>
      </c>
      <c r="M832" t="str">
        <f>TEXT(Table13[[#This Row],[Order Date]],"MMM")</f>
        <v>Apr</v>
      </c>
      <c r="N832">
        <f>YEAR(Table13[[#This Row],[Order Date]])</f>
        <v>2024</v>
      </c>
      <c r="O832" t="str">
        <f>"Q"&amp;ROUNDUP(MONTH(Table13[[#This Row],[Order Date]])/3,0)</f>
        <v>Q2</v>
      </c>
      <c r="P832" s="5">
        <f>Table13[[#This Row],[Profit]]/Table13[[#This Row],[Amount]]</f>
        <v>0.18467504680395827</v>
      </c>
      <c r="Q832" s="6">
        <f>Table13[[#This Row],[Amount]]/Table13[[#This Row],[Quantity]]</f>
        <v>679.81818181818187</v>
      </c>
    </row>
    <row r="833" spans="1:17" x14ac:dyDescent="0.3">
      <c r="A833" t="s">
        <v>965</v>
      </c>
      <c r="B833">
        <v>702</v>
      </c>
      <c r="C833">
        <v>238</v>
      </c>
      <c r="D833">
        <v>9</v>
      </c>
      <c r="E833" t="s">
        <v>13</v>
      </c>
      <c r="F833" t="s">
        <v>82</v>
      </c>
      <c r="G833" t="s">
        <v>65</v>
      </c>
      <c r="H833" s="1">
        <v>44268</v>
      </c>
      <c r="I833" t="s">
        <v>966</v>
      </c>
      <c r="J833" t="s">
        <v>17</v>
      </c>
      <c r="K833" t="s">
        <v>150</v>
      </c>
      <c r="L833" s="2" t="s">
        <v>167</v>
      </c>
      <c r="M833" t="str">
        <f>TEXT(Table13[[#This Row],[Order Date]],"MMM")</f>
        <v>Mar</v>
      </c>
      <c r="N833">
        <f>YEAR(Table13[[#This Row],[Order Date]])</f>
        <v>2021</v>
      </c>
      <c r="O833" t="str">
        <f>"Q"&amp;ROUNDUP(MONTH(Table13[[#This Row],[Order Date]])/3,0)</f>
        <v>Q1</v>
      </c>
      <c r="P833" s="5">
        <f>Table13[[#This Row],[Profit]]/Table13[[#This Row],[Amount]]</f>
        <v>0.33903133903133903</v>
      </c>
      <c r="Q833" s="6">
        <f>Table13[[#This Row],[Amount]]/Table13[[#This Row],[Quantity]]</f>
        <v>78</v>
      </c>
    </row>
    <row r="834" spans="1:17" x14ac:dyDescent="0.3">
      <c r="A834" t="s">
        <v>967</v>
      </c>
      <c r="B834">
        <v>4037</v>
      </c>
      <c r="C834">
        <v>1494</v>
      </c>
      <c r="D834">
        <v>15</v>
      </c>
      <c r="E834" t="s">
        <v>45</v>
      </c>
      <c r="F834" t="s">
        <v>49</v>
      </c>
      <c r="G834" t="s">
        <v>40</v>
      </c>
      <c r="H834" s="1">
        <v>45017</v>
      </c>
      <c r="I834" t="s">
        <v>968</v>
      </c>
      <c r="J834" t="s">
        <v>42</v>
      </c>
      <c r="K834" t="s">
        <v>92</v>
      </c>
      <c r="L834" s="2" t="s">
        <v>145</v>
      </c>
      <c r="M834" t="str">
        <f>TEXT(Table13[[#This Row],[Order Date]],"MMM")</f>
        <v>Apr</v>
      </c>
      <c r="N834">
        <f>YEAR(Table13[[#This Row],[Order Date]])</f>
        <v>2023</v>
      </c>
      <c r="O834" t="str">
        <f>"Q"&amp;ROUNDUP(MONTH(Table13[[#This Row],[Order Date]])/3,0)</f>
        <v>Q2</v>
      </c>
      <c r="P834" s="5">
        <f>Table13[[#This Row],[Profit]]/Table13[[#This Row],[Amount]]</f>
        <v>0.37007678969531832</v>
      </c>
      <c r="Q834" s="6">
        <f>Table13[[#This Row],[Amount]]/Table13[[#This Row],[Quantity]]</f>
        <v>269.13333333333333</v>
      </c>
    </row>
    <row r="835" spans="1:17" x14ac:dyDescent="0.3">
      <c r="A835" t="s">
        <v>969</v>
      </c>
      <c r="B835">
        <v>5014</v>
      </c>
      <c r="C835">
        <v>2332</v>
      </c>
      <c r="D835">
        <v>2</v>
      </c>
      <c r="E835" t="s">
        <v>45</v>
      </c>
      <c r="F835" t="s">
        <v>49</v>
      </c>
      <c r="G835" t="s">
        <v>65</v>
      </c>
      <c r="H835" s="1">
        <v>44145</v>
      </c>
      <c r="I835" t="s">
        <v>970</v>
      </c>
      <c r="J835" t="s">
        <v>21</v>
      </c>
      <c r="K835" t="s">
        <v>22</v>
      </c>
      <c r="L835" s="2" t="s">
        <v>80</v>
      </c>
      <c r="M835" t="str">
        <f>TEXT(Table13[[#This Row],[Order Date]],"MMM")</f>
        <v>Nov</v>
      </c>
      <c r="N835">
        <f>YEAR(Table13[[#This Row],[Order Date]])</f>
        <v>2020</v>
      </c>
      <c r="O835" t="str">
        <f>"Q"&amp;ROUNDUP(MONTH(Table13[[#This Row],[Order Date]])/3,0)</f>
        <v>Q4</v>
      </c>
      <c r="P835" s="5">
        <f>Table13[[#This Row],[Profit]]/Table13[[#This Row],[Amount]]</f>
        <v>0.46509772636617469</v>
      </c>
      <c r="Q835" s="6">
        <f>Table13[[#This Row],[Amount]]/Table13[[#This Row],[Quantity]]</f>
        <v>2507</v>
      </c>
    </row>
    <row r="836" spans="1:17" x14ac:dyDescent="0.3">
      <c r="A836" t="s">
        <v>971</v>
      </c>
      <c r="B836">
        <v>9879</v>
      </c>
      <c r="C836">
        <v>4930</v>
      </c>
      <c r="D836">
        <v>15</v>
      </c>
      <c r="E836" t="s">
        <v>13</v>
      </c>
      <c r="F836" t="s">
        <v>39</v>
      </c>
      <c r="G836" t="s">
        <v>32</v>
      </c>
      <c r="H836" s="1">
        <v>45085</v>
      </c>
      <c r="I836" t="s">
        <v>972</v>
      </c>
      <c r="J836" t="s">
        <v>25</v>
      </c>
      <c r="K836" t="s">
        <v>68</v>
      </c>
      <c r="L836" s="2" t="s">
        <v>19</v>
      </c>
      <c r="M836" t="str">
        <f>TEXT(Table13[[#This Row],[Order Date]],"MMM")</f>
        <v>Jun</v>
      </c>
      <c r="N836">
        <f>YEAR(Table13[[#This Row],[Order Date]])</f>
        <v>2023</v>
      </c>
      <c r="O836" t="str">
        <f>"Q"&amp;ROUNDUP(MONTH(Table13[[#This Row],[Order Date]])/3,0)</f>
        <v>Q2</v>
      </c>
      <c r="P836" s="5">
        <f>Table13[[#This Row],[Profit]]/Table13[[#This Row],[Amount]]</f>
        <v>0.49903836420690351</v>
      </c>
      <c r="Q836" s="6">
        <f>Table13[[#This Row],[Amount]]/Table13[[#This Row],[Quantity]]</f>
        <v>658.6</v>
      </c>
    </row>
    <row r="837" spans="1:17" x14ac:dyDescent="0.3">
      <c r="A837" t="s">
        <v>973</v>
      </c>
      <c r="B837">
        <v>8762</v>
      </c>
      <c r="C837">
        <v>3502</v>
      </c>
      <c r="D837">
        <v>1</v>
      </c>
      <c r="E837" t="s">
        <v>13</v>
      </c>
      <c r="F837" t="s">
        <v>82</v>
      </c>
      <c r="G837" t="s">
        <v>32</v>
      </c>
      <c r="H837" s="1">
        <v>44425</v>
      </c>
      <c r="I837" t="s">
        <v>974</v>
      </c>
      <c r="J837" t="s">
        <v>17</v>
      </c>
      <c r="K837" t="s">
        <v>150</v>
      </c>
      <c r="L837" s="2" t="s">
        <v>178</v>
      </c>
      <c r="M837" t="str">
        <f>TEXT(Table13[[#This Row],[Order Date]],"MMM")</f>
        <v>Aug</v>
      </c>
      <c r="N837">
        <f>YEAR(Table13[[#This Row],[Order Date]])</f>
        <v>2021</v>
      </c>
      <c r="O837" t="str">
        <f>"Q"&amp;ROUNDUP(MONTH(Table13[[#This Row],[Order Date]])/3,0)</f>
        <v>Q3</v>
      </c>
      <c r="P837" s="5">
        <f>Table13[[#This Row],[Profit]]/Table13[[#This Row],[Amount]]</f>
        <v>0.39968043825610589</v>
      </c>
      <c r="Q837" s="6">
        <f>Table13[[#This Row],[Amount]]/Table13[[#This Row],[Quantity]]</f>
        <v>8762</v>
      </c>
    </row>
    <row r="838" spans="1:17" x14ac:dyDescent="0.3">
      <c r="A838" t="s">
        <v>975</v>
      </c>
      <c r="B838">
        <v>8490</v>
      </c>
      <c r="C838">
        <v>800</v>
      </c>
      <c r="D838">
        <v>1</v>
      </c>
      <c r="E838" t="s">
        <v>30</v>
      </c>
      <c r="F838" t="s">
        <v>31</v>
      </c>
      <c r="G838" t="s">
        <v>40</v>
      </c>
      <c r="H838" s="1">
        <v>43975</v>
      </c>
      <c r="I838" t="s">
        <v>976</v>
      </c>
      <c r="J838" t="s">
        <v>25</v>
      </c>
      <c r="K838" t="s">
        <v>51</v>
      </c>
      <c r="L838" s="2" t="s">
        <v>59</v>
      </c>
      <c r="M838" t="str">
        <f>TEXT(Table13[[#This Row],[Order Date]],"MMM")</f>
        <v>May</v>
      </c>
      <c r="N838">
        <f>YEAR(Table13[[#This Row],[Order Date]])</f>
        <v>2020</v>
      </c>
      <c r="O838" t="str">
        <f>"Q"&amp;ROUNDUP(MONTH(Table13[[#This Row],[Order Date]])/3,0)</f>
        <v>Q2</v>
      </c>
      <c r="P838" s="5">
        <f>Table13[[#This Row],[Profit]]/Table13[[#This Row],[Amount]]</f>
        <v>9.4228504122497059E-2</v>
      </c>
      <c r="Q838" s="6">
        <f>Table13[[#This Row],[Amount]]/Table13[[#This Row],[Quantity]]</f>
        <v>8490</v>
      </c>
    </row>
    <row r="839" spans="1:17" x14ac:dyDescent="0.3">
      <c r="A839" t="s">
        <v>977</v>
      </c>
      <c r="B839">
        <v>6951</v>
      </c>
      <c r="C839">
        <v>164</v>
      </c>
      <c r="D839">
        <v>10</v>
      </c>
      <c r="E839" t="s">
        <v>45</v>
      </c>
      <c r="F839" t="s">
        <v>60</v>
      </c>
      <c r="G839" t="s">
        <v>15</v>
      </c>
      <c r="H839" s="1">
        <v>44420</v>
      </c>
      <c r="I839" t="s">
        <v>978</v>
      </c>
      <c r="J839" t="s">
        <v>25</v>
      </c>
      <c r="K839" t="s">
        <v>26</v>
      </c>
      <c r="L839" s="2" t="s">
        <v>178</v>
      </c>
      <c r="M839" t="str">
        <f>TEXT(Table13[[#This Row],[Order Date]],"MMM")</f>
        <v>Aug</v>
      </c>
      <c r="N839">
        <f>YEAR(Table13[[#This Row],[Order Date]])</f>
        <v>2021</v>
      </c>
      <c r="O839" t="str">
        <f>"Q"&amp;ROUNDUP(MONTH(Table13[[#This Row],[Order Date]])/3,0)</f>
        <v>Q3</v>
      </c>
      <c r="P839" s="5">
        <f>Table13[[#This Row],[Profit]]/Table13[[#This Row],[Amount]]</f>
        <v>2.3593727521219968E-2</v>
      </c>
      <c r="Q839" s="6">
        <f>Table13[[#This Row],[Amount]]/Table13[[#This Row],[Quantity]]</f>
        <v>695.1</v>
      </c>
    </row>
    <row r="840" spans="1:17" x14ac:dyDescent="0.3">
      <c r="A840" t="s">
        <v>979</v>
      </c>
      <c r="B840">
        <v>1078</v>
      </c>
      <c r="C840">
        <v>309</v>
      </c>
      <c r="D840">
        <v>3</v>
      </c>
      <c r="E840" t="s">
        <v>13</v>
      </c>
      <c r="F840" t="s">
        <v>82</v>
      </c>
      <c r="G840" t="s">
        <v>47</v>
      </c>
      <c r="H840" s="1">
        <v>44807</v>
      </c>
      <c r="I840" t="s">
        <v>980</v>
      </c>
      <c r="J840" t="s">
        <v>98</v>
      </c>
      <c r="K840" t="s">
        <v>117</v>
      </c>
      <c r="L840" s="2" t="s">
        <v>131</v>
      </c>
      <c r="M840" t="str">
        <f>TEXT(Table13[[#This Row],[Order Date]],"MMM")</f>
        <v>Sep</v>
      </c>
      <c r="N840">
        <f>YEAR(Table13[[#This Row],[Order Date]])</f>
        <v>2022</v>
      </c>
      <c r="O840" t="str">
        <f>"Q"&amp;ROUNDUP(MONTH(Table13[[#This Row],[Order Date]])/3,0)</f>
        <v>Q3</v>
      </c>
      <c r="P840" s="5">
        <f>Table13[[#This Row],[Profit]]/Table13[[#This Row],[Amount]]</f>
        <v>0.28664192949907236</v>
      </c>
      <c r="Q840" s="6">
        <f>Table13[[#This Row],[Amount]]/Table13[[#This Row],[Quantity]]</f>
        <v>359.33333333333331</v>
      </c>
    </row>
    <row r="841" spans="1:17" x14ac:dyDescent="0.3">
      <c r="A841" t="s">
        <v>979</v>
      </c>
      <c r="B841">
        <v>1078</v>
      </c>
      <c r="C841">
        <v>309</v>
      </c>
      <c r="D841">
        <v>3</v>
      </c>
      <c r="E841" t="s">
        <v>13</v>
      </c>
      <c r="F841" t="s">
        <v>82</v>
      </c>
      <c r="G841" t="s">
        <v>47</v>
      </c>
      <c r="H841" s="1">
        <v>44105</v>
      </c>
      <c r="I841" t="s">
        <v>981</v>
      </c>
      <c r="J841" t="s">
        <v>21</v>
      </c>
      <c r="K841" t="s">
        <v>22</v>
      </c>
      <c r="L841" s="2" t="s">
        <v>119</v>
      </c>
      <c r="M841" t="str">
        <f>TEXT(Table13[[#This Row],[Order Date]],"MMM")</f>
        <v>Oct</v>
      </c>
      <c r="N841">
        <f>YEAR(Table13[[#This Row],[Order Date]])</f>
        <v>2020</v>
      </c>
      <c r="O841" t="str">
        <f>"Q"&amp;ROUNDUP(MONTH(Table13[[#This Row],[Order Date]])/3,0)</f>
        <v>Q4</v>
      </c>
      <c r="P841" s="5">
        <f>Table13[[#This Row],[Profit]]/Table13[[#This Row],[Amount]]</f>
        <v>0.28664192949907236</v>
      </c>
      <c r="Q841" s="6">
        <f>Table13[[#This Row],[Amount]]/Table13[[#This Row],[Quantity]]</f>
        <v>359.33333333333331</v>
      </c>
    </row>
    <row r="842" spans="1:17" x14ac:dyDescent="0.3">
      <c r="A842" t="s">
        <v>982</v>
      </c>
      <c r="B842">
        <v>8560</v>
      </c>
      <c r="C842">
        <v>2166</v>
      </c>
      <c r="D842">
        <v>19</v>
      </c>
      <c r="E842" t="s">
        <v>30</v>
      </c>
      <c r="F842" t="s">
        <v>78</v>
      </c>
      <c r="G842" t="s">
        <v>40</v>
      </c>
      <c r="H842" s="1">
        <v>44708</v>
      </c>
      <c r="I842" t="s">
        <v>983</v>
      </c>
      <c r="J842" t="s">
        <v>17</v>
      </c>
      <c r="K842" t="s">
        <v>150</v>
      </c>
      <c r="L842" s="2" t="s">
        <v>180</v>
      </c>
      <c r="M842" t="str">
        <f>TEXT(Table13[[#This Row],[Order Date]],"MMM")</f>
        <v>May</v>
      </c>
      <c r="N842">
        <f>YEAR(Table13[[#This Row],[Order Date]])</f>
        <v>2022</v>
      </c>
      <c r="O842" t="str">
        <f>"Q"&amp;ROUNDUP(MONTH(Table13[[#This Row],[Order Date]])/3,0)</f>
        <v>Q2</v>
      </c>
      <c r="P842" s="5">
        <f>Table13[[#This Row],[Profit]]/Table13[[#This Row],[Amount]]</f>
        <v>0.25303738317757007</v>
      </c>
      <c r="Q842" s="6">
        <f>Table13[[#This Row],[Amount]]/Table13[[#This Row],[Quantity]]</f>
        <v>450.5263157894737</v>
      </c>
    </row>
    <row r="843" spans="1:17" x14ac:dyDescent="0.3">
      <c r="A843" t="s">
        <v>982</v>
      </c>
      <c r="B843">
        <v>1031</v>
      </c>
      <c r="C843">
        <v>318</v>
      </c>
      <c r="D843">
        <v>20</v>
      </c>
      <c r="E843" t="s">
        <v>13</v>
      </c>
      <c r="F843" t="s">
        <v>14</v>
      </c>
      <c r="G843" t="s">
        <v>15</v>
      </c>
      <c r="H843" s="1">
        <v>44708</v>
      </c>
      <c r="I843" t="s">
        <v>983</v>
      </c>
      <c r="J843" t="s">
        <v>17</v>
      </c>
      <c r="K843" t="s">
        <v>150</v>
      </c>
      <c r="L843" s="2" t="s">
        <v>180</v>
      </c>
      <c r="M843" t="str">
        <f>TEXT(Table13[[#This Row],[Order Date]],"MMM")</f>
        <v>May</v>
      </c>
      <c r="N843">
        <f>YEAR(Table13[[#This Row],[Order Date]])</f>
        <v>2022</v>
      </c>
      <c r="O843" t="str">
        <f>"Q"&amp;ROUNDUP(MONTH(Table13[[#This Row],[Order Date]])/3,0)</f>
        <v>Q2</v>
      </c>
      <c r="P843" s="5">
        <f>Table13[[#This Row],[Profit]]/Table13[[#This Row],[Amount]]</f>
        <v>0.30843840931134819</v>
      </c>
      <c r="Q843" s="6">
        <f>Table13[[#This Row],[Amount]]/Table13[[#This Row],[Quantity]]</f>
        <v>51.55</v>
      </c>
    </row>
    <row r="844" spans="1:17" x14ac:dyDescent="0.3">
      <c r="A844" t="s">
        <v>984</v>
      </c>
      <c r="B844">
        <v>6402</v>
      </c>
      <c r="C844">
        <v>2770</v>
      </c>
      <c r="D844">
        <v>19</v>
      </c>
      <c r="E844" t="s">
        <v>30</v>
      </c>
      <c r="F844" t="s">
        <v>57</v>
      </c>
      <c r="G844" t="s">
        <v>32</v>
      </c>
      <c r="H844" s="1">
        <v>45361</v>
      </c>
      <c r="I844" t="s">
        <v>985</v>
      </c>
      <c r="J844" t="s">
        <v>17</v>
      </c>
      <c r="K844" t="s">
        <v>34</v>
      </c>
      <c r="L844" s="2" t="s">
        <v>338</v>
      </c>
      <c r="M844" t="str">
        <f>TEXT(Table13[[#This Row],[Order Date]],"MMM")</f>
        <v>Mar</v>
      </c>
      <c r="N844">
        <f>YEAR(Table13[[#This Row],[Order Date]])</f>
        <v>2024</v>
      </c>
      <c r="O844" t="str">
        <f>"Q"&amp;ROUNDUP(MONTH(Table13[[#This Row],[Order Date]])/3,0)</f>
        <v>Q1</v>
      </c>
      <c r="P844" s="5">
        <f>Table13[[#This Row],[Profit]]/Table13[[#This Row],[Amount]]</f>
        <v>0.43267728834739144</v>
      </c>
      <c r="Q844" s="6">
        <f>Table13[[#This Row],[Amount]]/Table13[[#This Row],[Quantity]]</f>
        <v>336.94736842105266</v>
      </c>
    </row>
    <row r="845" spans="1:17" x14ac:dyDescent="0.3">
      <c r="A845" t="s">
        <v>984</v>
      </c>
      <c r="B845">
        <v>6402</v>
      </c>
      <c r="C845">
        <v>2770</v>
      </c>
      <c r="D845">
        <v>19</v>
      </c>
      <c r="E845" t="s">
        <v>30</v>
      </c>
      <c r="F845" t="s">
        <v>57</v>
      </c>
      <c r="G845" t="s">
        <v>32</v>
      </c>
      <c r="H845" s="1">
        <v>45204</v>
      </c>
      <c r="I845" t="s">
        <v>986</v>
      </c>
      <c r="J845" t="s">
        <v>17</v>
      </c>
      <c r="K845" t="s">
        <v>34</v>
      </c>
      <c r="L845" s="2" t="s">
        <v>442</v>
      </c>
      <c r="M845" t="str">
        <f>TEXT(Table13[[#This Row],[Order Date]],"MMM")</f>
        <v>Oct</v>
      </c>
      <c r="N845">
        <f>YEAR(Table13[[#This Row],[Order Date]])</f>
        <v>2023</v>
      </c>
      <c r="O845" t="str">
        <f>"Q"&amp;ROUNDUP(MONTH(Table13[[#This Row],[Order Date]])/3,0)</f>
        <v>Q4</v>
      </c>
      <c r="P845" s="5">
        <f>Table13[[#This Row],[Profit]]/Table13[[#This Row],[Amount]]</f>
        <v>0.43267728834739144</v>
      </c>
      <c r="Q845" s="6">
        <f>Table13[[#This Row],[Amount]]/Table13[[#This Row],[Quantity]]</f>
        <v>336.94736842105266</v>
      </c>
    </row>
    <row r="846" spans="1:17" x14ac:dyDescent="0.3">
      <c r="A846" t="s">
        <v>984</v>
      </c>
      <c r="B846">
        <v>5916</v>
      </c>
      <c r="C846">
        <v>1594</v>
      </c>
      <c r="D846">
        <v>19</v>
      </c>
      <c r="E846" t="s">
        <v>13</v>
      </c>
      <c r="F846" t="s">
        <v>28</v>
      </c>
      <c r="G846" t="s">
        <v>32</v>
      </c>
      <c r="H846" s="1">
        <v>45361</v>
      </c>
      <c r="I846" t="s">
        <v>985</v>
      </c>
      <c r="J846" t="s">
        <v>17</v>
      </c>
      <c r="K846" t="s">
        <v>34</v>
      </c>
      <c r="L846" s="2" t="s">
        <v>338</v>
      </c>
      <c r="M846" t="str">
        <f>TEXT(Table13[[#This Row],[Order Date]],"MMM")</f>
        <v>Mar</v>
      </c>
      <c r="N846">
        <f>YEAR(Table13[[#This Row],[Order Date]])</f>
        <v>2024</v>
      </c>
      <c r="O846" t="str">
        <f>"Q"&amp;ROUNDUP(MONTH(Table13[[#This Row],[Order Date]])/3,0)</f>
        <v>Q1</v>
      </c>
      <c r="P846" s="5">
        <f>Table13[[#This Row],[Profit]]/Table13[[#This Row],[Amount]]</f>
        <v>0.26943881000676134</v>
      </c>
      <c r="Q846" s="6">
        <f>Table13[[#This Row],[Amount]]/Table13[[#This Row],[Quantity]]</f>
        <v>311.36842105263156</v>
      </c>
    </row>
    <row r="847" spans="1:17" x14ac:dyDescent="0.3">
      <c r="A847" t="s">
        <v>984</v>
      </c>
      <c r="B847">
        <v>5916</v>
      </c>
      <c r="C847">
        <v>1594</v>
      </c>
      <c r="D847">
        <v>19</v>
      </c>
      <c r="E847" t="s">
        <v>13</v>
      </c>
      <c r="F847" t="s">
        <v>28</v>
      </c>
      <c r="G847" t="s">
        <v>32</v>
      </c>
      <c r="H847" s="1">
        <v>45204</v>
      </c>
      <c r="I847" t="s">
        <v>986</v>
      </c>
      <c r="J847" t="s">
        <v>17</v>
      </c>
      <c r="K847" t="s">
        <v>34</v>
      </c>
      <c r="L847" s="2" t="s">
        <v>442</v>
      </c>
      <c r="M847" t="str">
        <f>TEXT(Table13[[#This Row],[Order Date]],"MMM")</f>
        <v>Oct</v>
      </c>
      <c r="N847">
        <f>YEAR(Table13[[#This Row],[Order Date]])</f>
        <v>2023</v>
      </c>
      <c r="O847" t="str">
        <f>"Q"&amp;ROUNDUP(MONTH(Table13[[#This Row],[Order Date]])/3,0)</f>
        <v>Q4</v>
      </c>
      <c r="P847" s="5">
        <f>Table13[[#This Row],[Profit]]/Table13[[#This Row],[Amount]]</f>
        <v>0.26943881000676134</v>
      </c>
      <c r="Q847" s="6">
        <f>Table13[[#This Row],[Amount]]/Table13[[#This Row],[Quantity]]</f>
        <v>311.36842105263156</v>
      </c>
    </row>
    <row r="848" spans="1:17" x14ac:dyDescent="0.3">
      <c r="A848" t="s">
        <v>987</v>
      </c>
      <c r="B848">
        <v>4015</v>
      </c>
      <c r="C848">
        <v>1751</v>
      </c>
      <c r="D848">
        <v>15</v>
      </c>
      <c r="E848" t="s">
        <v>45</v>
      </c>
      <c r="F848" t="s">
        <v>49</v>
      </c>
      <c r="G848" t="s">
        <v>32</v>
      </c>
      <c r="H848" s="1">
        <v>44801</v>
      </c>
      <c r="I848" t="s">
        <v>988</v>
      </c>
      <c r="J848" t="s">
        <v>42</v>
      </c>
      <c r="K848" t="s">
        <v>92</v>
      </c>
      <c r="L848" s="2" t="s">
        <v>209</v>
      </c>
      <c r="M848" t="str">
        <f>TEXT(Table13[[#This Row],[Order Date]],"MMM")</f>
        <v>Aug</v>
      </c>
      <c r="N848">
        <f>YEAR(Table13[[#This Row],[Order Date]])</f>
        <v>2022</v>
      </c>
      <c r="O848" t="str">
        <f>"Q"&amp;ROUNDUP(MONTH(Table13[[#This Row],[Order Date]])/3,0)</f>
        <v>Q3</v>
      </c>
      <c r="P848" s="5">
        <f>Table13[[#This Row],[Profit]]/Table13[[#This Row],[Amount]]</f>
        <v>0.4361145703611457</v>
      </c>
      <c r="Q848" s="6">
        <f>Table13[[#This Row],[Amount]]/Table13[[#This Row],[Quantity]]</f>
        <v>267.66666666666669</v>
      </c>
    </row>
    <row r="849" spans="1:17" x14ac:dyDescent="0.3">
      <c r="A849" t="s">
        <v>987</v>
      </c>
      <c r="B849">
        <v>4015</v>
      </c>
      <c r="C849">
        <v>1751</v>
      </c>
      <c r="D849">
        <v>15</v>
      </c>
      <c r="E849" t="s">
        <v>45</v>
      </c>
      <c r="F849" t="s">
        <v>49</v>
      </c>
      <c r="G849" t="s">
        <v>32</v>
      </c>
      <c r="H849" s="1">
        <v>44082</v>
      </c>
      <c r="I849" t="s">
        <v>989</v>
      </c>
      <c r="J849" t="s">
        <v>25</v>
      </c>
      <c r="K849" t="s">
        <v>51</v>
      </c>
      <c r="L849" s="2" t="s">
        <v>389</v>
      </c>
      <c r="M849" t="str">
        <f>TEXT(Table13[[#This Row],[Order Date]],"MMM")</f>
        <v>Sep</v>
      </c>
      <c r="N849">
        <f>YEAR(Table13[[#This Row],[Order Date]])</f>
        <v>2020</v>
      </c>
      <c r="O849" t="str">
        <f>"Q"&amp;ROUNDUP(MONTH(Table13[[#This Row],[Order Date]])/3,0)</f>
        <v>Q3</v>
      </c>
      <c r="P849" s="5">
        <f>Table13[[#This Row],[Profit]]/Table13[[#This Row],[Amount]]</f>
        <v>0.4361145703611457</v>
      </c>
      <c r="Q849" s="6">
        <f>Table13[[#This Row],[Amount]]/Table13[[#This Row],[Quantity]]</f>
        <v>267.66666666666669</v>
      </c>
    </row>
    <row r="850" spans="1:17" x14ac:dyDescent="0.3">
      <c r="A850" t="s">
        <v>990</v>
      </c>
      <c r="B850">
        <v>9335</v>
      </c>
      <c r="C850">
        <v>557</v>
      </c>
      <c r="D850">
        <v>11</v>
      </c>
      <c r="E850" t="s">
        <v>13</v>
      </c>
      <c r="F850" t="s">
        <v>14</v>
      </c>
      <c r="G850" t="s">
        <v>65</v>
      </c>
      <c r="H850" s="1">
        <v>44313</v>
      </c>
      <c r="I850" t="s">
        <v>991</v>
      </c>
      <c r="J850" t="s">
        <v>42</v>
      </c>
      <c r="K850" t="s">
        <v>43</v>
      </c>
      <c r="L850" s="2" t="s">
        <v>139</v>
      </c>
      <c r="M850" t="str">
        <f>TEXT(Table13[[#This Row],[Order Date]],"MMM")</f>
        <v>Apr</v>
      </c>
      <c r="N850">
        <f>YEAR(Table13[[#This Row],[Order Date]])</f>
        <v>2021</v>
      </c>
      <c r="O850" t="str">
        <f>"Q"&amp;ROUNDUP(MONTH(Table13[[#This Row],[Order Date]])/3,0)</f>
        <v>Q2</v>
      </c>
      <c r="P850" s="5">
        <f>Table13[[#This Row],[Profit]]/Table13[[#This Row],[Amount]]</f>
        <v>5.966791644349223E-2</v>
      </c>
      <c r="Q850" s="6">
        <f>Table13[[#This Row],[Amount]]/Table13[[#This Row],[Quantity]]</f>
        <v>848.63636363636363</v>
      </c>
    </row>
    <row r="851" spans="1:17" x14ac:dyDescent="0.3">
      <c r="A851" t="s">
        <v>992</v>
      </c>
      <c r="B851">
        <v>4706</v>
      </c>
      <c r="C851">
        <v>594</v>
      </c>
      <c r="D851">
        <v>11</v>
      </c>
      <c r="E851" t="s">
        <v>30</v>
      </c>
      <c r="F851" t="s">
        <v>78</v>
      </c>
      <c r="G851" t="s">
        <v>65</v>
      </c>
      <c r="H851" s="1">
        <v>44429</v>
      </c>
      <c r="I851" t="s">
        <v>993</v>
      </c>
      <c r="J851" t="s">
        <v>98</v>
      </c>
      <c r="K851" t="s">
        <v>117</v>
      </c>
      <c r="L851" s="2" t="s">
        <v>178</v>
      </c>
      <c r="M851" t="str">
        <f>TEXT(Table13[[#This Row],[Order Date]],"MMM")</f>
        <v>Aug</v>
      </c>
      <c r="N851">
        <f>YEAR(Table13[[#This Row],[Order Date]])</f>
        <v>2021</v>
      </c>
      <c r="O851" t="str">
        <f>"Q"&amp;ROUNDUP(MONTH(Table13[[#This Row],[Order Date]])/3,0)</f>
        <v>Q3</v>
      </c>
      <c r="P851" s="5">
        <f>Table13[[#This Row],[Profit]]/Table13[[#This Row],[Amount]]</f>
        <v>0.12622184445388865</v>
      </c>
      <c r="Q851" s="6">
        <f>Table13[[#This Row],[Amount]]/Table13[[#This Row],[Quantity]]</f>
        <v>427.81818181818181</v>
      </c>
    </row>
    <row r="852" spans="1:17" x14ac:dyDescent="0.3">
      <c r="A852" t="s">
        <v>992</v>
      </c>
      <c r="B852">
        <v>4706</v>
      </c>
      <c r="C852">
        <v>594</v>
      </c>
      <c r="D852">
        <v>11</v>
      </c>
      <c r="E852" t="s">
        <v>30</v>
      </c>
      <c r="F852" t="s">
        <v>78</v>
      </c>
      <c r="G852" t="s">
        <v>65</v>
      </c>
      <c r="H852" s="1">
        <v>44332</v>
      </c>
      <c r="I852" t="s">
        <v>994</v>
      </c>
      <c r="J852" t="s">
        <v>98</v>
      </c>
      <c r="K852" t="s">
        <v>99</v>
      </c>
      <c r="L852" s="2" t="s">
        <v>108</v>
      </c>
      <c r="M852" t="str">
        <f>TEXT(Table13[[#This Row],[Order Date]],"MMM")</f>
        <v>May</v>
      </c>
      <c r="N852">
        <f>YEAR(Table13[[#This Row],[Order Date]])</f>
        <v>2021</v>
      </c>
      <c r="O852" t="str">
        <f>"Q"&amp;ROUNDUP(MONTH(Table13[[#This Row],[Order Date]])/3,0)</f>
        <v>Q2</v>
      </c>
      <c r="P852" s="5">
        <f>Table13[[#This Row],[Profit]]/Table13[[#This Row],[Amount]]</f>
        <v>0.12622184445388865</v>
      </c>
      <c r="Q852" s="6">
        <f>Table13[[#This Row],[Amount]]/Table13[[#This Row],[Quantity]]</f>
        <v>427.81818181818181</v>
      </c>
    </row>
    <row r="853" spans="1:17" x14ac:dyDescent="0.3">
      <c r="A853" t="s">
        <v>992</v>
      </c>
      <c r="B853">
        <v>6584</v>
      </c>
      <c r="C853">
        <v>371</v>
      </c>
      <c r="D853">
        <v>6</v>
      </c>
      <c r="E853" t="s">
        <v>30</v>
      </c>
      <c r="F853" t="s">
        <v>57</v>
      </c>
      <c r="G853" t="s">
        <v>15</v>
      </c>
      <c r="H853" s="1">
        <v>44429</v>
      </c>
      <c r="I853" t="s">
        <v>993</v>
      </c>
      <c r="J853" t="s">
        <v>98</v>
      </c>
      <c r="K853" t="s">
        <v>117</v>
      </c>
      <c r="L853" s="2" t="s">
        <v>178</v>
      </c>
      <c r="M853" t="str">
        <f>TEXT(Table13[[#This Row],[Order Date]],"MMM")</f>
        <v>Aug</v>
      </c>
      <c r="N853">
        <f>YEAR(Table13[[#This Row],[Order Date]])</f>
        <v>2021</v>
      </c>
      <c r="O853" t="str">
        <f>"Q"&amp;ROUNDUP(MONTH(Table13[[#This Row],[Order Date]])/3,0)</f>
        <v>Q3</v>
      </c>
      <c r="P853" s="5">
        <f>Table13[[#This Row],[Profit]]/Table13[[#This Row],[Amount]]</f>
        <v>5.634872417982989E-2</v>
      </c>
      <c r="Q853" s="6">
        <f>Table13[[#This Row],[Amount]]/Table13[[#This Row],[Quantity]]</f>
        <v>1097.3333333333333</v>
      </c>
    </row>
    <row r="854" spans="1:17" x14ac:dyDescent="0.3">
      <c r="A854" t="s">
        <v>992</v>
      </c>
      <c r="B854">
        <v>6584</v>
      </c>
      <c r="C854">
        <v>371</v>
      </c>
      <c r="D854">
        <v>6</v>
      </c>
      <c r="E854" t="s">
        <v>30</v>
      </c>
      <c r="F854" t="s">
        <v>57</v>
      </c>
      <c r="G854" t="s">
        <v>15</v>
      </c>
      <c r="H854" s="1">
        <v>44332</v>
      </c>
      <c r="I854" t="s">
        <v>994</v>
      </c>
      <c r="J854" t="s">
        <v>98</v>
      </c>
      <c r="K854" t="s">
        <v>99</v>
      </c>
      <c r="L854" s="2" t="s">
        <v>108</v>
      </c>
      <c r="M854" t="str">
        <f>TEXT(Table13[[#This Row],[Order Date]],"MMM")</f>
        <v>May</v>
      </c>
      <c r="N854">
        <f>YEAR(Table13[[#This Row],[Order Date]])</f>
        <v>2021</v>
      </c>
      <c r="O854" t="str">
        <f>"Q"&amp;ROUNDUP(MONTH(Table13[[#This Row],[Order Date]])/3,0)</f>
        <v>Q2</v>
      </c>
      <c r="P854" s="5">
        <f>Table13[[#This Row],[Profit]]/Table13[[#This Row],[Amount]]</f>
        <v>5.634872417982989E-2</v>
      </c>
      <c r="Q854" s="6">
        <f>Table13[[#This Row],[Amount]]/Table13[[#This Row],[Quantity]]</f>
        <v>1097.3333333333333</v>
      </c>
    </row>
    <row r="855" spans="1:17" x14ac:dyDescent="0.3">
      <c r="A855" t="s">
        <v>995</v>
      </c>
      <c r="B855">
        <v>6389</v>
      </c>
      <c r="C855">
        <v>734</v>
      </c>
      <c r="D855">
        <v>1</v>
      </c>
      <c r="E855" t="s">
        <v>45</v>
      </c>
      <c r="F855" t="s">
        <v>60</v>
      </c>
      <c r="G855" t="s">
        <v>40</v>
      </c>
      <c r="H855" s="1">
        <v>44576</v>
      </c>
      <c r="I855" t="s">
        <v>996</v>
      </c>
      <c r="J855" t="s">
        <v>71</v>
      </c>
      <c r="K855" t="s">
        <v>72</v>
      </c>
      <c r="L855" s="2" t="s">
        <v>87</v>
      </c>
      <c r="M855" t="str">
        <f>TEXT(Table13[[#This Row],[Order Date]],"MMM")</f>
        <v>Jan</v>
      </c>
      <c r="N855">
        <f>YEAR(Table13[[#This Row],[Order Date]])</f>
        <v>2022</v>
      </c>
      <c r="O855" t="str">
        <f>"Q"&amp;ROUNDUP(MONTH(Table13[[#This Row],[Order Date]])/3,0)</f>
        <v>Q1</v>
      </c>
      <c r="P855" s="5">
        <f>Table13[[#This Row],[Profit]]/Table13[[#This Row],[Amount]]</f>
        <v>0.11488495852246047</v>
      </c>
      <c r="Q855" s="6">
        <f>Table13[[#This Row],[Amount]]/Table13[[#This Row],[Quantity]]</f>
        <v>6389</v>
      </c>
    </row>
    <row r="856" spans="1:17" x14ac:dyDescent="0.3">
      <c r="A856" t="s">
        <v>997</v>
      </c>
      <c r="B856">
        <v>9869</v>
      </c>
      <c r="C856">
        <v>4299</v>
      </c>
      <c r="D856">
        <v>12</v>
      </c>
      <c r="E856" t="s">
        <v>13</v>
      </c>
      <c r="F856" t="s">
        <v>28</v>
      </c>
      <c r="G856" t="s">
        <v>32</v>
      </c>
      <c r="H856" s="1">
        <v>45006</v>
      </c>
      <c r="I856" t="s">
        <v>998</v>
      </c>
      <c r="J856" t="s">
        <v>42</v>
      </c>
      <c r="K856" t="s">
        <v>75</v>
      </c>
      <c r="L856" s="2" t="s">
        <v>245</v>
      </c>
      <c r="M856" t="str">
        <f>TEXT(Table13[[#This Row],[Order Date]],"MMM")</f>
        <v>Mar</v>
      </c>
      <c r="N856">
        <f>YEAR(Table13[[#This Row],[Order Date]])</f>
        <v>2023</v>
      </c>
      <c r="O856" t="str">
        <f>"Q"&amp;ROUNDUP(MONTH(Table13[[#This Row],[Order Date]])/3,0)</f>
        <v>Q1</v>
      </c>
      <c r="P856" s="5">
        <f>Table13[[#This Row],[Profit]]/Table13[[#This Row],[Amount]]</f>
        <v>0.43560644442192725</v>
      </c>
      <c r="Q856" s="6">
        <f>Table13[[#This Row],[Amount]]/Table13[[#This Row],[Quantity]]</f>
        <v>822.41666666666663</v>
      </c>
    </row>
    <row r="857" spans="1:17" x14ac:dyDescent="0.3">
      <c r="A857" t="s">
        <v>997</v>
      </c>
      <c r="B857">
        <v>9869</v>
      </c>
      <c r="C857">
        <v>4299</v>
      </c>
      <c r="D857">
        <v>12</v>
      </c>
      <c r="E857" t="s">
        <v>13</v>
      </c>
      <c r="F857" t="s">
        <v>28</v>
      </c>
      <c r="G857" t="s">
        <v>32</v>
      </c>
      <c r="H857" s="1">
        <v>45288</v>
      </c>
      <c r="I857" t="s">
        <v>999</v>
      </c>
      <c r="J857" t="s">
        <v>25</v>
      </c>
      <c r="K857" t="s">
        <v>26</v>
      </c>
      <c r="L857" s="2" t="s">
        <v>102</v>
      </c>
      <c r="M857" t="str">
        <f>TEXT(Table13[[#This Row],[Order Date]],"MMM")</f>
        <v>Dec</v>
      </c>
      <c r="N857">
        <f>YEAR(Table13[[#This Row],[Order Date]])</f>
        <v>2023</v>
      </c>
      <c r="O857" t="str">
        <f>"Q"&amp;ROUNDUP(MONTH(Table13[[#This Row],[Order Date]])/3,0)</f>
        <v>Q4</v>
      </c>
      <c r="P857" s="5">
        <f>Table13[[#This Row],[Profit]]/Table13[[#This Row],[Amount]]</f>
        <v>0.43560644442192725</v>
      </c>
      <c r="Q857" s="6">
        <f>Table13[[#This Row],[Amount]]/Table13[[#This Row],[Quantity]]</f>
        <v>822.41666666666663</v>
      </c>
    </row>
    <row r="858" spans="1:17" x14ac:dyDescent="0.3">
      <c r="A858" t="s">
        <v>1000</v>
      </c>
      <c r="B858">
        <v>655</v>
      </c>
      <c r="C858">
        <v>297</v>
      </c>
      <c r="D858">
        <v>4</v>
      </c>
      <c r="E858" t="s">
        <v>30</v>
      </c>
      <c r="F858" t="s">
        <v>57</v>
      </c>
      <c r="G858" t="s">
        <v>32</v>
      </c>
      <c r="H858" s="1">
        <v>44607</v>
      </c>
      <c r="I858" t="s">
        <v>1001</v>
      </c>
      <c r="J858" t="s">
        <v>25</v>
      </c>
      <c r="K858" t="s">
        <v>26</v>
      </c>
      <c r="L858" s="2" t="s">
        <v>137</v>
      </c>
      <c r="M858" t="str">
        <f>TEXT(Table13[[#This Row],[Order Date]],"MMM")</f>
        <v>Feb</v>
      </c>
      <c r="N858">
        <f>YEAR(Table13[[#This Row],[Order Date]])</f>
        <v>2022</v>
      </c>
      <c r="O858" t="str">
        <f>"Q"&amp;ROUNDUP(MONTH(Table13[[#This Row],[Order Date]])/3,0)</f>
        <v>Q1</v>
      </c>
      <c r="P858" s="5">
        <f>Table13[[#This Row],[Profit]]/Table13[[#This Row],[Amount]]</f>
        <v>0.45343511450381679</v>
      </c>
      <c r="Q858" s="6">
        <f>Table13[[#This Row],[Amount]]/Table13[[#This Row],[Quantity]]</f>
        <v>163.75</v>
      </c>
    </row>
    <row r="859" spans="1:17" x14ac:dyDescent="0.3">
      <c r="A859" t="s">
        <v>1000</v>
      </c>
      <c r="B859">
        <v>655</v>
      </c>
      <c r="C859">
        <v>297</v>
      </c>
      <c r="D859">
        <v>4</v>
      </c>
      <c r="E859" t="s">
        <v>30</v>
      </c>
      <c r="F859" t="s">
        <v>57</v>
      </c>
      <c r="G859" t="s">
        <v>32</v>
      </c>
      <c r="H859" s="1">
        <v>45260</v>
      </c>
      <c r="I859" t="s">
        <v>1002</v>
      </c>
      <c r="J859" t="s">
        <v>17</v>
      </c>
      <c r="K859" t="s">
        <v>34</v>
      </c>
      <c r="L859" s="2" t="s">
        <v>52</v>
      </c>
      <c r="M859" t="str">
        <f>TEXT(Table13[[#This Row],[Order Date]],"MMM")</f>
        <v>Nov</v>
      </c>
      <c r="N859">
        <f>YEAR(Table13[[#This Row],[Order Date]])</f>
        <v>2023</v>
      </c>
      <c r="O859" t="str">
        <f>"Q"&amp;ROUNDUP(MONTH(Table13[[#This Row],[Order Date]])/3,0)</f>
        <v>Q4</v>
      </c>
      <c r="P859" s="5">
        <f>Table13[[#This Row],[Profit]]/Table13[[#This Row],[Amount]]</f>
        <v>0.45343511450381679</v>
      </c>
      <c r="Q859" s="6">
        <f>Table13[[#This Row],[Amount]]/Table13[[#This Row],[Quantity]]</f>
        <v>163.75</v>
      </c>
    </row>
    <row r="860" spans="1:17" x14ac:dyDescent="0.3">
      <c r="A860" t="s">
        <v>1003</v>
      </c>
      <c r="B860">
        <v>798</v>
      </c>
      <c r="C860">
        <v>308</v>
      </c>
      <c r="D860">
        <v>10</v>
      </c>
      <c r="E860" t="s">
        <v>13</v>
      </c>
      <c r="F860" t="s">
        <v>82</v>
      </c>
      <c r="G860" t="s">
        <v>32</v>
      </c>
      <c r="H860" s="1">
        <v>44938</v>
      </c>
      <c r="I860" t="s">
        <v>1004</v>
      </c>
      <c r="J860" t="s">
        <v>25</v>
      </c>
      <c r="K860" t="s">
        <v>26</v>
      </c>
      <c r="L860" s="2" t="s">
        <v>333</v>
      </c>
      <c r="M860" t="str">
        <f>TEXT(Table13[[#This Row],[Order Date]],"MMM")</f>
        <v>Jan</v>
      </c>
      <c r="N860">
        <f>YEAR(Table13[[#This Row],[Order Date]])</f>
        <v>2023</v>
      </c>
      <c r="O860" t="str">
        <f>"Q"&amp;ROUNDUP(MONTH(Table13[[#This Row],[Order Date]])/3,0)</f>
        <v>Q1</v>
      </c>
      <c r="P860" s="5">
        <f>Table13[[#This Row],[Profit]]/Table13[[#This Row],[Amount]]</f>
        <v>0.38596491228070173</v>
      </c>
      <c r="Q860" s="6">
        <f>Table13[[#This Row],[Amount]]/Table13[[#This Row],[Quantity]]</f>
        <v>79.8</v>
      </c>
    </row>
    <row r="861" spans="1:17" x14ac:dyDescent="0.3">
      <c r="A861" t="s">
        <v>1003</v>
      </c>
      <c r="B861">
        <v>798</v>
      </c>
      <c r="C861">
        <v>308</v>
      </c>
      <c r="D861">
        <v>10</v>
      </c>
      <c r="E861" t="s">
        <v>13</v>
      </c>
      <c r="F861" t="s">
        <v>82</v>
      </c>
      <c r="G861" t="s">
        <v>32</v>
      </c>
      <c r="H861" s="1">
        <v>45065</v>
      </c>
      <c r="I861" t="s">
        <v>1005</v>
      </c>
      <c r="J861" t="s">
        <v>98</v>
      </c>
      <c r="K861" t="s">
        <v>117</v>
      </c>
      <c r="L861" s="2" t="s">
        <v>127</v>
      </c>
      <c r="M861" t="str">
        <f>TEXT(Table13[[#This Row],[Order Date]],"MMM")</f>
        <v>May</v>
      </c>
      <c r="N861">
        <f>YEAR(Table13[[#This Row],[Order Date]])</f>
        <v>2023</v>
      </c>
      <c r="O861" t="str">
        <f>"Q"&amp;ROUNDUP(MONTH(Table13[[#This Row],[Order Date]])/3,0)</f>
        <v>Q2</v>
      </c>
      <c r="P861" s="5">
        <f>Table13[[#This Row],[Profit]]/Table13[[#This Row],[Amount]]</f>
        <v>0.38596491228070173</v>
      </c>
      <c r="Q861" s="6">
        <f>Table13[[#This Row],[Amount]]/Table13[[#This Row],[Quantity]]</f>
        <v>79.8</v>
      </c>
    </row>
    <row r="862" spans="1:17" x14ac:dyDescent="0.3">
      <c r="A862" t="s">
        <v>1003</v>
      </c>
      <c r="B862">
        <v>7967</v>
      </c>
      <c r="C862">
        <v>2504</v>
      </c>
      <c r="D862">
        <v>13</v>
      </c>
      <c r="E862" t="s">
        <v>13</v>
      </c>
      <c r="F862" t="s">
        <v>28</v>
      </c>
      <c r="G862" t="s">
        <v>40</v>
      </c>
      <c r="H862" s="1">
        <v>44938</v>
      </c>
      <c r="I862" t="s">
        <v>1004</v>
      </c>
      <c r="J862" t="s">
        <v>25</v>
      </c>
      <c r="K862" t="s">
        <v>26</v>
      </c>
      <c r="L862" s="2" t="s">
        <v>333</v>
      </c>
      <c r="M862" t="str">
        <f>TEXT(Table13[[#This Row],[Order Date]],"MMM")</f>
        <v>Jan</v>
      </c>
      <c r="N862">
        <f>YEAR(Table13[[#This Row],[Order Date]])</f>
        <v>2023</v>
      </c>
      <c r="O862" t="str">
        <f>"Q"&amp;ROUNDUP(MONTH(Table13[[#This Row],[Order Date]])/3,0)</f>
        <v>Q1</v>
      </c>
      <c r="P862" s="5">
        <f>Table13[[#This Row],[Profit]]/Table13[[#This Row],[Amount]]</f>
        <v>0.31429647295092256</v>
      </c>
      <c r="Q862" s="6">
        <f>Table13[[#This Row],[Amount]]/Table13[[#This Row],[Quantity]]</f>
        <v>612.84615384615381</v>
      </c>
    </row>
    <row r="863" spans="1:17" x14ac:dyDescent="0.3">
      <c r="A863" t="s">
        <v>1003</v>
      </c>
      <c r="B863">
        <v>7967</v>
      </c>
      <c r="C863">
        <v>2504</v>
      </c>
      <c r="D863">
        <v>13</v>
      </c>
      <c r="E863" t="s">
        <v>13</v>
      </c>
      <c r="F863" t="s">
        <v>28</v>
      </c>
      <c r="G863" t="s">
        <v>40</v>
      </c>
      <c r="H863" s="1">
        <v>45065</v>
      </c>
      <c r="I863" t="s">
        <v>1005</v>
      </c>
      <c r="J863" t="s">
        <v>98</v>
      </c>
      <c r="K863" t="s">
        <v>117</v>
      </c>
      <c r="L863" s="2" t="s">
        <v>127</v>
      </c>
      <c r="M863" t="str">
        <f>TEXT(Table13[[#This Row],[Order Date]],"MMM")</f>
        <v>May</v>
      </c>
      <c r="N863">
        <f>YEAR(Table13[[#This Row],[Order Date]])</f>
        <v>2023</v>
      </c>
      <c r="O863" t="str">
        <f>"Q"&amp;ROUNDUP(MONTH(Table13[[#This Row],[Order Date]])/3,0)</f>
        <v>Q2</v>
      </c>
      <c r="P863" s="5">
        <f>Table13[[#This Row],[Profit]]/Table13[[#This Row],[Amount]]</f>
        <v>0.31429647295092256</v>
      </c>
      <c r="Q863" s="6">
        <f>Table13[[#This Row],[Amount]]/Table13[[#This Row],[Quantity]]</f>
        <v>612.84615384615381</v>
      </c>
    </row>
    <row r="864" spans="1:17" x14ac:dyDescent="0.3">
      <c r="A864" t="s">
        <v>1006</v>
      </c>
      <c r="B864">
        <v>3756</v>
      </c>
      <c r="C864">
        <v>1318</v>
      </c>
      <c r="D864">
        <v>5</v>
      </c>
      <c r="E864" t="s">
        <v>45</v>
      </c>
      <c r="F864" t="s">
        <v>46</v>
      </c>
      <c r="G864" t="s">
        <v>15</v>
      </c>
      <c r="H864" s="1">
        <v>45341</v>
      </c>
      <c r="I864" t="s">
        <v>1007</v>
      </c>
      <c r="J864" t="s">
        <v>17</v>
      </c>
      <c r="K864" t="s">
        <v>18</v>
      </c>
      <c r="L864" s="2" t="s">
        <v>218</v>
      </c>
      <c r="M864" t="str">
        <f>TEXT(Table13[[#This Row],[Order Date]],"MMM")</f>
        <v>Feb</v>
      </c>
      <c r="N864">
        <f>YEAR(Table13[[#This Row],[Order Date]])</f>
        <v>2024</v>
      </c>
      <c r="O864" t="str">
        <f>"Q"&amp;ROUNDUP(MONTH(Table13[[#This Row],[Order Date]])/3,0)</f>
        <v>Q1</v>
      </c>
      <c r="P864" s="5">
        <f>Table13[[#This Row],[Profit]]/Table13[[#This Row],[Amount]]</f>
        <v>0.35090521831735888</v>
      </c>
      <c r="Q864" s="6">
        <f>Table13[[#This Row],[Amount]]/Table13[[#This Row],[Quantity]]</f>
        <v>751.2</v>
      </c>
    </row>
    <row r="865" spans="1:17" x14ac:dyDescent="0.3">
      <c r="A865" t="s">
        <v>1008</v>
      </c>
      <c r="B865">
        <v>5196</v>
      </c>
      <c r="C865">
        <v>2477</v>
      </c>
      <c r="D865">
        <v>1</v>
      </c>
      <c r="E865" t="s">
        <v>30</v>
      </c>
      <c r="F865" t="s">
        <v>57</v>
      </c>
      <c r="G865" t="s">
        <v>15</v>
      </c>
      <c r="H865" s="1">
        <v>44531</v>
      </c>
      <c r="I865" t="s">
        <v>1009</v>
      </c>
      <c r="J865" t="s">
        <v>71</v>
      </c>
      <c r="K865" t="s">
        <v>86</v>
      </c>
      <c r="L865" s="2" t="s">
        <v>90</v>
      </c>
      <c r="M865" t="str">
        <f>TEXT(Table13[[#This Row],[Order Date]],"MMM")</f>
        <v>Dec</v>
      </c>
      <c r="N865">
        <f>YEAR(Table13[[#This Row],[Order Date]])</f>
        <v>2021</v>
      </c>
      <c r="O865" t="str">
        <f>"Q"&amp;ROUNDUP(MONTH(Table13[[#This Row],[Order Date]])/3,0)</f>
        <v>Q4</v>
      </c>
      <c r="P865" s="5">
        <f>Table13[[#This Row],[Profit]]/Table13[[#This Row],[Amount]]</f>
        <v>0.47671285604311009</v>
      </c>
      <c r="Q865" s="6">
        <f>Table13[[#This Row],[Amount]]/Table13[[#This Row],[Quantity]]</f>
        <v>5196</v>
      </c>
    </row>
    <row r="866" spans="1:17" x14ac:dyDescent="0.3">
      <c r="A866" t="s">
        <v>1008</v>
      </c>
      <c r="B866">
        <v>6586</v>
      </c>
      <c r="C866">
        <v>1794</v>
      </c>
      <c r="D866">
        <v>19</v>
      </c>
      <c r="E866" t="s">
        <v>45</v>
      </c>
      <c r="F866" t="s">
        <v>109</v>
      </c>
      <c r="G866" t="s">
        <v>32</v>
      </c>
      <c r="H866" s="1">
        <v>44531</v>
      </c>
      <c r="I866" t="s">
        <v>1009</v>
      </c>
      <c r="J866" t="s">
        <v>71</v>
      </c>
      <c r="K866" t="s">
        <v>86</v>
      </c>
      <c r="L866" s="2" t="s">
        <v>90</v>
      </c>
      <c r="M866" t="str">
        <f>TEXT(Table13[[#This Row],[Order Date]],"MMM")</f>
        <v>Dec</v>
      </c>
      <c r="N866">
        <f>YEAR(Table13[[#This Row],[Order Date]])</f>
        <v>2021</v>
      </c>
      <c r="O866" t="str">
        <f>"Q"&amp;ROUNDUP(MONTH(Table13[[#This Row],[Order Date]])/3,0)</f>
        <v>Q4</v>
      </c>
      <c r="P866" s="5">
        <f>Table13[[#This Row],[Profit]]/Table13[[#This Row],[Amount]]</f>
        <v>0.27239599149711508</v>
      </c>
      <c r="Q866" s="6">
        <f>Table13[[#This Row],[Amount]]/Table13[[#This Row],[Quantity]]</f>
        <v>346.63157894736844</v>
      </c>
    </row>
    <row r="867" spans="1:17" x14ac:dyDescent="0.3">
      <c r="A867" t="s">
        <v>1010</v>
      </c>
      <c r="B867">
        <v>6673</v>
      </c>
      <c r="C867">
        <v>950</v>
      </c>
      <c r="D867">
        <v>19</v>
      </c>
      <c r="E867" t="s">
        <v>30</v>
      </c>
      <c r="F867" t="s">
        <v>57</v>
      </c>
      <c r="G867" t="s">
        <v>40</v>
      </c>
      <c r="H867" s="1">
        <v>45645</v>
      </c>
      <c r="I867" t="s">
        <v>1011</v>
      </c>
      <c r="J867" t="s">
        <v>25</v>
      </c>
      <c r="K867" t="s">
        <v>26</v>
      </c>
      <c r="L867" s="2" t="s">
        <v>23</v>
      </c>
      <c r="M867" t="str">
        <f>TEXT(Table13[[#This Row],[Order Date]],"MMM")</f>
        <v>Dec</v>
      </c>
      <c r="N867">
        <f>YEAR(Table13[[#This Row],[Order Date]])</f>
        <v>2024</v>
      </c>
      <c r="O867" t="str">
        <f>"Q"&amp;ROUNDUP(MONTH(Table13[[#This Row],[Order Date]])/3,0)</f>
        <v>Q4</v>
      </c>
      <c r="P867" s="5">
        <f>Table13[[#This Row],[Profit]]/Table13[[#This Row],[Amount]]</f>
        <v>0.14236475348419003</v>
      </c>
      <c r="Q867" s="6">
        <f>Table13[[#This Row],[Amount]]/Table13[[#This Row],[Quantity]]</f>
        <v>351.21052631578948</v>
      </c>
    </row>
    <row r="868" spans="1:17" x14ac:dyDescent="0.3">
      <c r="A868" t="s">
        <v>1012</v>
      </c>
      <c r="B868">
        <v>714</v>
      </c>
      <c r="C868">
        <v>232</v>
      </c>
      <c r="D868">
        <v>14</v>
      </c>
      <c r="E868" t="s">
        <v>45</v>
      </c>
      <c r="F868" t="s">
        <v>46</v>
      </c>
      <c r="G868" t="s">
        <v>15</v>
      </c>
      <c r="H868" s="1">
        <v>44944</v>
      </c>
      <c r="I868" t="s">
        <v>1013</v>
      </c>
      <c r="J868" t="s">
        <v>98</v>
      </c>
      <c r="K868" t="s">
        <v>99</v>
      </c>
      <c r="L868" s="2" t="s">
        <v>333</v>
      </c>
      <c r="M868" t="str">
        <f>TEXT(Table13[[#This Row],[Order Date]],"MMM")</f>
        <v>Jan</v>
      </c>
      <c r="N868">
        <f>YEAR(Table13[[#This Row],[Order Date]])</f>
        <v>2023</v>
      </c>
      <c r="O868" t="str">
        <f>"Q"&amp;ROUNDUP(MONTH(Table13[[#This Row],[Order Date]])/3,0)</f>
        <v>Q1</v>
      </c>
      <c r="P868" s="5">
        <f>Table13[[#This Row],[Profit]]/Table13[[#This Row],[Amount]]</f>
        <v>0.32492997198879553</v>
      </c>
      <c r="Q868" s="6">
        <f>Table13[[#This Row],[Amount]]/Table13[[#This Row],[Quantity]]</f>
        <v>51</v>
      </c>
    </row>
    <row r="869" spans="1:17" x14ac:dyDescent="0.3">
      <c r="A869" t="s">
        <v>1012</v>
      </c>
      <c r="B869">
        <v>714</v>
      </c>
      <c r="C869">
        <v>232</v>
      </c>
      <c r="D869">
        <v>14</v>
      </c>
      <c r="E869" t="s">
        <v>45</v>
      </c>
      <c r="F869" t="s">
        <v>46</v>
      </c>
      <c r="G869" t="s">
        <v>15</v>
      </c>
      <c r="H869" s="1">
        <v>44188</v>
      </c>
      <c r="I869" t="s">
        <v>1014</v>
      </c>
      <c r="J869" t="s">
        <v>71</v>
      </c>
      <c r="K869" t="s">
        <v>86</v>
      </c>
      <c r="L869" s="2" t="s">
        <v>287</v>
      </c>
      <c r="M869" t="str">
        <f>TEXT(Table13[[#This Row],[Order Date]],"MMM")</f>
        <v>Dec</v>
      </c>
      <c r="N869">
        <f>YEAR(Table13[[#This Row],[Order Date]])</f>
        <v>2020</v>
      </c>
      <c r="O869" t="str">
        <f>"Q"&amp;ROUNDUP(MONTH(Table13[[#This Row],[Order Date]])/3,0)</f>
        <v>Q4</v>
      </c>
      <c r="P869" s="5">
        <f>Table13[[#This Row],[Profit]]/Table13[[#This Row],[Amount]]</f>
        <v>0.32492997198879553</v>
      </c>
      <c r="Q869" s="6">
        <f>Table13[[#This Row],[Amount]]/Table13[[#This Row],[Quantity]]</f>
        <v>51</v>
      </c>
    </row>
    <row r="870" spans="1:17" x14ac:dyDescent="0.3">
      <c r="A870" t="s">
        <v>1015</v>
      </c>
      <c r="B870">
        <v>1083</v>
      </c>
      <c r="C870">
        <v>501</v>
      </c>
      <c r="D870">
        <v>6</v>
      </c>
      <c r="E870" t="s">
        <v>30</v>
      </c>
      <c r="F870" t="s">
        <v>31</v>
      </c>
      <c r="G870" t="s">
        <v>65</v>
      </c>
      <c r="H870" s="1">
        <v>44255</v>
      </c>
      <c r="I870" t="s">
        <v>1016</v>
      </c>
      <c r="J870" t="s">
        <v>71</v>
      </c>
      <c r="K870" t="s">
        <v>86</v>
      </c>
      <c r="L870" s="2" t="s">
        <v>292</v>
      </c>
      <c r="M870" t="str">
        <f>TEXT(Table13[[#This Row],[Order Date]],"MMM")</f>
        <v>Feb</v>
      </c>
      <c r="N870">
        <f>YEAR(Table13[[#This Row],[Order Date]])</f>
        <v>2021</v>
      </c>
      <c r="O870" t="str">
        <f>"Q"&amp;ROUNDUP(MONTH(Table13[[#This Row],[Order Date]])/3,0)</f>
        <v>Q1</v>
      </c>
      <c r="P870" s="5">
        <f>Table13[[#This Row],[Profit]]/Table13[[#This Row],[Amount]]</f>
        <v>0.46260387811634351</v>
      </c>
      <c r="Q870" s="6">
        <f>Table13[[#This Row],[Amount]]/Table13[[#This Row],[Quantity]]</f>
        <v>180.5</v>
      </c>
    </row>
    <row r="871" spans="1:17" x14ac:dyDescent="0.3">
      <c r="A871" t="s">
        <v>1017</v>
      </c>
      <c r="B871">
        <v>2401</v>
      </c>
      <c r="C871">
        <v>1163</v>
      </c>
      <c r="D871">
        <v>10</v>
      </c>
      <c r="E871" t="s">
        <v>45</v>
      </c>
      <c r="F871" t="s">
        <v>109</v>
      </c>
      <c r="G871" t="s">
        <v>15</v>
      </c>
      <c r="H871" s="1">
        <v>45050</v>
      </c>
      <c r="I871" t="s">
        <v>1018</v>
      </c>
      <c r="J871" t="s">
        <v>98</v>
      </c>
      <c r="K871" t="s">
        <v>117</v>
      </c>
      <c r="L871" s="2" t="s">
        <v>127</v>
      </c>
      <c r="M871" t="str">
        <f>TEXT(Table13[[#This Row],[Order Date]],"MMM")</f>
        <v>May</v>
      </c>
      <c r="N871">
        <f>YEAR(Table13[[#This Row],[Order Date]])</f>
        <v>2023</v>
      </c>
      <c r="O871" t="str">
        <f>"Q"&amp;ROUNDUP(MONTH(Table13[[#This Row],[Order Date]])/3,0)</f>
        <v>Q2</v>
      </c>
      <c r="P871" s="5">
        <f>Table13[[#This Row],[Profit]]/Table13[[#This Row],[Amount]]</f>
        <v>0.48438150770512284</v>
      </c>
      <c r="Q871" s="6">
        <f>Table13[[#This Row],[Amount]]/Table13[[#This Row],[Quantity]]</f>
        <v>240.1</v>
      </c>
    </row>
    <row r="872" spans="1:17" x14ac:dyDescent="0.3">
      <c r="A872" t="s">
        <v>1017</v>
      </c>
      <c r="B872">
        <v>2401</v>
      </c>
      <c r="C872">
        <v>1163</v>
      </c>
      <c r="D872">
        <v>10</v>
      </c>
      <c r="E872" t="s">
        <v>45</v>
      </c>
      <c r="F872" t="s">
        <v>109</v>
      </c>
      <c r="G872" t="s">
        <v>15</v>
      </c>
      <c r="H872" s="1">
        <v>43943</v>
      </c>
      <c r="I872" t="s">
        <v>1019</v>
      </c>
      <c r="J872" t="s">
        <v>42</v>
      </c>
      <c r="K872" t="s">
        <v>43</v>
      </c>
      <c r="L872" s="2" t="s">
        <v>162</v>
      </c>
      <c r="M872" t="str">
        <f>TEXT(Table13[[#This Row],[Order Date]],"MMM")</f>
        <v>Apr</v>
      </c>
      <c r="N872">
        <f>YEAR(Table13[[#This Row],[Order Date]])</f>
        <v>2020</v>
      </c>
      <c r="O872" t="str">
        <f>"Q"&amp;ROUNDUP(MONTH(Table13[[#This Row],[Order Date]])/3,0)</f>
        <v>Q2</v>
      </c>
      <c r="P872" s="5">
        <f>Table13[[#This Row],[Profit]]/Table13[[#This Row],[Amount]]</f>
        <v>0.48438150770512284</v>
      </c>
      <c r="Q872" s="6">
        <f>Table13[[#This Row],[Amount]]/Table13[[#This Row],[Quantity]]</f>
        <v>240.1</v>
      </c>
    </row>
    <row r="873" spans="1:17" x14ac:dyDescent="0.3">
      <c r="A873" t="s">
        <v>1017</v>
      </c>
      <c r="B873">
        <v>2401</v>
      </c>
      <c r="C873">
        <v>1163</v>
      </c>
      <c r="D873">
        <v>10</v>
      </c>
      <c r="E873" t="s">
        <v>45</v>
      </c>
      <c r="F873" t="s">
        <v>109</v>
      </c>
      <c r="G873" t="s">
        <v>15</v>
      </c>
      <c r="H873" s="1">
        <v>44421</v>
      </c>
      <c r="I873" t="s">
        <v>1020</v>
      </c>
      <c r="J873" t="s">
        <v>25</v>
      </c>
      <c r="K873" t="s">
        <v>68</v>
      </c>
      <c r="L873" s="2" t="s">
        <v>178</v>
      </c>
      <c r="M873" t="str">
        <f>TEXT(Table13[[#This Row],[Order Date]],"MMM")</f>
        <v>Aug</v>
      </c>
      <c r="N873">
        <f>YEAR(Table13[[#This Row],[Order Date]])</f>
        <v>2021</v>
      </c>
      <c r="O873" t="str">
        <f>"Q"&amp;ROUNDUP(MONTH(Table13[[#This Row],[Order Date]])/3,0)</f>
        <v>Q3</v>
      </c>
      <c r="P873" s="5">
        <f>Table13[[#This Row],[Profit]]/Table13[[#This Row],[Amount]]</f>
        <v>0.48438150770512284</v>
      </c>
      <c r="Q873" s="6">
        <f>Table13[[#This Row],[Amount]]/Table13[[#This Row],[Quantity]]</f>
        <v>240.1</v>
      </c>
    </row>
    <row r="874" spans="1:17" x14ac:dyDescent="0.3">
      <c r="A874" t="s">
        <v>1017</v>
      </c>
      <c r="B874">
        <v>1045</v>
      </c>
      <c r="C874">
        <v>267</v>
      </c>
      <c r="D874">
        <v>11</v>
      </c>
      <c r="E874" t="s">
        <v>13</v>
      </c>
      <c r="F874" t="s">
        <v>82</v>
      </c>
      <c r="G874" t="s">
        <v>32</v>
      </c>
      <c r="H874" s="1">
        <v>45050</v>
      </c>
      <c r="I874" t="s">
        <v>1018</v>
      </c>
      <c r="J874" t="s">
        <v>98</v>
      </c>
      <c r="K874" t="s">
        <v>117</v>
      </c>
      <c r="L874" s="2" t="s">
        <v>127</v>
      </c>
      <c r="M874" t="str">
        <f>TEXT(Table13[[#This Row],[Order Date]],"MMM")</f>
        <v>May</v>
      </c>
      <c r="N874">
        <f>YEAR(Table13[[#This Row],[Order Date]])</f>
        <v>2023</v>
      </c>
      <c r="O874" t="str">
        <f>"Q"&amp;ROUNDUP(MONTH(Table13[[#This Row],[Order Date]])/3,0)</f>
        <v>Q2</v>
      </c>
      <c r="P874" s="5">
        <f>Table13[[#This Row],[Profit]]/Table13[[#This Row],[Amount]]</f>
        <v>0.25550239234449762</v>
      </c>
      <c r="Q874" s="6">
        <f>Table13[[#This Row],[Amount]]/Table13[[#This Row],[Quantity]]</f>
        <v>95</v>
      </c>
    </row>
    <row r="875" spans="1:17" x14ac:dyDescent="0.3">
      <c r="A875" t="s">
        <v>1017</v>
      </c>
      <c r="B875">
        <v>1045</v>
      </c>
      <c r="C875">
        <v>267</v>
      </c>
      <c r="D875">
        <v>11</v>
      </c>
      <c r="E875" t="s">
        <v>13</v>
      </c>
      <c r="F875" t="s">
        <v>82</v>
      </c>
      <c r="G875" t="s">
        <v>32</v>
      </c>
      <c r="H875" s="1">
        <v>43943</v>
      </c>
      <c r="I875" t="s">
        <v>1019</v>
      </c>
      <c r="J875" t="s">
        <v>42</v>
      </c>
      <c r="K875" t="s">
        <v>43</v>
      </c>
      <c r="L875" s="2" t="s">
        <v>162</v>
      </c>
      <c r="M875" t="str">
        <f>TEXT(Table13[[#This Row],[Order Date]],"MMM")</f>
        <v>Apr</v>
      </c>
      <c r="N875">
        <f>YEAR(Table13[[#This Row],[Order Date]])</f>
        <v>2020</v>
      </c>
      <c r="O875" t="str">
        <f>"Q"&amp;ROUNDUP(MONTH(Table13[[#This Row],[Order Date]])/3,0)</f>
        <v>Q2</v>
      </c>
      <c r="P875" s="5">
        <f>Table13[[#This Row],[Profit]]/Table13[[#This Row],[Amount]]</f>
        <v>0.25550239234449762</v>
      </c>
      <c r="Q875" s="6">
        <f>Table13[[#This Row],[Amount]]/Table13[[#This Row],[Quantity]]</f>
        <v>95</v>
      </c>
    </row>
    <row r="876" spans="1:17" x14ac:dyDescent="0.3">
      <c r="A876" t="s">
        <v>1017</v>
      </c>
      <c r="B876">
        <v>1045</v>
      </c>
      <c r="C876">
        <v>267</v>
      </c>
      <c r="D876">
        <v>11</v>
      </c>
      <c r="E876" t="s">
        <v>13</v>
      </c>
      <c r="F876" t="s">
        <v>82</v>
      </c>
      <c r="G876" t="s">
        <v>32</v>
      </c>
      <c r="H876" s="1">
        <v>44421</v>
      </c>
      <c r="I876" t="s">
        <v>1020</v>
      </c>
      <c r="J876" t="s">
        <v>25</v>
      </c>
      <c r="K876" t="s">
        <v>68</v>
      </c>
      <c r="L876" s="2" t="s">
        <v>178</v>
      </c>
      <c r="M876" t="str">
        <f>TEXT(Table13[[#This Row],[Order Date]],"MMM")</f>
        <v>Aug</v>
      </c>
      <c r="N876">
        <f>YEAR(Table13[[#This Row],[Order Date]])</f>
        <v>2021</v>
      </c>
      <c r="O876" t="str">
        <f>"Q"&amp;ROUNDUP(MONTH(Table13[[#This Row],[Order Date]])/3,0)</f>
        <v>Q3</v>
      </c>
      <c r="P876" s="5">
        <f>Table13[[#This Row],[Profit]]/Table13[[#This Row],[Amount]]</f>
        <v>0.25550239234449762</v>
      </c>
      <c r="Q876" s="6">
        <f>Table13[[#This Row],[Amount]]/Table13[[#This Row],[Quantity]]</f>
        <v>95</v>
      </c>
    </row>
    <row r="877" spans="1:17" x14ac:dyDescent="0.3">
      <c r="A877" t="s">
        <v>1021</v>
      </c>
      <c r="B877">
        <v>7806</v>
      </c>
      <c r="C877">
        <v>1127</v>
      </c>
      <c r="D877">
        <v>1</v>
      </c>
      <c r="E877" t="s">
        <v>30</v>
      </c>
      <c r="F877" t="s">
        <v>57</v>
      </c>
      <c r="G877" t="s">
        <v>47</v>
      </c>
      <c r="H877" s="1">
        <v>45127</v>
      </c>
      <c r="I877" t="s">
        <v>1022</v>
      </c>
      <c r="J877" t="s">
        <v>71</v>
      </c>
      <c r="K877" t="s">
        <v>72</v>
      </c>
      <c r="L877" s="2" t="s">
        <v>105</v>
      </c>
      <c r="M877" t="str">
        <f>TEXT(Table13[[#This Row],[Order Date]],"MMM")</f>
        <v>Jul</v>
      </c>
      <c r="N877">
        <f>YEAR(Table13[[#This Row],[Order Date]])</f>
        <v>2023</v>
      </c>
      <c r="O877" t="str">
        <f>"Q"&amp;ROUNDUP(MONTH(Table13[[#This Row],[Order Date]])/3,0)</f>
        <v>Q3</v>
      </c>
      <c r="P877" s="5">
        <f>Table13[[#This Row],[Profit]]/Table13[[#This Row],[Amount]]</f>
        <v>0.14437612093261593</v>
      </c>
      <c r="Q877" s="6">
        <f>Table13[[#This Row],[Amount]]/Table13[[#This Row],[Quantity]]</f>
        <v>7806</v>
      </c>
    </row>
    <row r="878" spans="1:17" x14ac:dyDescent="0.3">
      <c r="A878" t="s">
        <v>1023</v>
      </c>
      <c r="B878">
        <v>5263</v>
      </c>
      <c r="C878">
        <v>1743</v>
      </c>
      <c r="D878">
        <v>19</v>
      </c>
      <c r="E878" t="s">
        <v>45</v>
      </c>
      <c r="F878" t="s">
        <v>60</v>
      </c>
      <c r="G878" t="s">
        <v>47</v>
      </c>
      <c r="H878" s="1">
        <v>44801</v>
      </c>
      <c r="I878" t="s">
        <v>1024</v>
      </c>
      <c r="J878" t="s">
        <v>17</v>
      </c>
      <c r="K878" t="s">
        <v>18</v>
      </c>
      <c r="L878" s="2" t="s">
        <v>209</v>
      </c>
      <c r="M878" t="str">
        <f>TEXT(Table13[[#This Row],[Order Date]],"MMM")</f>
        <v>Aug</v>
      </c>
      <c r="N878">
        <f>YEAR(Table13[[#This Row],[Order Date]])</f>
        <v>2022</v>
      </c>
      <c r="O878" t="str">
        <f>"Q"&amp;ROUNDUP(MONTH(Table13[[#This Row],[Order Date]])/3,0)</f>
        <v>Q3</v>
      </c>
      <c r="P878" s="5">
        <f>Table13[[#This Row],[Profit]]/Table13[[#This Row],[Amount]]</f>
        <v>0.33117993539806195</v>
      </c>
      <c r="Q878" s="6">
        <f>Table13[[#This Row],[Amount]]/Table13[[#This Row],[Quantity]]</f>
        <v>277</v>
      </c>
    </row>
    <row r="879" spans="1:17" x14ac:dyDescent="0.3">
      <c r="A879" t="s">
        <v>1025</v>
      </c>
      <c r="B879">
        <v>6147</v>
      </c>
      <c r="C879">
        <v>2526</v>
      </c>
      <c r="D879">
        <v>6</v>
      </c>
      <c r="E879" t="s">
        <v>30</v>
      </c>
      <c r="F879" t="s">
        <v>31</v>
      </c>
      <c r="G879" t="s">
        <v>32</v>
      </c>
      <c r="H879" s="1">
        <v>44999</v>
      </c>
      <c r="I879" t="s">
        <v>1026</v>
      </c>
      <c r="J879" t="s">
        <v>71</v>
      </c>
      <c r="K879" t="s">
        <v>72</v>
      </c>
      <c r="L879" s="2" t="s">
        <v>245</v>
      </c>
      <c r="M879" t="str">
        <f>TEXT(Table13[[#This Row],[Order Date]],"MMM")</f>
        <v>Mar</v>
      </c>
      <c r="N879">
        <f>YEAR(Table13[[#This Row],[Order Date]])</f>
        <v>2023</v>
      </c>
      <c r="O879" t="str">
        <f>"Q"&amp;ROUNDUP(MONTH(Table13[[#This Row],[Order Date]])/3,0)</f>
        <v>Q1</v>
      </c>
      <c r="P879" s="5">
        <f>Table13[[#This Row],[Profit]]/Table13[[#This Row],[Amount]]</f>
        <v>0.41093216203025867</v>
      </c>
      <c r="Q879" s="6">
        <f>Table13[[#This Row],[Amount]]/Table13[[#This Row],[Quantity]]</f>
        <v>1024.5</v>
      </c>
    </row>
    <row r="880" spans="1:17" x14ac:dyDescent="0.3">
      <c r="A880" t="s">
        <v>1027</v>
      </c>
      <c r="B880">
        <v>7484</v>
      </c>
      <c r="C880">
        <v>2871</v>
      </c>
      <c r="D880">
        <v>15</v>
      </c>
      <c r="E880" t="s">
        <v>13</v>
      </c>
      <c r="F880" t="s">
        <v>82</v>
      </c>
      <c r="G880" t="s">
        <v>15</v>
      </c>
      <c r="H880" s="1">
        <v>45237</v>
      </c>
      <c r="I880" t="s">
        <v>1028</v>
      </c>
      <c r="J880" t="s">
        <v>17</v>
      </c>
      <c r="K880" t="s">
        <v>34</v>
      </c>
      <c r="L880" s="2" t="s">
        <v>52</v>
      </c>
      <c r="M880" t="str">
        <f>TEXT(Table13[[#This Row],[Order Date]],"MMM")</f>
        <v>Nov</v>
      </c>
      <c r="N880">
        <f>YEAR(Table13[[#This Row],[Order Date]])</f>
        <v>2023</v>
      </c>
      <c r="O880" t="str">
        <f>"Q"&amp;ROUNDUP(MONTH(Table13[[#This Row],[Order Date]])/3,0)</f>
        <v>Q4</v>
      </c>
      <c r="P880" s="5">
        <f>Table13[[#This Row],[Profit]]/Table13[[#This Row],[Amount]]</f>
        <v>0.38361838588989844</v>
      </c>
      <c r="Q880" s="6">
        <f>Table13[[#This Row],[Amount]]/Table13[[#This Row],[Quantity]]</f>
        <v>498.93333333333334</v>
      </c>
    </row>
    <row r="881" spans="1:17" x14ac:dyDescent="0.3">
      <c r="A881" t="s">
        <v>1027</v>
      </c>
      <c r="B881">
        <v>7484</v>
      </c>
      <c r="C881">
        <v>2871</v>
      </c>
      <c r="D881">
        <v>15</v>
      </c>
      <c r="E881" t="s">
        <v>13</v>
      </c>
      <c r="F881" t="s">
        <v>82</v>
      </c>
      <c r="G881" t="s">
        <v>15</v>
      </c>
      <c r="H881" s="1">
        <v>45398</v>
      </c>
      <c r="I881" t="s">
        <v>1029</v>
      </c>
      <c r="J881" t="s">
        <v>21</v>
      </c>
      <c r="K881" t="s">
        <v>22</v>
      </c>
      <c r="L881" s="2" t="s">
        <v>235</v>
      </c>
      <c r="M881" t="str">
        <f>TEXT(Table13[[#This Row],[Order Date]],"MMM")</f>
        <v>Apr</v>
      </c>
      <c r="N881">
        <f>YEAR(Table13[[#This Row],[Order Date]])</f>
        <v>2024</v>
      </c>
      <c r="O881" t="str">
        <f>"Q"&amp;ROUNDUP(MONTH(Table13[[#This Row],[Order Date]])/3,0)</f>
        <v>Q2</v>
      </c>
      <c r="P881" s="5">
        <f>Table13[[#This Row],[Profit]]/Table13[[#This Row],[Amount]]</f>
        <v>0.38361838588989844</v>
      </c>
      <c r="Q881" s="6">
        <f>Table13[[#This Row],[Amount]]/Table13[[#This Row],[Quantity]]</f>
        <v>498.93333333333334</v>
      </c>
    </row>
    <row r="882" spans="1:17" x14ac:dyDescent="0.3">
      <c r="A882" t="s">
        <v>1027</v>
      </c>
      <c r="B882">
        <v>7700</v>
      </c>
      <c r="C882">
        <v>2712</v>
      </c>
      <c r="D882">
        <v>1</v>
      </c>
      <c r="E882" t="s">
        <v>45</v>
      </c>
      <c r="F882" t="s">
        <v>60</v>
      </c>
      <c r="G882" t="s">
        <v>47</v>
      </c>
      <c r="H882" s="1">
        <v>45237</v>
      </c>
      <c r="I882" t="s">
        <v>1028</v>
      </c>
      <c r="J882" t="s">
        <v>17</v>
      </c>
      <c r="K882" t="s">
        <v>34</v>
      </c>
      <c r="L882" s="2" t="s">
        <v>52</v>
      </c>
      <c r="M882" t="str">
        <f>TEXT(Table13[[#This Row],[Order Date]],"MMM")</f>
        <v>Nov</v>
      </c>
      <c r="N882">
        <f>YEAR(Table13[[#This Row],[Order Date]])</f>
        <v>2023</v>
      </c>
      <c r="O882" t="str">
        <f>"Q"&amp;ROUNDUP(MONTH(Table13[[#This Row],[Order Date]])/3,0)</f>
        <v>Q4</v>
      </c>
      <c r="P882" s="5">
        <f>Table13[[#This Row],[Profit]]/Table13[[#This Row],[Amount]]</f>
        <v>0.35220779220779219</v>
      </c>
      <c r="Q882" s="6">
        <f>Table13[[#This Row],[Amount]]/Table13[[#This Row],[Quantity]]</f>
        <v>7700</v>
      </c>
    </row>
    <row r="883" spans="1:17" x14ac:dyDescent="0.3">
      <c r="A883" t="s">
        <v>1027</v>
      </c>
      <c r="B883">
        <v>7700</v>
      </c>
      <c r="C883">
        <v>2712</v>
      </c>
      <c r="D883">
        <v>1</v>
      </c>
      <c r="E883" t="s">
        <v>45</v>
      </c>
      <c r="F883" t="s">
        <v>60</v>
      </c>
      <c r="G883" t="s">
        <v>47</v>
      </c>
      <c r="H883" s="1">
        <v>45398</v>
      </c>
      <c r="I883" t="s">
        <v>1029</v>
      </c>
      <c r="J883" t="s">
        <v>21</v>
      </c>
      <c r="K883" t="s">
        <v>22</v>
      </c>
      <c r="L883" s="2" t="s">
        <v>235</v>
      </c>
      <c r="M883" t="str">
        <f>TEXT(Table13[[#This Row],[Order Date]],"MMM")</f>
        <v>Apr</v>
      </c>
      <c r="N883">
        <f>YEAR(Table13[[#This Row],[Order Date]])</f>
        <v>2024</v>
      </c>
      <c r="O883" t="str">
        <f>"Q"&amp;ROUNDUP(MONTH(Table13[[#This Row],[Order Date]])/3,0)</f>
        <v>Q2</v>
      </c>
      <c r="P883" s="5">
        <f>Table13[[#This Row],[Profit]]/Table13[[#This Row],[Amount]]</f>
        <v>0.35220779220779219</v>
      </c>
      <c r="Q883" s="6">
        <f>Table13[[#This Row],[Amount]]/Table13[[#This Row],[Quantity]]</f>
        <v>7700</v>
      </c>
    </row>
    <row r="884" spans="1:17" x14ac:dyDescent="0.3">
      <c r="A884" t="s">
        <v>1030</v>
      </c>
      <c r="B884">
        <v>8537</v>
      </c>
      <c r="C884">
        <v>3586</v>
      </c>
      <c r="D884">
        <v>13</v>
      </c>
      <c r="E884" t="s">
        <v>30</v>
      </c>
      <c r="F884" t="s">
        <v>57</v>
      </c>
      <c r="G884" t="s">
        <v>15</v>
      </c>
      <c r="H884" s="1">
        <v>44820</v>
      </c>
      <c r="I884" t="s">
        <v>1031</v>
      </c>
      <c r="J884" t="s">
        <v>25</v>
      </c>
      <c r="K884" t="s">
        <v>68</v>
      </c>
      <c r="L884" s="2" t="s">
        <v>131</v>
      </c>
      <c r="M884" t="str">
        <f>TEXT(Table13[[#This Row],[Order Date]],"MMM")</f>
        <v>Sep</v>
      </c>
      <c r="N884">
        <f>YEAR(Table13[[#This Row],[Order Date]])</f>
        <v>2022</v>
      </c>
      <c r="O884" t="str">
        <f>"Q"&amp;ROUNDUP(MONTH(Table13[[#This Row],[Order Date]])/3,0)</f>
        <v>Q3</v>
      </c>
      <c r="P884" s="5">
        <f>Table13[[#This Row],[Profit]]/Table13[[#This Row],[Amount]]</f>
        <v>0.42005388309710673</v>
      </c>
      <c r="Q884" s="6">
        <f>Table13[[#This Row],[Amount]]/Table13[[#This Row],[Quantity]]</f>
        <v>656.69230769230774</v>
      </c>
    </row>
    <row r="885" spans="1:17" x14ac:dyDescent="0.3">
      <c r="A885" t="s">
        <v>1032</v>
      </c>
      <c r="B885">
        <v>8858</v>
      </c>
      <c r="C885">
        <v>3394</v>
      </c>
      <c r="D885">
        <v>6</v>
      </c>
      <c r="E885" t="s">
        <v>45</v>
      </c>
      <c r="F885" t="s">
        <v>49</v>
      </c>
      <c r="G885" t="s">
        <v>65</v>
      </c>
      <c r="H885" s="1">
        <v>45596</v>
      </c>
      <c r="I885" t="s">
        <v>1033</v>
      </c>
      <c r="J885" t="s">
        <v>42</v>
      </c>
      <c r="K885" t="s">
        <v>75</v>
      </c>
      <c r="L885" s="2" t="s">
        <v>360</v>
      </c>
      <c r="M885" t="str">
        <f>TEXT(Table13[[#This Row],[Order Date]],"MMM")</f>
        <v>Oct</v>
      </c>
      <c r="N885">
        <f>YEAR(Table13[[#This Row],[Order Date]])</f>
        <v>2024</v>
      </c>
      <c r="O885" t="str">
        <f>"Q"&amp;ROUNDUP(MONTH(Table13[[#This Row],[Order Date]])/3,0)</f>
        <v>Q4</v>
      </c>
      <c r="P885" s="5">
        <f>Table13[[#This Row],[Profit]]/Table13[[#This Row],[Amount]]</f>
        <v>0.38315646872883269</v>
      </c>
      <c r="Q885" s="6">
        <f>Table13[[#This Row],[Amount]]/Table13[[#This Row],[Quantity]]</f>
        <v>1476.3333333333333</v>
      </c>
    </row>
    <row r="886" spans="1:17" x14ac:dyDescent="0.3">
      <c r="A886" t="s">
        <v>1034</v>
      </c>
      <c r="B886">
        <v>5313</v>
      </c>
      <c r="C886">
        <v>2037</v>
      </c>
      <c r="D886">
        <v>7</v>
      </c>
      <c r="E886" t="s">
        <v>13</v>
      </c>
      <c r="F886" t="s">
        <v>28</v>
      </c>
      <c r="G886" t="s">
        <v>32</v>
      </c>
      <c r="H886" s="1">
        <v>45621</v>
      </c>
      <c r="I886" t="s">
        <v>1035</v>
      </c>
      <c r="J886" t="s">
        <v>42</v>
      </c>
      <c r="K886" t="s">
        <v>92</v>
      </c>
      <c r="L886" s="2" t="s">
        <v>255</v>
      </c>
      <c r="M886" t="str">
        <f>TEXT(Table13[[#This Row],[Order Date]],"MMM")</f>
        <v>Nov</v>
      </c>
      <c r="N886">
        <f>YEAR(Table13[[#This Row],[Order Date]])</f>
        <v>2024</v>
      </c>
      <c r="O886" t="str">
        <f>"Q"&amp;ROUNDUP(MONTH(Table13[[#This Row],[Order Date]])/3,0)</f>
        <v>Q4</v>
      </c>
      <c r="P886" s="5">
        <f>Table13[[#This Row],[Profit]]/Table13[[#This Row],[Amount]]</f>
        <v>0.38339920948616601</v>
      </c>
      <c r="Q886" s="6">
        <f>Table13[[#This Row],[Amount]]/Table13[[#This Row],[Quantity]]</f>
        <v>759</v>
      </c>
    </row>
    <row r="887" spans="1:17" x14ac:dyDescent="0.3">
      <c r="A887" t="s">
        <v>1034</v>
      </c>
      <c r="B887">
        <v>5313</v>
      </c>
      <c r="C887">
        <v>2037</v>
      </c>
      <c r="D887">
        <v>7</v>
      </c>
      <c r="E887" t="s">
        <v>13</v>
      </c>
      <c r="F887" t="s">
        <v>28</v>
      </c>
      <c r="G887" t="s">
        <v>32</v>
      </c>
      <c r="H887" s="1">
        <v>44498</v>
      </c>
      <c r="I887" t="s">
        <v>1036</v>
      </c>
      <c r="J887" t="s">
        <v>71</v>
      </c>
      <c r="K887" t="s">
        <v>138</v>
      </c>
      <c r="L887" s="2" t="s">
        <v>37</v>
      </c>
      <c r="M887" t="str">
        <f>TEXT(Table13[[#This Row],[Order Date]],"MMM")</f>
        <v>Oct</v>
      </c>
      <c r="N887">
        <f>YEAR(Table13[[#This Row],[Order Date]])</f>
        <v>2021</v>
      </c>
      <c r="O887" t="str">
        <f>"Q"&amp;ROUNDUP(MONTH(Table13[[#This Row],[Order Date]])/3,0)</f>
        <v>Q4</v>
      </c>
      <c r="P887" s="5">
        <f>Table13[[#This Row],[Profit]]/Table13[[#This Row],[Amount]]</f>
        <v>0.38339920948616601</v>
      </c>
      <c r="Q887" s="6">
        <f>Table13[[#This Row],[Amount]]/Table13[[#This Row],[Quantity]]</f>
        <v>759</v>
      </c>
    </row>
    <row r="888" spans="1:17" x14ac:dyDescent="0.3">
      <c r="A888" t="s">
        <v>1037</v>
      </c>
      <c r="B888">
        <v>3281</v>
      </c>
      <c r="C888">
        <v>471</v>
      </c>
      <c r="D888">
        <v>7</v>
      </c>
      <c r="E888" t="s">
        <v>45</v>
      </c>
      <c r="F888" t="s">
        <v>60</v>
      </c>
      <c r="G888" t="s">
        <v>40</v>
      </c>
      <c r="H888" s="1">
        <v>45287</v>
      </c>
      <c r="I888" t="s">
        <v>1038</v>
      </c>
      <c r="J888" t="s">
        <v>42</v>
      </c>
      <c r="K888" t="s">
        <v>43</v>
      </c>
      <c r="L888" s="2" t="s">
        <v>102</v>
      </c>
      <c r="M888" t="str">
        <f>TEXT(Table13[[#This Row],[Order Date]],"MMM")</f>
        <v>Dec</v>
      </c>
      <c r="N888">
        <f>YEAR(Table13[[#This Row],[Order Date]])</f>
        <v>2023</v>
      </c>
      <c r="O888" t="str">
        <f>"Q"&amp;ROUNDUP(MONTH(Table13[[#This Row],[Order Date]])/3,0)</f>
        <v>Q4</v>
      </c>
      <c r="P888" s="5">
        <f>Table13[[#This Row],[Profit]]/Table13[[#This Row],[Amount]]</f>
        <v>0.14355379457482476</v>
      </c>
      <c r="Q888" s="6">
        <f>Table13[[#This Row],[Amount]]/Table13[[#This Row],[Quantity]]</f>
        <v>468.71428571428572</v>
      </c>
    </row>
    <row r="889" spans="1:17" x14ac:dyDescent="0.3">
      <c r="A889" t="s">
        <v>1037</v>
      </c>
      <c r="B889">
        <v>3281</v>
      </c>
      <c r="C889">
        <v>471</v>
      </c>
      <c r="D889">
        <v>7</v>
      </c>
      <c r="E889" t="s">
        <v>45</v>
      </c>
      <c r="F889" t="s">
        <v>60</v>
      </c>
      <c r="G889" t="s">
        <v>40</v>
      </c>
      <c r="H889" s="1">
        <v>45102</v>
      </c>
      <c r="I889" t="s">
        <v>1039</v>
      </c>
      <c r="J889" t="s">
        <v>21</v>
      </c>
      <c r="K889" t="s">
        <v>172</v>
      </c>
      <c r="L889" s="2" t="s">
        <v>19</v>
      </c>
      <c r="M889" t="str">
        <f>TEXT(Table13[[#This Row],[Order Date]],"MMM")</f>
        <v>Jun</v>
      </c>
      <c r="N889">
        <f>YEAR(Table13[[#This Row],[Order Date]])</f>
        <v>2023</v>
      </c>
      <c r="O889" t="str">
        <f>"Q"&amp;ROUNDUP(MONTH(Table13[[#This Row],[Order Date]])/3,0)</f>
        <v>Q2</v>
      </c>
      <c r="P889" s="5">
        <f>Table13[[#This Row],[Profit]]/Table13[[#This Row],[Amount]]</f>
        <v>0.14355379457482476</v>
      </c>
      <c r="Q889" s="6">
        <f>Table13[[#This Row],[Amount]]/Table13[[#This Row],[Quantity]]</f>
        <v>468.71428571428572</v>
      </c>
    </row>
    <row r="890" spans="1:17" x14ac:dyDescent="0.3">
      <c r="A890" t="s">
        <v>1040</v>
      </c>
      <c r="B890">
        <v>8681</v>
      </c>
      <c r="C890">
        <v>2458</v>
      </c>
      <c r="D890">
        <v>9</v>
      </c>
      <c r="E890" t="s">
        <v>30</v>
      </c>
      <c r="F890" t="s">
        <v>31</v>
      </c>
      <c r="G890" t="s">
        <v>47</v>
      </c>
      <c r="H890" s="1">
        <v>44075</v>
      </c>
      <c r="I890" t="s">
        <v>1041</v>
      </c>
      <c r="J890" t="s">
        <v>25</v>
      </c>
      <c r="K890" t="s">
        <v>51</v>
      </c>
      <c r="L890" s="2" t="s">
        <v>389</v>
      </c>
      <c r="M890" t="str">
        <f>TEXT(Table13[[#This Row],[Order Date]],"MMM")</f>
        <v>Sep</v>
      </c>
      <c r="N890">
        <f>YEAR(Table13[[#This Row],[Order Date]])</f>
        <v>2020</v>
      </c>
      <c r="O890" t="str">
        <f>"Q"&amp;ROUNDUP(MONTH(Table13[[#This Row],[Order Date]])/3,0)</f>
        <v>Q3</v>
      </c>
      <c r="P890" s="5">
        <f>Table13[[#This Row],[Profit]]/Table13[[#This Row],[Amount]]</f>
        <v>0.28314710286833317</v>
      </c>
      <c r="Q890" s="6">
        <f>Table13[[#This Row],[Amount]]/Table13[[#This Row],[Quantity]]</f>
        <v>964.55555555555554</v>
      </c>
    </row>
    <row r="891" spans="1:17" x14ac:dyDescent="0.3">
      <c r="A891" t="s">
        <v>1042</v>
      </c>
      <c r="B891">
        <v>6195</v>
      </c>
      <c r="C891">
        <v>1556</v>
      </c>
      <c r="D891">
        <v>18</v>
      </c>
      <c r="E891" t="s">
        <v>45</v>
      </c>
      <c r="F891" t="s">
        <v>60</v>
      </c>
      <c r="G891" t="s">
        <v>40</v>
      </c>
      <c r="H891" s="1">
        <v>45689</v>
      </c>
      <c r="I891" t="s">
        <v>1043</v>
      </c>
      <c r="J891" t="s">
        <v>21</v>
      </c>
      <c r="K891" t="s">
        <v>63</v>
      </c>
      <c r="L891" s="2" t="s">
        <v>73</v>
      </c>
      <c r="M891" t="str">
        <f>TEXT(Table13[[#This Row],[Order Date]],"MMM")</f>
        <v>Feb</v>
      </c>
      <c r="N891">
        <f>YEAR(Table13[[#This Row],[Order Date]])</f>
        <v>2025</v>
      </c>
      <c r="O891" t="str">
        <f>"Q"&amp;ROUNDUP(MONTH(Table13[[#This Row],[Order Date]])/3,0)</f>
        <v>Q1</v>
      </c>
      <c r="P891" s="5">
        <f>Table13[[#This Row],[Profit]]/Table13[[#This Row],[Amount]]</f>
        <v>0.25117029862792573</v>
      </c>
      <c r="Q891" s="6">
        <f>Table13[[#This Row],[Amount]]/Table13[[#This Row],[Quantity]]</f>
        <v>344.16666666666669</v>
      </c>
    </row>
    <row r="892" spans="1:17" x14ac:dyDescent="0.3">
      <c r="A892" t="s">
        <v>1044</v>
      </c>
      <c r="B892">
        <v>3877</v>
      </c>
      <c r="C892">
        <v>481</v>
      </c>
      <c r="D892">
        <v>16</v>
      </c>
      <c r="E892" t="s">
        <v>45</v>
      </c>
      <c r="F892" t="s">
        <v>49</v>
      </c>
      <c r="G892" t="s">
        <v>32</v>
      </c>
      <c r="H892" s="1">
        <v>45129</v>
      </c>
      <c r="I892" t="s">
        <v>1045</v>
      </c>
      <c r="J892" t="s">
        <v>25</v>
      </c>
      <c r="K892" t="s">
        <v>68</v>
      </c>
      <c r="L892" s="2" t="s">
        <v>105</v>
      </c>
      <c r="M892" t="str">
        <f>TEXT(Table13[[#This Row],[Order Date]],"MMM")</f>
        <v>Jul</v>
      </c>
      <c r="N892">
        <f>YEAR(Table13[[#This Row],[Order Date]])</f>
        <v>2023</v>
      </c>
      <c r="O892" t="str">
        <f>"Q"&amp;ROUNDUP(MONTH(Table13[[#This Row],[Order Date]])/3,0)</f>
        <v>Q3</v>
      </c>
      <c r="P892" s="5">
        <f>Table13[[#This Row],[Profit]]/Table13[[#This Row],[Amount]]</f>
        <v>0.12406499871034304</v>
      </c>
      <c r="Q892" s="6">
        <f>Table13[[#This Row],[Amount]]/Table13[[#This Row],[Quantity]]</f>
        <v>242.3125</v>
      </c>
    </row>
    <row r="893" spans="1:17" x14ac:dyDescent="0.3">
      <c r="A893" t="s">
        <v>1044</v>
      </c>
      <c r="B893">
        <v>3877</v>
      </c>
      <c r="C893">
        <v>481</v>
      </c>
      <c r="D893">
        <v>16</v>
      </c>
      <c r="E893" t="s">
        <v>45</v>
      </c>
      <c r="F893" t="s">
        <v>49</v>
      </c>
      <c r="G893" t="s">
        <v>32</v>
      </c>
      <c r="H893" s="1">
        <v>44596</v>
      </c>
      <c r="I893" t="s">
        <v>1046</v>
      </c>
      <c r="J893" t="s">
        <v>25</v>
      </c>
      <c r="K893" t="s">
        <v>51</v>
      </c>
      <c r="L893" s="2" t="s">
        <v>137</v>
      </c>
      <c r="M893" t="str">
        <f>TEXT(Table13[[#This Row],[Order Date]],"MMM")</f>
        <v>Feb</v>
      </c>
      <c r="N893">
        <f>YEAR(Table13[[#This Row],[Order Date]])</f>
        <v>2022</v>
      </c>
      <c r="O893" t="str">
        <f>"Q"&amp;ROUNDUP(MONTH(Table13[[#This Row],[Order Date]])/3,0)</f>
        <v>Q1</v>
      </c>
      <c r="P893" s="5">
        <f>Table13[[#This Row],[Profit]]/Table13[[#This Row],[Amount]]</f>
        <v>0.12406499871034304</v>
      </c>
      <c r="Q893" s="6">
        <f>Table13[[#This Row],[Amount]]/Table13[[#This Row],[Quantity]]</f>
        <v>242.3125</v>
      </c>
    </row>
    <row r="894" spans="1:17" x14ac:dyDescent="0.3">
      <c r="A894" t="s">
        <v>1047</v>
      </c>
      <c r="B894">
        <v>9369</v>
      </c>
      <c r="C894">
        <v>3297</v>
      </c>
      <c r="D894">
        <v>6</v>
      </c>
      <c r="E894" t="s">
        <v>13</v>
      </c>
      <c r="F894" t="s">
        <v>28</v>
      </c>
      <c r="G894" t="s">
        <v>32</v>
      </c>
      <c r="H894" s="1">
        <v>45196</v>
      </c>
      <c r="I894" t="s">
        <v>1048</v>
      </c>
      <c r="J894" t="s">
        <v>17</v>
      </c>
      <c r="K894" t="s">
        <v>34</v>
      </c>
      <c r="L894" s="2" t="s">
        <v>273</v>
      </c>
      <c r="M894" t="str">
        <f>TEXT(Table13[[#This Row],[Order Date]],"MMM")</f>
        <v>Sep</v>
      </c>
      <c r="N894">
        <f>YEAR(Table13[[#This Row],[Order Date]])</f>
        <v>2023</v>
      </c>
      <c r="O894" t="str">
        <f>"Q"&amp;ROUNDUP(MONTH(Table13[[#This Row],[Order Date]])/3,0)</f>
        <v>Q3</v>
      </c>
      <c r="P894" s="5">
        <f>Table13[[#This Row],[Profit]]/Table13[[#This Row],[Amount]]</f>
        <v>0.35190521934037783</v>
      </c>
      <c r="Q894" s="6">
        <f>Table13[[#This Row],[Amount]]/Table13[[#This Row],[Quantity]]</f>
        <v>1561.5</v>
      </c>
    </row>
    <row r="895" spans="1:17" x14ac:dyDescent="0.3">
      <c r="A895" t="s">
        <v>1047</v>
      </c>
      <c r="B895">
        <v>9369</v>
      </c>
      <c r="C895">
        <v>3297</v>
      </c>
      <c r="D895">
        <v>6</v>
      </c>
      <c r="E895" t="s">
        <v>13</v>
      </c>
      <c r="F895" t="s">
        <v>28</v>
      </c>
      <c r="G895" t="s">
        <v>32</v>
      </c>
      <c r="H895" s="1">
        <v>45687</v>
      </c>
      <c r="I895" t="s">
        <v>1049</v>
      </c>
      <c r="J895" t="s">
        <v>25</v>
      </c>
      <c r="K895" t="s">
        <v>51</v>
      </c>
      <c r="L895" s="2" t="s">
        <v>308</v>
      </c>
      <c r="M895" t="str">
        <f>TEXT(Table13[[#This Row],[Order Date]],"MMM")</f>
        <v>Jan</v>
      </c>
      <c r="N895">
        <f>YEAR(Table13[[#This Row],[Order Date]])</f>
        <v>2025</v>
      </c>
      <c r="O895" t="str">
        <f>"Q"&amp;ROUNDUP(MONTH(Table13[[#This Row],[Order Date]])/3,0)</f>
        <v>Q1</v>
      </c>
      <c r="P895" s="5">
        <f>Table13[[#This Row],[Profit]]/Table13[[#This Row],[Amount]]</f>
        <v>0.35190521934037783</v>
      </c>
      <c r="Q895" s="6">
        <f>Table13[[#This Row],[Amount]]/Table13[[#This Row],[Quantity]]</f>
        <v>1561.5</v>
      </c>
    </row>
    <row r="896" spans="1:17" x14ac:dyDescent="0.3">
      <c r="A896" t="s">
        <v>1047</v>
      </c>
      <c r="B896">
        <v>8680</v>
      </c>
      <c r="C896">
        <v>4068</v>
      </c>
      <c r="D896">
        <v>20</v>
      </c>
      <c r="E896" t="s">
        <v>13</v>
      </c>
      <c r="F896" t="s">
        <v>28</v>
      </c>
      <c r="G896" t="s">
        <v>47</v>
      </c>
      <c r="H896" s="1">
        <v>45196</v>
      </c>
      <c r="I896" t="s">
        <v>1048</v>
      </c>
      <c r="J896" t="s">
        <v>17</v>
      </c>
      <c r="K896" t="s">
        <v>34</v>
      </c>
      <c r="L896" s="2" t="s">
        <v>273</v>
      </c>
      <c r="M896" t="str">
        <f>TEXT(Table13[[#This Row],[Order Date]],"MMM")</f>
        <v>Sep</v>
      </c>
      <c r="N896">
        <f>YEAR(Table13[[#This Row],[Order Date]])</f>
        <v>2023</v>
      </c>
      <c r="O896" t="str">
        <f>"Q"&amp;ROUNDUP(MONTH(Table13[[#This Row],[Order Date]])/3,0)</f>
        <v>Q3</v>
      </c>
      <c r="P896" s="5">
        <f>Table13[[#This Row],[Profit]]/Table13[[#This Row],[Amount]]</f>
        <v>0.46866359447004607</v>
      </c>
      <c r="Q896" s="6">
        <f>Table13[[#This Row],[Amount]]/Table13[[#This Row],[Quantity]]</f>
        <v>434</v>
      </c>
    </row>
    <row r="897" spans="1:17" x14ac:dyDescent="0.3">
      <c r="A897" t="s">
        <v>1047</v>
      </c>
      <c r="B897">
        <v>8680</v>
      </c>
      <c r="C897">
        <v>4068</v>
      </c>
      <c r="D897">
        <v>20</v>
      </c>
      <c r="E897" t="s">
        <v>13</v>
      </c>
      <c r="F897" t="s">
        <v>28</v>
      </c>
      <c r="G897" t="s">
        <v>47</v>
      </c>
      <c r="H897" s="1">
        <v>45687</v>
      </c>
      <c r="I897" t="s">
        <v>1049</v>
      </c>
      <c r="J897" t="s">
        <v>25</v>
      </c>
      <c r="K897" t="s">
        <v>51</v>
      </c>
      <c r="L897" s="2" t="s">
        <v>308</v>
      </c>
      <c r="M897" t="str">
        <f>TEXT(Table13[[#This Row],[Order Date]],"MMM")</f>
        <v>Jan</v>
      </c>
      <c r="N897">
        <f>YEAR(Table13[[#This Row],[Order Date]])</f>
        <v>2025</v>
      </c>
      <c r="O897" t="str">
        <f>"Q"&amp;ROUNDUP(MONTH(Table13[[#This Row],[Order Date]])/3,0)</f>
        <v>Q1</v>
      </c>
      <c r="P897" s="5">
        <f>Table13[[#This Row],[Profit]]/Table13[[#This Row],[Amount]]</f>
        <v>0.46866359447004607</v>
      </c>
      <c r="Q897" s="6">
        <f>Table13[[#This Row],[Amount]]/Table13[[#This Row],[Quantity]]</f>
        <v>434</v>
      </c>
    </row>
    <row r="898" spans="1:17" x14ac:dyDescent="0.3">
      <c r="A898" t="s">
        <v>1047</v>
      </c>
      <c r="B898">
        <v>3067</v>
      </c>
      <c r="C898">
        <v>1475</v>
      </c>
      <c r="D898">
        <v>8</v>
      </c>
      <c r="E898" t="s">
        <v>13</v>
      </c>
      <c r="F898" t="s">
        <v>39</v>
      </c>
      <c r="G898" t="s">
        <v>15</v>
      </c>
      <c r="H898" s="1">
        <v>45196</v>
      </c>
      <c r="I898" t="s">
        <v>1048</v>
      </c>
      <c r="J898" t="s">
        <v>17</v>
      </c>
      <c r="K898" t="s">
        <v>34</v>
      </c>
      <c r="L898" s="2" t="s">
        <v>273</v>
      </c>
      <c r="M898" t="str">
        <f>TEXT(Table13[[#This Row],[Order Date]],"MMM")</f>
        <v>Sep</v>
      </c>
      <c r="N898">
        <f>YEAR(Table13[[#This Row],[Order Date]])</f>
        <v>2023</v>
      </c>
      <c r="O898" t="str">
        <f>"Q"&amp;ROUNDUP(MONTH(Table13[[#This Row],[Order Date]])/3,0)</f>
        <v>Q3</v>
      </c>
      <c r="P898" s="5">
        <f>Table13[[#This Row],[Profit]]/Table13[[#This Row],[Amount]]</f>
        <v>0.48092598630583633</v>
      </c>
      <c r="Q898" s="6">
        <f>Table13[[#This Row],[Amount]]/Table13[[#This Row],[Quantity]]</f>
        <v>383.375</v>
      </c>
    </row>
    <row r="899" spans="1:17" x14ac:dyDescent="0.3">
      <c r="A899" t="s">
        <v>1047</v>
      </c>
      <c r="B899">
        <v>3067</v>
      </c>
      <c r="C899">
        <v>1475</v>
      </c>
      <c r="D899">
        <v>8</v>
      </c>
      <c r="E899" t="s">
        <v>13</v>
      </c>
      <c r="F899" t="s">
        <v>39</v>
      </c>
      <c r="G899" t="s">
        <v>15</v>
      </c>
      <c r="H899" s="1">
        <v>45687</v>
      </c>
      <c r="I899" t="s">
        <v>1049</v>
      </c>
      <c r="J899" t="s">
        <v>25</v>
      </c>
      <c r="K899" t="s">
        <v>51</v>
      </c>
      <c r="L899" s="2" t="s">
        <v>308</v>
      </c>
      <c r="M899" t="str">
        <f>TEXT(Table13[[#This Row],[Order Date]],"MMM")</f>
        <v>Jan</v>
      </c>
      <c r="N899">
        <f>YEAR(Table13[[#This Row],[Order Date]])</f>
        <v>2025</v>
      </c>
      <c r="O899" t="str">
        <f>"Q"&amp;ROUNDUP(MONTH(Table13[[#This Row],[Order Date]])/3,0)</f>
        <v>Q1</v>
      </c>
      <c r="P899" s="5">
        <f>Table13[[#This Row],[Profit]]/Table13[[#This Row],[Amount]]</f>
        <v>0.48092598630583633</v>
      </c>
      <c r="Q899" s="6">
        <f>Table13[[#This Row],[Amount]]/Table13[[#This Row],[Quantity]]</f>
        <v>383.375</v>
      </c>
    </row>
    <row r="900" spans="1:17" x14ac:dyDescent="0.3">
      <c r="A900" t="s">
        <v>1050</v>
      </c>
      <c r="B900">
        <v>9002</v>
      </c>
      <c r="C900">
        <v>4197</v>
      </c>
      <c r="D900">
        <v>2</v>
      </c>
      <c r="E900" t="s">
        <v>30</v>
      </c>
      <c r="F900" t="s">
        <v>57</v>
      </c>
      <c r="G900" t="s">
        <v>40</v>
      </c>
      <c r="H900" s="1">
        <v>45672</v>
      </c>
      <c r="I900" t="s">
        <v>1051</v>
      </c>
      <c r="J900" t="s">
        <v>98</v>
      </c>
      <c r="K900" t="s">
        <v>107</v>
      </c>
      <c r="L900" s="2" t="s">
        <v>308</v>
      </c>
      <c r="M900" t="str">
        <f>TEXT(Table13[[#This Row],[Order Date]],"MMM")</f>
        <v>Jan</v>
      </c>
      <c r="N900">
        <f>YEAR(Table13[[#This Row],[Order Date]])</f>
        <v>2025</v>
      </c>
      <c r="O900" t="str">
        <f>"Q"&amp;ROUNDUP(MONTH(Table13[[#This Row],[Order Date]])/3,0)</f>
        <v>Q1</v>
      </c>
      <c r="P900" s="5">
        <f>Table13[[#This Row],[Profit]]/Table13[[#This Row],[Amount]]</f>
        <v>0.46622972672739393</v>
      </c>
      <c r="Q900" s="6">
        <f>Table13[[#This Row],[Amount]]/Table13[[#This Row],[Quantity]]</f>
        <v>4501</v>
      </c>
    </row>
    <row r="901" spans="1:17" x14ac:dyDescent="0.3">
      <c r="A901" t="s">
        <v>1050</v>
      </c>
      <c r="B901">
        <v>9002</v>
      </c>
      <c r="C901">
        <v>4197</v>
      </c>
      <c r="D901">
        <v>2</v>
      </c>
      <c r="E901" t="s">
        <v>30</v>
      </c>
      <c r="F901" t="s">
        <v>57</v>
      </c>
      <c r="G901" t="s">
        <v>40</v>
      </c>
      <c r="H901" s="1">
        <v>44283</v>
      </c>
      <c r="I901" t="s">
        <v>1052</v>
      </c>
      <c r="J901" t="s">
        <v>98</v>
      </c>
      <c r="K901" t="s">
        <v>99</v>
      </c>
      <c r="L901" s="2" t="s">
        <v>167</v>
      </c>
      <c r="M901" t="str">
        <f>TEXT(Table13[[#This Row],[Order Date]],"MMM")</f>
        <v>Mar</v>
      </c>
      <c r="N901">
        <f>YEAR(Table13[[#This Row],[Order Date]])</f>
        <v>2021</v>
      </c>
      <c r="O901" t="str">
        <f>"Q"&amp;ROUNDUP(MONTH(Table13[[#This Row],[Order Date]])/3,0)</f>
        <v>Q1</v>
      </c>
      <c r="P901" s="5">
        <f>Table13[[#This Row],[Profit]]/Table13[[#This Row],[Amount]]</f>
        <v>0.46622972672739393</v>
      </c>
      <c r="Q901" s="6">
        <f>Table13[[#This Row],[Amount]]/Table13[[#This Row],[Quantity]]</f>
        <v>4501</v>
      </c>
    </row>
    <row r="902" spans="1:17" x14ac:dyDescent="0.3">
      <c r="A902" t="s">
        <v>1053</v>
      </c>
      <c r="B902">
        <v>7105</v>
      </c>
      <c r="C902">
        <v>2782</v>
      </c>
      <c r="D902">
        <v>19</v>
      </c>
      <c r="E902" t="s">
        <v>30</v>
      </c>
      <c r="F902" t="s">
        <v>31</v>
      </c>
      <c r="G902" t="s">
        <v>65</v>
      </c>
      <c r="H902" s="1">
        <v>44555</v>
      </c>
      <c r="I902" t="s">
        <v>1054</v>
      </c>
      <c r="J902" t="s">
        <v>98</v>
      </c>
      <c r="K902" t="s">
        <v>99</v>
      </c>
      <c r="L902" s="2" t="s">
        <v>90</v>
      </c>
      <c r="M902" t="str">
        <f>TEXT(Table13[[#This Row],[Order Date]],"MMM")</f>
        <v>Dec</v>
      </c>
      <c r="N902">
        <f>YEAR(Table13[[#This Row],[Order Date]])</f>
        <v>2021</v>
      </c>
      <c r="O902" t="str">
        <f>"Q"&amp;ROUNDUP(MONTH(Table13[[#This Row],[Order Date]])/3,0)</f>
        <v>Q4</v>
      </c>
      <c r="P902" s="5">
        <f>Table13[[#This Row],[Profit]]/Table13[[#This Row],[Amount]]</f>
        <v>0.3915552427867699</v>
      </c>
      <c r="Q902" s="6">
        <f>Table13[[#This Row],[Amount]]/Table13[[#This Row],[Quantity]]</f>
        <v>373.94736842105266</v>
      </c>
    </row>
    <row r="903" spans="1:17" x14ac:dyDescent="0.3">
      <c r="A903" t="s">
        <v>1055</v>
      </c>
      <c r="B903">
        <v>5317</v>
      </c>
      <c r="C903">
        <v>1345</v>
      </c>
      <c r="D903">
        <v>18</v>
      </c>
      <c r="E903" t="s">
        <v>45</v>
      </c>
      <c r="F903" t="s">
        <v>49</v>
      </c>
      <c r="G903" t="s">
        <v>32</v>
      </c>
      <c r="H903" s="1">
        <v>44960</v>
      </c>
      <c r="I903" t="s">
        <v>1056</v>
      </c>
      <c r="J903" t="s">
        <v>98</v>
      </c>
      <c r="K903" t="s">
        <v>99</v>
      </c>
      <c r="L903" s="2" t="s">
        <v>93</v>
      </c>
      <c r="M903" t="str">
        <f>TEXT(Table13[[#This Row],[Order Date]],"MMM")</f>
        <v>Feb</v>
      </c>
      <c r="N903">
        <f>YEAR(Table13[[#This Row],[Order Date]])</f>
        <v>2023</v>
      </c>
      <c r="O903" t="str">
        <f>"Q"&amp;ROUNDUP(MONTH(Table13[[#This Row],[Order Date]])/3,0)</f>
        <v>Q1</v>
      </c>
      <c r="P903" s="5">
        <f>Table13[[#This Row],[Profit]]/Table13[[#This Row],[Amount]]</f>
        <v>0.25296219672747788</v>
      </c>
      <c r="Q903" s="6">
        <f>Table13[[#This Row],[Amount]]/Table13[[#This Row],[Quantity]]</f>
        <v>295.38888888888891</v>
      </c>
    </row>
    <row r="904" spans="1:17" x14ac:dyDescent="0.3">
      <c r="A904" t="s">
        <v>1055</v>
      </c>
      <c r="B904">
        <v>5317</v>
      </c>
      <c r="C904">
        <v>1345</v>
      </c>
      <c r="D904">
        <v>18</v>
      </c>
      <c r="E904" t="s">
        <v>45</v>
      </c>
      <c r="F904" t="s">
        <v>49</v>
      </c>
      <c r="G904" t="s">
        <v>32</v>
      </c>
      <c r="H904" s="1">
        <v>45044</v>
      </c>
      <c r="I904" t="s">
        <v>1057</v>
      </c>
      <c r="J904" t="s">
        <v>17</v>
      </c>
      <c r="K904" t="s">
        <v>34</v>
      </c>
      <c r="L904" s="2" t="s">
        <v>145</v>
      </c>
      <c r="M904" t="str">
        <f>TEXT(Table13[[#This Row],[Order Date]],"MMM")</f>
        <v>Apr</v>
      </c>
      <c r="N904">
        <f>YEAR(Table13[[#This Row],[Order Date]])</f>
        <v>2023</v>
      </c>
      <c r="O904" t="str">
        <f>"Q"&amp;ROUNDUP(MONTH(Table13[[#This Row],[Order Date]])/3,0)</f>
        <v>Q2</v>
      </c>
      <c r="P904" s="5">
        <f>Table13[[#This Row],[Profit]]/Table13[[#This Row],[Amount]]</f>
        <v>0.25296219672747788</v>
      </c>
      <c r="Q904" s="6">
        <f>Table13[[#This Row],[Amount]]/Table13[[#This Row],[Quantity]]</f>
        <v>295.38888888888891</v>
      </c>
    </row>
    <row r="905" spans="1:17" x14ac:dyDescent="0.3">
      <c r="A905" t="s">
        <v>1055</v>
      </c>
      <c r="B905">
        <v>5317</v>
      </c>
      <c r="C905">
        <v>1345</v>
      </c>
      <c r="D905">
        <v>18</v>
      </c>
      <c r="E905" t="s">
        <v>45</v>
      </c>
      <c r="F905" t="s">
        <v>49</v>
      </c>
      <c r="G905" t="s">
        <v>32</v>
      </c>
      <c r="H905" s="1">
        <v>45618</v>
      </c>
      <c r="I905" t="s">
        <v>1058</v>
      </c>
      <c r="J905" t="s">
        <v>42</v>
      </c>
      <c r="K905" t="s">
        <v>92</v>
      </c>
      <c r="L905" s="2" t="s">
        <v>255</v>
      </c>
      <c r="M905" t="str">
        <f>TEXT(Table13[[#This Row],[Order Date]],"MMM")</f>
        <v>Nov</v>
      </c>
      <c r="N905">
        <f>YEAR(Table13[[#This Row],[Order Date]])</f>
        <v>2024</v>
      </c>
      <c r="O905" t="str">
        <f>"Q"&amp;ROUNDUP(MONTH(Table13[[#This Row],[Order Date]])/3,0)</f>
        <v>Q4</v>
      </c>
      <c r="P905" s="5">
        <f>Table13[[#This Row],[Profit]]/Table13[[#This Row],[Amount]]</f>
        <v>0.25296219672747788</v>
      </c>
      <c r="Q905" s="6">
        <f>Table13[[#This Row],[Amount]]/Table13[[#This Row],[Quantity]]</f>
        <v>295.38888888888891</v>
      </c>
    </row>
    <row r="906" spans="1:17" x14ac:dyDescent="0.3">
      <c r="A906" t="s">
        <v>1055</v>
      </c>
      <c r="B906">
        <v>6304</v>
      </c>
      <c r="C906">
        <v>766</v>
      </c>
      <c r="D906">
        <v>14</v>
      </c>
      <c r="E906" t="s">
        <v>45</v>
      </c>
      <c r="F906" t="s">
        <v>46</v>
      </c>
      <c r="G906" t="s">
        <v>40</v>
      </c>
      <c r="H906" s="1">
        <v>44960</v>
      </c>
      <c r="I906" t="s">
        <v>1056</v>
      </c>
      <c r="J906" t="s">
        <v>98</v>
      </c>
      <c r="K906" t="s">
        <v>99</v>
      </c>
      <c r="L906" s="2" t="s">
        <v>93</v>
      </c>
      <c r="M906" t="str">
        <f>TEXT(Table13[[#This Row],[Order Date]],"MMM")</f>
        <v>Feb</v>
      </c>
      <c r="N906">
        <f>YEAR(Table13[[#This Row],[Order Date]])</f>
        <v>2023</v>
      </c>
      <c r="O906" t="str">
        <f>"Q"&amp;ROUNDUP(MONTH(Table13[[#This Row],[Order Date]])/3,0)</f>
        <v>Q1</v>
      </c>
      <c r="P906" s="5">
        <f>Table13[[#This Row],[Profit]]/Table13[[#This Row],[Amount]]</f>
        <v>0.12151015228426396</v>
      </c>
      <c r="Q906" s="6">
        <f>Table13[[#This Row],[Amount]]/Table13[[#This Row],[Quantity]]</f>
        <v>450.28571428571428</v>
      </c>
    </row>
    <row r="907" spans="1:17" x14ac:dyDescent="0.3">
      <c r="A907" t="s">
        <v>1055</v>
      </c>
      <c r="B907">
        <v>6304</v>
      </c>
      <c r="C907">
        <v>766</v>
      </c>
      <c r="D907">
        <v>14</v>
      </c>
      <c r="E907" t="s">
        <v>45</v>
      </c>
      <c r="F907" t="s">
        <v>46</v>
      </c>
      <c r="G907" t="s">
        <v>40</v>
      </c>
      <c r="H907" s="1">
        <v>45044</v>
      </c>
      <c r="I907" t="s">
        <v>1057</v>
      </c>
      <c r="J907" t="s">
        <v>17</v>
      </c>
      <c r="K907" t="s">
        <v>34</v>
      </c>
      <c r="L907" s="2" t="s">
        <v>145</v>
      </c>
      <c r="M907" t="str">
        <f>TEXT(Table13[[#This Row],[Order Date]],"MMM")</f>
        <v>Apr</v>
      </c>
      <c r="N907">
        <f>YEAR(Table13[[#This Row],[Order Date]])</f>
        <v>2023</v>
      </c>
      <c r="O907" t="str">
        <f>"Q"&amp;ROUNDUP(MONTH(Table13[[#This Row],[Order Date]])/3,0)</f>
        <v>Q2</v>
      </c>
      <c r="P907" s="5">
        <f>Table13[[#This Row],[Profit]]/Table13[[#This Row],[Amount]]</f>
        <v>0.12151015228426396</v>
      </c>
      <c r="Q907" s="6">
        <f>Table13[[#This Row],[Amount]]/Table13[[#This Row],[Quantity]]</f>
        <v>450.28571428571428</v>
      </c>
    </row>
    <row r="908" spans="1:17" x14ac:dyDescent="0.3">
      <c r="A908" t="s">
        <v>1055</v>
      </c>
      <c r="B908">
        <v>6304</v>
      </c>
      <c r="C908">
        <v>766</v>
      </c>
      <c r="D908">
        <v>14</v>
      </c>
      <c r="E908" t="s">
        <v>45</v>
      </c>
      <c r="F908" t="s">
        <v>46</v>
      </c>
      <c r="G908" t="s">
        <v>40</v>
      </c>
      <c r="H908" s="1">
        <v>45618</v>
      </c>
      <c r="I908" t="s">
        <v>1058</v>
      </c>
      <c r="J908" t="s">
        <v>42</v>
      </c>
      <c r="K908" t="s">
        <v>92</v>
      </c>
      <c r="L908" s="2" t="s">
        <v>255</v>
      </c>
      <c r="M908" t="str">
        <f>TEXT(Table13[[#This Row],[Order Date]],"MMM")</f>
        <v>Nov</v>
      </c>
      <c r="N908">
        <f>YEAR(Table13[[#This Row],[Order Date]])</f>
        <v>2024</v>
      </c>
      <c r="O908" t="str">
        <f>"Q"&amp;ROUNDUP(MONTH(Table13[[#This Row],[Order Date]])/3,0)</f>
        <v>Q4</v>
      </c>
      <c r="P908" s="5">
        <f>Table13[[#This Row],[Profit]]/Table13[[#This Row],[Amount]]</f>
        <v>0.12151015228426396</v>
      </c>
      <c r="Q908" s="6">
        <f>Table13[[#This Row],[Amount]]/Table13[[#This Row],[Quantity]]</f>
        <v>450.28571428571428</v>
      </c>
    </row>
    <row r="909" spans="1:17" x14ac:dyDescent="0.3">
      <c r="A909" t="s">
        <v>1059</v>
      </c>
      <c r="B909">
        <v>9565</v>
      </c>
      <c r="C909">
        <v>1691</v>
      </c>
      <c r="D909">
        <v>3</v>
      </c>
      <c r="E909" t="s">
        <v>30</v>
      </c>
      <c r="F909" t="s">
        <v>64</v>
      </c>
      <c r="G909" t="s">
        <v>32</v>
      </c>
      <c r="H909" s="1">
        <v>45475</v>
      </c>
      <c r="I909" t="s">
        <v>1060</v>
      </c>
      <c r="J909" t="s">
        <v>21</v>
      </c>
      <c r="K909" t="s">
        <v>63</v>
      </c>
      <c r="L909" s="2" t="s">
        <v>215</v>
      </c>
      <c r="M909" t="str">
        <f>TEXT(Table13[[#This Row],[Order Date]],"MMM")</f>
        <v>Jul</v>
      </c>
      <c r="N909">
        <f>YEAR(Table13[[#This Row],[Order Date]])</f>
        <v>2024</v>
      </c>
      <c r="O909" t="str">
        <f>"Q"&amp;ROUNDUP(MONTH(Table13[[#This Row],[Order Date]])/3,0)</f>
        <v>Q3</v>
      </c>
      <c r="P909" s="5">
        <f>Table13[[#This Row],[Profit]]/Table13[[#This Row],[Amount]]</f>
        <v>0.1767903815995818</v>
      </c>
      <c r="Q909" s="6">
        <f>Table13[[#This Row],[Amount]]/Table13[[#This Row],[Quantity]]</f>
        <v>3188.3333333333335</v>
      </c>
    </row>
    <row r="910" spans="1:17" x14ac:dyDescent="0.3">
      <c r="A910" t="s">
        <v>1059</v>
      </c>
      <c r="B910">
        <v>8245</v>
      </c>
      <c r="C910">
        <v>324</v>
      </c>
      <c r="D910">
        <v>11</v>
      </c>
      <c r="E910" t="s">
        <v>30</v>
      </c>
      <c r="F910" t="s">
        <v>64</v>
      </c>
      <c r="G910" t="s">
        <v>40</v>
      </c>
      <c r="H910" s="1">
        <v>45475</v>
      </c>
      <c r="I910" t="s">
        <v>1060</v>
      </c>
      <c r="J910" t="s">
        <v>21</v>
      </c>
      <c r="K910" t="s">
        <v>63</v>
      </c>
      <c r="L910" s="2" t="s">
        <v>215</v>
      </c>
      <c r="M910" t="str">
        <f>TEXT(Table13[[#This Row],[Order Date]],"MMM")</f>
        <v>Jul</v>
      </c>
      <c r="N910">
        <f>YEAR(Table13[[#This Row],[Order Date]])</f>
        <v>2024</v>
      </c>
      <c r="O910" t="str">
        <f>"Q"&amp;ROUNDUP(MONTH(Table13[[#This Row],[Order Date]])/3,0)</f>
        <v>Q3</v>
      </c>
      <c r="P910" s="5">
        <f>Table13[[#This Row],[Profit]]/Table13[[#This Row],[Amount]]</f>
        <v>3.9296543359611885E-2</v>
      </c>
      <c r="Q910" s="6">
        <f>Table13[[#This Row],[Amount]]/Table13[[#This Row],[Quantity]]</f>
        <v>749.5454545454545</v>
      </c>
    </row>
    <row r="911" spans="1:17" x14ac:dyDescent="0.3">
      <c r="A911" t="s">
        <v>1061</v>
      </c>
      <c r="B911">
        <v>1592</v>
      </c>
      <c r="C911">
        <v>480</v>
      </c>
      <c r="D911">
        <v>13</v>
      </c>
      <c r="E911" t="s">
        <v>13</v>
      </c>
      <c r="F911" t="s">
        <v>39</v>
      </c>
      <c r="G911" t="s">
        <v>32</v>
      </c>
      <c r="H911" s="1">
        <v>44579</v>
      </c>
      <c r="I911" t="s">
        <v>1062</v>
      </c>
      <c r="J911" t="s">
        <v>98</v>
      </c>
      <c r="K911" t="s">
        <v>117</v>
      </c>
      <c r="L911" s="2" t="s">
        <v>87</v>
      </c>
      <c r="M911" t="str">
        <f>TEXT(Table13[[#This Row],[Order Date]],"MMM")</f>
        <v>Jan</v>
      </c>
      <c r="N911">
        <f>YEAR(Table13[[#This Row],[Order Date]])</f>
        <v>2022</v>
      </c>
      <c r="O911" t="str">
        <f>"Q"&amp;ROUNDUP(MONTH(Table13[[#This Row],[Order Date]])/3,0)</f>
        <v>Q1</v>
      </c>
      <c r="P911" s="5">
        <f>Table13[[#This Row],[Profit]]/Table13[[#This Row],[Amount]]</f>
        <v>0.30150753768844218</v>
      </c>
      <c r="Q911" s="6">
        <f>Table13[[#This Row],[Amount]]/Table13[[#This Row],[Quantity]]</f>
        <v>122.46153846153847</v>
      </c>
    </row>
    <row r="912" spans="1:17" x14ac:dyDescent="0.3">
      <c r="A912" t="s">
        <v>1063</v>
      </c>
      <c r="B912">
        <v>8400</v>
      </c>
      <c r="C912">
        <v>267</v>
      </c>
      <c r="D912">
        <v>5</v>
      </c>
      <c r="E912" t="s">
        <v>13</v>
      </c>
      <c r="F912" t="s">
        <v>82</v>
      </c>
      <c r="G912" t="s">
        <v>32</v>
      </c>
      <c r="H912" s="1">
        <v>45573</v>
      </c>
      <c r="I912" t="s">
        <v>1064</v>
      </c>
      <c r="J912" t="s">
        <v>98</v>
      </c>
      <c r="K912" t="s">
        <v>99</v>
      </c>
      <c r="L912" s="2" t="s">
        <v>360</v>
      </c>
      <c r="M912" t="str">
        <f>TEXT(Table13[[#This Row],[Order Date]],"MMM")</f>
        <v>Oct</v>
      </c>
      <c r="N912">
        <f>YEAR(Table13[[#This Row],[Order Date]])</f>
        <v>2024</v>
      </c>
      <c r="O912" t="str">
        <f>"Q"&amp;ROUNDUP(MONTH(Table13[[#This Row],[Order Date]])/3,0)</f>
        <v>Q4</v>
      </c>
      <c r="P912" s="5">
        <f>Table13[[#This Row],[Profit]]/Table13[[#This Row],[Amount]]</f>
        <v>3.1785714285714285E-2</v>
      </c>
      <c r="Q912" s="6">
        <f>Table13[[#This Row],[Amount]]/Table13[[#This Row],[Quantity]]</f>
        <v>1680</v>
      </c>
    </row>
    <row r="913" spans="1:17" x14ac:dyDescent="0.3">
      <c r="A913" t="s">
        <v>1063</v>
      </c>
      <c r="B913">
        <v>4963</v>
      </c>
      <c r="C913">
        <v>1254</v>
      </c>
      <c r="D913">
        <v>15</v>
      </c>
      <c r="E913" t="s">
        <v>30</v>
      </c>
      <c r="F913" t="s">
        <v>64</v>
      </c>
      <c r="G913" t="s">
        <v>40</v>
      </c>
      <c r="H913" s="1">
        <v>45573</v>
      </c>
      <c r="I913" t="s">
        <v>1064</v>
      </c>
      <c r="J913" t="s">
        <v>98</v>
      </c>
      <c r="K913" t="s">
        <v>99</v>
      </c>
      <c r="L913" s="2" t="s">
        <v>360</v>
      </c>
      <c r="M913" t="str">
        <f>TEXT(Table13[[#This Row],[Order Date]],"MMM")</f>
        <v>Oct</v>
      </c>
      <c r="N913">
        <f>YEAR(Table13[[#This Row],[Order Date]])</f>
        <v>2024</v>
      </c>
      <c r="O913" t="str">
        <f>"Q"&amp;ROUNDUP(MONTH(Table13[[#This Row],[Order Date]])/3,0)</f>
        <v>Q4</v>
      </c>
      <c r="P913" s="5">
        <f>Table13[[#This Row],[Profit]]/Table13[[#This Row],[Amount]]</f>
        <v>0.2526697561958493</v>
      </c>
      <c r="Q913" s="6">
        <f>Table13[[#This Row],[Amount]]/Table13[[#This Row],[Quantity]]</f>
        <v>330.86666666666667</v>
      </c>
    </row>
    <row r="914" spans="1:17" x14ac:dyDescent="0.3">
      <c r="A914" t="s">
        <v>1065</v>
      </c>
      <c r="B914">
        <v>2472</v>
      </c>
      <c r="C914">
        <v>211</v>
      </c>
      <c r="D914">
        <v>5</v>
      </c>
      <c r="E914" t="s">
        <v>13</v>
      </c>
      <c r="F914" t="s">
        <v>28</v>
      </c>
      <c r="G914" t="s">
        <v>65</v>
      </c>
      <c r="H914" s="1">
        <v>44003</v>
      </c>
      <c r="I914" t="s">
        <v>1066</v>
      </c>
      <c r="J914" t="s">
        <v>42</v>
      </c>
      <c r="K914" t="s">
        <v>75</v>
      </c>
      <c r="L914" s="2" t="s">
        <v>313</v>
      </c>
      <c r="M914" t="str">
        <f>TEXT(Table13[[#This Row],[Order Date]],"MMM")</f>
        <v>Jun</v>
      </c>
      <c r="N914">
        <f>YEAR(Table13[[#This Row],[Order Date]])</f>
        <v>2020</v>
      </c>
      <c r="O914" t="str">
        <f>"Q"&amp;ROUNDUP(MONTH(Table13[[#This Row],[Order Date]])/3,0)</f>
        <v>Q2</v>
      </c>
      <c r="P914" s="5">
        <f>Table13[[#This Row],[Profit]]/Table13[[#This Row],[Amount]]</f>
        <v>8.535598705501618E-2</v>
      </c>
      <c r="Q914" s="6">
        <f>Table13[[#This Row],[Amount]]/Table13[[#This Row],[Quantity]]</f>
        <v>494.4</v>
      </c>
    </row>
    <row r="915" spans="1:17" x14ac:dyDescent="0.3">
      <c r="A915" t="s">
        <v>1067</v>
      </c>
      <c r="B915">
        <v>9132</v>
      </c>
      <c r="C915">
        <v>3096</v>
      </c>
      <c r="D915">
        <v>14</v>
      </c>
      <c r="E915" t="s">
        <v>45</v>
      </c>
      <c r="F915" t="s">
        <v>49</v>
      </c>
      <c r="G915" t="s">
        <v>32</v>
      </c>
      <c r="H915" s="1">
        <v>45274</v>
      </c>
      <c r="I915" t="s">
        <v>1068</v>
      </c>
      <c r="J915" t="s">
        <v>17</v>
      </c>
      <c r="K915" t="s">
        <v>150</v>
      </c>
      <c r="L915" s="2" t="s">
        <v>102</v>
      </c>
      <c r="M915" t="str">
        <f>TEXT(Table13[[#This Row],[Order Date]],"MMM")</f>
        <v>Dec</v>
      </c>
      <c r="N915">
        <f>YEAR(Table13[[#This Row],[Order Date]])</f>
        <v>2023</v>
      </c>
      <c r="O915" t="str">
        <f>"Q"&amp;ROUNDUP(MONTH(Table13[[#This Row],[Order Date]])/3,0)</f>
        <v>Q4</v>
      </c>
      <c r="P915" s="5">
        <f>Table13[[#This Row],[Profit]]/Table13[[#This Row],[Amount]]</f>
        <v>0.33902759526938236</v>
      </c>
      <c r="Q915" s="6">
        <f>Table13[[#This Row],[Amount]]/Table13[[#This Row],[Quantity]]</f>
        <v>652.28571428571433</v>
      </c>
    </row>
    <row r="916" spans="1:17" x14ac:dyDescent="0.3">
      <c r="A916" t="s">
        <v>1069</v>
      </c>
      <c r="B916">
        <v>8305</v>
      </c>
      <c r="C916">
        <v>1577</v>
      </c>
      <c r="D916">
        <v>6</v>
      </c>
      <c r="E916" t="s">
        <v>30</v>
      </c>
      <c r="F916" t="s">
        <v>78</v>
      </c>
      <c r="G916" t="s">
        <v>32</v>
      </c>
      <c r="H916" s="1">
        <v>44181</v>
      </c>
      <c r="I916" t="s">
        <v>1070</v>
      </c>
      <c r="J916" t="s">
        <v>25</v>
      </c>
      <c r="K916" t="s">
        <v>68</v>
      </c>
      <c r="L916" s="2" t="s">
        <v>287</v>
      </c>
      <c r="M916" t="str">
        <f>TEXT(Table13[[#This Row],[Order Date]],"MMM")</f>
        <v>Dec</v>
      </c>
      <c r="N916">
        <f>YEAR(Table13[[#This Row],[Order Date]])</f>
        <v>2020</v>
      </c>
      <c r="O916" t="str">
        <f>"Q"&amp;ROUNDUP(MONTH(Table13[[#This Row],[Order Date]])/3,0)</f>
        <v>Q4</v>
      </c>
      <c r="P916" s="5">
        <f>Table13[[#This Row],[Profit]]/Table13[[#This Row],[Amount]]</f>
        <v>0.18988561107766405</v>
      </c>
      <c r="Q916" s="6">
        <f>Table13[[#This Row],[Amount]]/Table13[[#This Row],[Quantity]]</f>
        <v>1384.1666666666667</v>
      </c>
    </row>
    <row r="917" spans="1:17" x14ac:dyDescent="0.3">
      <c r="A917" t="s">
        <v>1071</v>
      </c>
      <c r="B917">
        <v>1010</v>
      </c>
      <c r="C917">
        <v>58</v>
      </c>
      <c r="D917">
        <v>19</v>
      </c>
      <c r="E917" t="s">
        <v>13</v>
      </c>
      <c r="F917" t="s">
        <v>14</v>
      </c>
      <c r="G917" t="s">
        <v>65</v>
      </c>
      <c r="H917" s="1">
        <v>45731</v>
      </c>
      <c r="I917" t="s">
        <v>1072</v>
      </c>
      <c r="J917" t="s">
        <v>17</v>
      </c>
      <c r="K917" t="s">
        <v>150</v>
      </c>
      <c r="L917" s="2" t="s">
        <v>157</v>
      </c>
      <c r="M917" t="str">
        <f>TEXT(Table13[[#This Row],[Order Date]],"MMM")</f>
        <v>Mar</v>
      </c>
      <c r="N917">
        <f>YEAR(Table13[[#This Row],[Order Date]])</f>
        <v>2025</v>
      </c>
      <c r="O917" t="str">
        <f>"Q"&amp;ROUNDUP(MONTH(Table13[[#This Row],[Order Date]])/3,0)</f>
        <v>Q1</v>
      </c>
      <c r="P917" s="5">
        <f>Table13[[#This Row],[Profit]]/Table13[[#This Row],[Amount]]</f>
        <v>5.7425742574257428E-2</v>
      </c>
      <c r="Q917" s="6">
        <f>Table13[[#This Row],[Amount]]/Table13[[#This Row],[Quantity]]</f>
        <v>53.157894736842103</v>
      </c>
    </row>
    <row r="918" spans="1:17" x14ac:dyDescent="0.3">
      <c r="A918" t="s">
        <v>1073</v>
      </c>
      <c r="B918">
        <v>4544</v>
      </c>
      <c r="C918">
        <v>1726</v>
      </c>
      <c r="D918">
        <v>9</v>
      </c>
      <c r="E918" t="s">
        <v>13</v>
      </c>
      <c r="F918" t="s">
        <v>82</v>
      </c>
      <c r="G918" t="s">
        <v>40</v>
      </c>
      <c r="H918" s="1">
        <v>45525</v>
      </c>
      <c r="I918" t="s">
        <v>1074</v>
      </c>
      <c r="J918" t="s">
        <v>71</v>
      </c>
      <c r="K918" t="s">
        <v>72</v>
      </c>
      <c r="L918" s="2" t="s">
        <v>114</v>
      </c>
      <c r="M918" t="str">
        <f>TEXT(Table13[[#This Row],[Order Date]],"MMM")</f>
        <v>Aug</v>
      </c>
      <c r="N918">
        <f>YEAR(Table13[[#This Row],[Order Date]])</f>
        <v>2024</v>
      </c>
      <c r="O918" t="str">
        <f>"Q"&amp;ROUNDUP(MONTH(Table13[[#This Row],[Order Date]])/3,0)</f>
        <v>Q3</v>
      </c>
      <c r="P918" s="5">
        <f>Table13[[#This Row],[Profit]]/Table13[[#This Row],[Amount]]</f>
        <v>0.37984154929577463</v>
      </c>
      <c r="Q918" s="6">
        <f>Table13[[#This Row],[Amount]]/Table13[[#This Row],[Quantity]]</f>
        <v>504.88888888888891</v>
      </c>
    </row>
    <row r="919" spans="1:17" x14ac:dyDescent="0.3">
      <c r="A919" t="s">
        <v>1073</v>
      </c>
      <c r="B919">
        <v>5900</v>
      </c>
      <c r="C919">
        <v>1738</v>
      </c>
      <c r="D919">
        <v>20</v>
      </c>
      <c r="E919" t="s">
        <v>13</v>
      </c>
      <c r="F919" t="s">
        <v>82</v>
      </c>
      <c r="G919" t="s">
        <v>15</v>
      </c>
      <c r="H919" s="1">
        <v>45525</v>
      </c>
      <c r="I919" t="s">
        <v>1074</v>
      </c>
      <c r="J919" t="s">
        <v>71</v>
      </c>
      <c r="K919" t="s">
        <v>72</v>
      </c>
      <c r="L919" s="2" t="s">
        <v>114</v>
      </c>
      <c r="M919" t="str">
        <f>TEXT(Table13[[#This Row],[Order Date]],"MMM")</f>
        <v>Aug</v>
      </c>
      <c r="N919">
        <f>YEAR(Table13[[#This Row],[Order Date]])</f>
        <v>2024</v>
      </c>
      <c r="O919" t="str">
        <f>"Q"&amp;ROUNDUP(MONTH(Table13[[#This Row],[Order Date]])/3,0)</f>
        <v>Q3</v>
      </c>
      <c r="P919" s="5">
        <f>Table13[[#This Row],[Profit]]/Table13[[#This Row],[Amount]]</f>
        <v>0.2945762711864407</v>
      </c>
      <c r="Q919" s="6">
        <f>Table13[[#This Row],[Amount]]/Table13[[#This Row],[Quantity]]</f>
        <v>295</v>
      </c>
    </row>
    <row r="920" spans="1:17" x14ac:dyDescent="0.3">
      <c r="A920" t="s">
        <v>1075</v>
      </c>
      <c r="B920">
        <v>8861</v>
      </c>
      <c r="C920">
        <v>3381</v>
      </c>
      <c r="D920">
        <v>19</v>
      </c>
      <c r="E920" t="s">
        <v>30</v>
      </c>
      <c r="F920" t="s">
        <v>57</v>
      </c>
      <c r="G920" t="s">
        <v>47</v>
      </c>
      <c r="H920" s="1">
        <v>44343</v>
      </c>
      <c r="I920" t="s">
        <v>1076</v>
      </c>
      <c r="J920" t="s">
        <v>42</v>
      </c>
      <c r="K920" t="s">
        <v>75</v>
      </c>
      <c r="L920" s="2" t="s">
        <v>108</v>
      </c>
      <c r="M920" t="str">
        <f>TEXT(Table13[[#This Row],[Order Date]],"MMM")</f>
        <v>May</v>
      </c>
      <c r="N920">
        <f>YEAR(Table13[[#This Row],[Order Date]])</f>
        <v>2021</v>
      </c>
      <c r="O920" t="str">
        <f>"Q"&amp;ROUNDUP(MONTH(Table13[[#This Row],[Order Date]])/3,0)</f>
        <v>Q2</v>
      </c>
      <c r="P920" s="5">
        <f>Table13[[#This Row],[Profit]]/Table13[[#This Row],[Amount]]</f>
        <v>0.3815596433811082</v>
      </c>
      <c r="Q920" s="6">
        <f>Table13[[#This Row],[Amount]]/Table13[[#This Row],[Quantity]]</f>
        <v>466.36842105263156</v>
      </c>
    </row>
    <row r="921" spans="1:17" x14ac:dyDescent="0.3">
      <c r="A921" t="s">
        <v>1077</v>
      </c>
      <c r="B921">
        <v>8158</v>
      </c>
      <c r="C921">
        <v>2052</v>
      </c>
      <c r="D921">
        <v>13</v>
      </c>
      <c r="E921" t="s">
        <v>13</v>
      </c>
      <c r="F921" t="s">
        <v>82</v>
      </c>
      <c r="G921" t="s">
        <v>32</v>
      </c>
      <c r="H921" s="1">
        <v>44095</v>
      </c>
      <c r="I921" t="s">
        <v>1078</v>
      </c>
      <c r="J921" t="s">
        <v>98</v>
      </c>
      <c r="K921" t="s">
        <v>107</v>
      </c>
      <c r="L921" s="2" t="s">
        <v>389</v>
      </c>
      <c r="M921" t="str">
        <f>TEXT(Table13[[#This Row],[Order Date]],"MMM")</f>
        <v>Sep</v>
      </c>
      <c r="N921">
        <f>YEAR(Table13[[#This Row],[Order Date]])</f>
        <v>2020</v>
      </c>
      <c r="O921" t="str">
        <f>"Q"&amp;ROUNDUP(MONTH(Table13[[#This Row],[Order Date]])/3,0)</f>
        <v>Q3</v>
      </c>
      <c r="P921" s="5">
        <f>Table13[[#This Row],[Profit]]/Table13[[#This Row],[Amount]]</f>
        <v>0.25153223829369942</v>
      </c>
      <c r="Q921" s="6">
        <f>Table13[[#This Row],[Amount]]/Table13[[#This Row],[Quantity]]</f>
        <v>627.53846153846155</v>
      </c>
    </row>
    <row r="922" spans="1:17" x14ac:dyDescent="0.3">
      <c r="A922" t="s">
        <v>1079</v>
      </c>
      <c r="B922">
        <v>3411</v>
      </c>
      <c r="C922">
        <v>1704</v>
      </c>
      <c r="D922">
        <v>14</v>
      </c>
      <c r="E922" t="s">
        <v>30</v>
      </c>
      <c r="F922" t="s">
        <v>31</v>
      </c>
      <c r="G922" t="s">
        <v>15</v>
      </c>
      <c r="H922" s="1">
        <v>45668</v>
      </c>
      <c r="I922" t="s">
        <v>1080</v>
      </c>
      <c r="J922" t="s">
        <v>42</v>
      </c>
      <c r="K922" t="s">
        <v>43</v>
      </c>
      <c r="L922" s="2" t="s">
        <v>308</v>
      </c>
      <c r="M922" t="str">
        <f>TEXT(Table13[[#This Row],[Order Date]],"MMM")</f>
        <v>Jan</v>
      </c>
      <c r="N922">
        <f>YEAR(Table13[[#This Row],[Order Date]])</f>
        <v>2025</v>
      </c>
      <c r="O922" t="str">
        <f>"Q"&amp;ROUNDUP(MONTH(Table13[[#This Row],[Order Date]])/3,0)</f>
        <v>Q1</v>
      </c>
      <c r="P922" s="5">
        <f>Table13[[#This Row],[Profit]]/Table13[[#This Row],[Amount]]</f>
        <v>0.49956024626209322</v>
      </c>
      <c r="Q922" s="6">
        <f>Table13[[#This Row],[Amount]]/Table13[[#This Row],[Quantity]]</f>
        <v>243.64285714285714</v>
      </c>
    </row>
    <row r="923" spans="1:17" x14ac:dyDescent="0.3">
      <c r="A923" t="s">
        <v>1081</v>
      </c>
      <c r="B923">
        <v>9406</v>
      </c>
      <c r="C923">
        <v>1137</v>
      </c>
      <c r="D923">
        <v>16</v>
      </c>
      <c r="E923" t="s">
        <v>30</v>
      </c>
      <c r="F923" t="s">
        <v>57</v>
      </c>
      <c r="G923" t="s">
        <v>15</v>
      </c>
      <c r="H923" s="1">
        <v>44489</v>
      </c>
      <c r="I923" t="s">
        <v>1082</v>
      </c>
      <c r="J923" t="s">
        <v>71</v>
      </c>
      <c r="K923" t="s">
        <v>138</v>
      </c>
      <c r="L923" s="2" t="s">
        <v>37</v>
      </c>
      <c r="M923" t="str">
        <f>TEXT(Table13[[#This Row],[Order Date]],"MMM")</f>
        <v>Oct</v>
      </c>
      <c r="N923">
        <f>YEAR(Table13[[#This Row],[Order Date]])</f>
        <v>2021</v>
      </c>
      <c r="O923" t="str">
        <f>"Q"&amp;ROUNDUP(MONTH(Table13[[#This Row],[Order Date]])/3,0)</f>
        <v>Q4</v>
      </c>
      <c r="P923" s="5">
        <f>Table13[[#This Row],[Profit]]/Table13[[#This Row],[Amount]]</f>
        <v>0.12088028917712099</v>
      </c>
      <c r="Q923" s="6">
        <f>Table13[[#This Row],[Amount]]/Table13[[#This Row],[Quantity]]</f>
        <v>587.875</v>
      </c>
    </row>
    <row r="924" spans="1:17" x14ac:dyDescent="0.3">
      <c r="A924" t="s">
        <v>1081</v>
      </c>
      <c r="B924">
        <v>1156</v>
      </c>
      <c r="C924">
        <v>74</v>
      </c>
      <c r="D924">
        <v>15</v>
      </c>
      <c r="E924" t="s">
        <v>13</v>
      </c>
      <c r="F924" t="s">
        <v>28</v>
      </c>
      <c r="G924" t="s">
        <v>40</v>
      </c>
      <c r="H924" s="1">
        <v>44489</v>
      </c>
      <c r="I924" t="s">
        <v>1082</v>
      </c>
      <c r="J924" t="s">
        <v>71</v>
      </c>
      <c r="K924" t="s">
        <v>138</v>
      </c>
      <c r="L924" s="2" t="s">
        <v>37</v>
      </c>
      <c r="M924" t="str">
        <f>TEXT(Table13[[#This Row],[Order Date]],"MMM")</f>
        <v>Oct</v>
      </c>
      <c r="N924">
        <f>YEAR(Table13[[#This Row],[Order Date]])</f>
        <v>2021</v>
      </c>
      <c r="O924" t="str">
        <f>"Q"&amp;ROUNDUP(MONTH(Table13[[#This Row],[Order Date]])/3,0)</f>
        <v>Q4</v>
      </c>
      <c r="P924" s="5">
        <f>Table13[[#This Row],[Profit]]/Table13[[#This Row],[Amount]]</f>
        <v>6.4013840830449822E-2</v>
      </c>
      <c r="Q924" s="6">
        <f>Table13[[#This Row],[Amount]]/Table13[[#This Row],[Quantity]]</f>
        <v>77.066666666666663</v>
      </c>
    </row>
    <row r="925" spans="1:17" x14ac:dyDescent="0.3">
      <c r="A925" t="s">
        <v>1083</v>
      </c>
      <c r="B925">
        <v>5354</v>
      </c>
      <c r="C925">
        <v>743</v>
      </c>
      <c r="D925">
        <v>10</v>
      </c>
      <c r="E925" t="s">
        <v>45</v>
      </c>
      <c r="F925" t="s">
        <v>109</v>
      </c>
      <c r="G925" t="s">
        <v>15</v>
      </c>
      <c r="H925" s="1">
        <v>44488</v>
      </c>
      <c r="I925" t="s">
        <v>1084</v>
      </c>
      <c r="J925" t="s">
        <v>21</v>
      </c>
      <c r="K925" t="s">
        <v>63</v>
      </c>
      <c r="L925" s="2" t="s">
        <v>37</v>
      </c>
      <c r="M925" t="str">
        <f>TEXT(Table13[[#This Row],[Order Date]],"MMM")</f>
        <v>Oct</v>
      </c>
      <c r="N925">
        <f>YEAR(Table13[[#This Row],[Order Date]])</f>
        <v>2021</v>
      </c>
      <c r="O925" t="str">
        <f>"Q"&amp;ROUNDUP(MONTH(Table13[[#This Row],[Order Date]])/3,0)</f>
        <v>Q4</v>
      </c>
      <c r="P925" s="5">
        <f>Table13[[#This Row],[Profit]]/Table13[[#This Row],[Amount]]</f>
        <v>0.13877474785207322</v>
      </c>
      <c r="Q925" s="6">
        <f>Table13[[#This Row],[Amount]]/Table13[[#This Row],[Quantity]]</f>
        <v>535.4</v>
      </c>
    </row>
    <row r="926" spans="1:17" x14ac:dyDescent="0.3">
      <c r="A926" t="s">
        <v>1085</v>
      </c>
      <c r="B926">
        <v>8780</v>
      </c>
      <c r="C926">
        <v>3430</v>
      </c>
      <c r="D926">
        <v>4</v>
      </c>
      <c r="E926" t="s">
        <v>13</v>
      </c>
      <c r="F926" t="s">
        <v>14</v>
      </c>
      <c r="G926" t="s">
        <v>47</v>
      </c>
      <c r="H926" s="1">
        <v>45480</v>
      </c>
      <c r="I926" t="s">
        <v>1086</v>
      </c>
      <c r="J926" t="s">
        <v>71</v>
      </c>
      <c r="K926" t="s">
        <v>86</v>
      </c>
      <c r="L926" s="2" t="s">
        <v>215</v>
      </c>
      <c r="M926" t="str">
        <f>TEXT(Table13[[#This Row],[Order Date]],"MMM")</f>
        <v>Jul</v>
      </c>
      <c r="N926">
        <f>YEAR(Table13[[#This Row],[Order Date]])</f>
        <v>2024</v>
      </c>
      <c r="O926" t="str">
        <f>"Q"&amp;ROUNDUP(MONTH(Table13[[#This Row],[Order Date]])/3,0)</f>
        <v>Q3</v>
      </c>
      <c r="P926" s="5">
        <f>Table13[[#This Row],[Profit]]/Table13[[#This Row],[Amount]]</f>
        <v>0.39066059225512528</v>
      </c>
      <c r="Q926" s="6">
        <f>Table13[[#This Row],[Amount]]/Table13[[#This Row],[Quantity]]</f>
        <v>2195</v>
      </c>
    </row>
    <row r="927" spans="1:17" x14ac:dyDescent="0.3">
      <c r="A927" t="s">
        <v>1085</v>
      </c>
      <c r="B927">
        <v>8780</v>
      </c>
      <c r="C927">
        <v>3430</v>
      </c>
      <c r="D927">
        <v>4</v>
      </c>
      <c r="E927" t="s">
        <v>13</v>
      </c>
      <c r="F927" t="s">
        <v>14</v>
      </c>
      <c r="G927" t="s">
        <v>47</v>
      </c>
      <c r="H927" s="1">
        <v>45132</v>
      </c>
      <c r="I927" t="s">
        <v>1087</v>
      </c>
      <c r="J927" t="s">
        <v>71</v>
      </c>
      <c r="K927" t="s">
        <v>86</v>
      </c>
      <c r="L927" s="2" t="s">
        <v>105</v>
      </c>
      <c r="M927" t="str">
        <f>TEXT(Table13[[#This Row],[Order Date]],"MMM")</f>
        <v>Jul</v>
      </c>
      <c r="N927">
        <f>YEAR(Table13[[#This Row],[Order Date]])</f>
        <v>2023</v>
      </c>
      <c r="O927" t="str">
        <f>"Q"&amp;ROUNDUP(MONTH(Table13[[#This Row],[Order Date]])/3,0)</f>
        <v>Q3</v>
      </c>
      <c r="P927" s="5">
        <f>Table13[[#This Row],[Profit]]/Table13[[#This Row],[Amount]]</f>
        <v>0.39066059225512528</v>
      </c>
      <c r="Q927" s="6">
        <f>Table13[[#This Row],[Amount]]/Table13[[#This Row],[Quantity]]</f>
        <v>2195</v>
      </c>
    </row>
    <row r="928" spans="1:17" x14ac:dyDescent="0.3">
      <c r="A928" t="s">
        <v>1088</v>
      </c>
      <c r="B928">
        <v>6783</v>
      </c>
      <c r="C928">
        <v>3306</v>
      </c>
      <c r="D928">
        <v>8</v>
      </c>
      <c r="E928" t="s">
        <v>45</v>
      </c>
      <c r="F928" t="s">
        <v>60</v>
      </c>
      <c r="G928" t="s">
        <v>32</v>
      </c>
      <c r="H928" s="1">
        <v>43937</v>
      </c>
      <c r="I928" t="s">
        <v>1089</v>
      </c>
      <c r="J928" t="s">
        <v>98</v>
      </c>
      <c r="K928" t="s">
        <v>99</v>
      </c>
      <c r="L928" s="2" t="s">
        <v>162</v>
      </c>
      <c r="M928" t="str">
        <f>TEXT(Table13[[#This Row],[Order Date]],"MMM")</f>
        <v>Apr</v>
      </c>
      <c r="N928">
        <f>YEAR(Table13[[#This Row],[Order Date]])</f>
        <v>2020</v>
      </c>
      <c r="O928" t="str">
        <f>"Q"&amp;ROUNDUP(MONTH(Table13[[#This Row],[Order Date]])/3,0)</f>
        <v>Q2</v>
      </c>
      <c r="P928" s="5">
        <f>Table13[[#This Row],[Profit]]/Table13[[#This Row],[Amount]]</f>
        <v>0.48739495798319327</v>
      </c>
      <c r="Q928" s="6">
        <f>Table13[[#This Row],[Amount]]/Table13[[#This Row],[Quantity]]</f>
        <v>847.875</v>
      </c>
    </row>
    <row r="929" spans="1:17" x14ac:dyDescent="0.3">
      <c r="A929" t="s">
        <v>1090</v>
      </c>
      <c r="B929">
        <v>1778</v>
      </c>
      <c r="C929">
        <v>285</v>
      </c>
      <c r="D929">
        <v>4</v>
      </c>
      <c r="E929" t="s">
        <v>30</v>
      </c>
      <c r="F929" t="s">
        <v>31</v>
      </c>
      <c r="G929" t="s">
        <v>47</v>
      </c>
      <c r="H929" s="1">
        <v>44016</v>
      </c>
      <c r="I929" t="s">
        <v>1091</v>
      </c>
      <c r="J929" t="s">
        <v>25</v>
      </c>
      <c r="K929" t="s">
        <v>51</v>
      </c>
      <c r="L929" s="2" t="s">
        <v>462</v>
      </c>
      <c r="M929" t="str">
        <f>TEXT(Table13[[#This Row],[Order Date]],"MMM")</f>
        <v>Jul</v>
      </c>
      <c r="N929">
        <f>YEAR(Table13[[#This Row],[Order Date]])</f>
        <v>2020</v>
      </c>
      <c r="O929" t="str">
        <f>"Q"&amp;ROUNDUP(MONTH(Table13[[#This Row],[Order Date]])/3,0)</f>
        <v>Q3</v>
      </c>
      <c r="P929" s="5">
        <f>Table13[[#This Row],[Profit]]/Table13[[#This Row],[Amount]]</f>
        <v>0.16029246344206974</v>
      </c>
      <c r="Q929" s="6">
        <f>Table13[[#This Row],[Amount]]/Table13[[#This Row],[Quantity]]</f>
        <v>444.5</v>
      </c>
    </row>
    <row r="930" spans="1:17" x14ac:dyDescent="0.3">
      <c r="A930" t="s">
        <v>1092</v>
      </c>
      <c r="B930">
        <v>9399</v>
      </c>
      <c r="C930">
        <v>1949</v>
      </c>
      <c r="D930">
        <v>12</v>
      </c>
      <c r="E930" t="s">
        <v>13</v>
      </c>
      <c r="F930" t="s">
        <v>28</v>
      </c>
      <c r="G930" t="s">
        <v>15</v>
      </c>
      <c r="H930" s="1">
        <v>44697</v>
      </c>
      <c r="I930" t="s">
        <v>1093</v>
      </c>
      <c r="J930" t="s">
        <v>25</v>
      </c>
      <c r="K930" t="s">
        <v>68</v>
      </c>
      <c r="L930" s="2" t="s">
        <v>180</v>
      </c>
      <c r="M930" t="str">
        <f>TEXT(Table13[[#This Row],[Order Date]],"MMM")</f>
        <v>May</v>
      </c>
      <c r="N930">
        <f>YEAR(Table13[[#This Row],[Order Date]])</f>
        <v>2022</v>
      </c>
      <c r="O930" t="str">
        <f>"Q"&amp;ROUNDUP(MONTH(Table13[[#This Row],[Order Date]])/3,0)</f>
        <v>Q2</v>
      </c>
      <c r="P930" s="5">
        <f>Table13[[#This Row],[Profit]]/Table13[[#This Row],[Amount]]</f>
        <v>0.20736248537078414</v>
      </c>
      <c r="Q930" s="6">
        <f>Table13[[#This Row],[Amount]]/Table13[[#This Row],[Quantity]]</f>
        <v>783.25</v>
      </c>
    </row>
    <row r="931" spans="1:17" x14ac:dyDescent="0.3">
      <c r="A931" t="s">
        <v>1092</v>
      </c>
      <c r="B931">
        <v>7957</v>
      </c>
      <c r="C931">
        <v>965</v>
      </c>
      <c r="D931">
        <v>4</v>
      </c>
      <c r="E931" t="s">
        <v>45</v>
      </c>
      <c r="F931" t="s">
        <v>60</v>
      </c>
      <c r="G931" t="s">
        <v>47</v>
      </c>
      <c r="H931" s="1">
        <v>44697</v>
      </c>
      <c r="I931" t="s">
        <v>1093</v>
      </c>
      <c r="J931" t="s">
        <v>25</v>
      </c>
      <c r="K931" t="s">
        <v>68</v>
      </c>
      <c r="L931" s="2" t="s">
        <v>180</v>
      </c>
      <c r="M931" t="str">
        <f>TEXT(Table13[[#This Row],[Order Date]],"MMM")</f>
        <v>May</v>
      </c>
      <c r="N931">
        <f>YEAR(Table13[[#This Row],[Order Date]])</f>
        <v>2022</v>
      </c>
      <c r="O931" t="str">
        <f>"Q"&amp;ROUNDUP(MONTH(Table13[[#This Row],[Order Date]])/3,0)</f>
        <v>Q2</v>
      </c>
      <c r="P931" s="5">
        <f>Table13[[#This Row],[Profit]]/Table13[[#This Row],[Amount]]</f>
        <v>0.12127686313937414</v>
      </c>
      <c r="Q931" s="6">
        <f>Table13[[#This Row],[Amount]]/Table13[[#This Row],[Quantity]]</f>
        <v>1989.25</v>
      </c>
    </row>
    <row r="932" spans="1:17" x14ac:dyDescent="0.3">
      <c r="A932" t="s">
        <v>1094</v>
      </c>
      <c r="B932">
        <v>1638</v>
      </c>
      <c r="C932">
        <v>661</v>
      </c>
      <c r="D932">
        <v>13</v>
      </c>
      <c r="E932" t="s">
        <v>45</v>
      </c>
      <c r="F932" t="s">
        <v>49</v>
      </c>
      <c r="G932" t="s">
        <v>40</v>
      </c>
      <c r="H932" s="1">
        <v>45255</v>
      </c>
      <c r="I932" t="s">
        <v>1095</v>
      </c>
      <c r="J932" t="s">
        <v>21</v>
      </c>
      <c r="K932" t="s">
        <v>63</v>
      </c>
      <c r="L932" s="2" t="s">
        <v>52</v>
      </c>
      <c r="M932" t="str">
        <f>TEXT(Table13[[#This Row],[Order Date]],"MMM")</f>
        <v>Nov</v>
      </c>
      <c r="N932">
        <f>YEAR(Table13[[#This Row],[Order Date]])</f>
        <v>2023</v>
      </c>
      <c r="O932" t="str">
        <f>"Q"&amp;ROUNDUP(MONTH(Table13[[#This Row],[Order Date]])/3,0)</f>
        <v>Q4</v>
      </c>
      <c r="P932" s="5">
        <f>Table13[[#This Row],[Profit]]/Table13[[#This Row],[Amount]]</f>
        <v>0.40354090354090355</v>
      </c>
      <c r="Q932" s="6">
        <f>Table13[[#This Row],[Amount]]/Table13[[#This Row],[Quantity]]</f>
        <v>126</v>
      </c>
    </row>
    <row r="933" spans="1:17" x14ac:dyDescent="0.3">
      <c r="A933" t="s">
        <v>1096</v>
      </c>
      <c r="B933">
        <v>1786</v>
      </c>
      <c r="C933">
        <v>224</v>
      </c>
      <c r="D933">
        <v>4</v>
      </c>
      <c r="E933" t="s">
        <v>45</v>
      </c>
      <c r="F933" t="s">
        <v>46</v>
      </c>
      <c r="G933" t="s">
        <v>65</v>
      </c>
      <c r="H933" s="1">
        <v>44425</v>
      </c>
      <c r="I933" t="s">
        <v>1097</v>
      </c>
      <c r="J933" t="s">
        <v>71</v>
      </c>
      <c r="K933" t="s">
        <v>72</v>
      </c>
      <c r="L933" s="2" t="s">
        <v>178</v>
      </c>
      <c r="M933" t="str">
        <f>TEXT(Table13[[#This Row],[Order Date]],"MMM")</f>
        <v>Aug</v>
      </c>
      <c r="N933">
        <f>YEAR(Table13[[#This Row],[Order Date]])</f>
        <v>2021</v>
      </c>
      <c r="O933" t="str">
        <f>"Q"&amp;ROUNDUP(MONTH(Table13[[#This Row],[Order Date]])/3,0)</f>
        <v>Q3</v>
      </c>
      <c r="P933" s="5">
        <f>Table13[[#This Row],[Profit]]/Table13[[#This Row],[Amount]]</f>
        <v>0.12541993281075028</v>
      </c>
      <c r="Q933" s="6">
        <f>Table13[[#This Row],[Amount]]/Table13[[#This Row],[Quantity]]</f>
        <v>446.5</v>
      </c>
    </row>
    <row r="934" spans="1:17" x14ac:dyDescent="0.3">
      <c r="A934" t="s">
        <v>1098</v>
      </c>
      <c r="B934">
        <v>4751</v>
      </c>
      <c r="C934">
        <v>781</v>
      </c>
      <c r="D934">
        <v>9</v>
      </c>
      <c r="E934" t="s">
        <v>30</v>
      </c>
      <c r="F934" t="s">
        <v>64</v>
      </c>
      <c r="G934" t="s">
        <v>40</v>
      </c>
      <c r="H934" s="1">
        <v>45109</v>
      </c>
      <c r="I934" t="s">
        <v>1099</v>
      </c>
      <c r="J934" t="s">
        <v>25</v>
      </c>
      <c r="K934" t="s">
        <v>26</v>
      </c>
      <c r="L934" s="2" t="s">
        <v>105</v>
      </c>
      <c r="M934" t="str">
        <f>TEXT(Table13[[#This Row],[Order Date]],"MMM")</f>
        <v>Jul</v>
      </c>
      <c r="N934">
        <f>YEAR(Table13[[#This Row],[Order Date]])</f>
        <v>2023</v>
      </c>
      <c r="O934" t="str">
        <f>"Q"&amp;ROUNDUP(MONTH(Table13[[#This Row],[Order Date]])/3,0)</f>
        <v>Q3</v>
      </c>
      <c r="P934" s="5">
        <f>Table13[[#This Row],[Profit]]/Table13[[#This Row],[Amount]]</f>
        <v>0.16438644495895602</v>
      </c>
      <c r="Q934" s="6">
        <f>Table13[[#This Row],[Amount]]/Table13[[#This Row],[Quantity]]</f>
        <v>527.88888888888891</v>
      </c>
    </row>
    <row r="935" spans="1:17" x14ac:dyDescent="0.3">
      <c r="A935" t="s">
        <v>1100</v>
      </c>
      <c r="B935">
        <v>8979</v>
      </c>
      <c r="C935">
        <v>4477</v>
      </c>
      <c r="D935">
        <v>4</v>
      </c>
      <c r="E935" t="s">
        <v>30</v>
      </c>
      <c r="F935" t="s">
        <v>64</v>
      </c>
      <c r="G935" t="s">
        <v>47</v>
      </c>
      <c r="H935" s="1">
        <v>44067</v>
      </c>
      <c r="I935" t="s">
        <v>1101</v>
      </c>
      <c r="J935" t="s">
        <v>21</v>
      </c>
      <c r="K935" t="s">
        <v>22</v>
      </c>
      <c r="L935" s="2" t="s">
        <v>185</v>
      </c>
      <c r="M935" t="str">
        <f>TEXT(Table13[[#This Row],[Order Date]],"MMM")</f>
        <v>Aug</v>
      </c>
      <c r="N935">
        <f>YEAR(Table13[[#This Row],[Order Date]])</f>
        <v>2020</v>
      </c>
      <c r="O935" t="str">
        <f>"Q"&amp;ROUNDUP(MONTH(Table13[[#This Row],[Order Date]])/3,0)</f>
        <v>Q3</v>
      </c>
      <c r="P935" s="5">
        <f>Table13[[#This Row],[Profit]]/Table13[[#This Row],[Amount]]</f>
        <v>0.4986078627909567</v>
      </c>
      <c r="Q935" s="6">
        <f>Table13[[#This Row],[Amount]]/Table13[[#This Row],[Quantity]]</f>
        <v>2244.75</v>
      </c>
    </row>
    <row r="936" spans="1:17" x14ac:dyDescent="0.3">
      <c r="A936" t="s">
        <v>1102</v>
      </c>
      <c r="B936">
        <v>2727</v>
      </c>
      <c r="C936">
        <v>663</v>
      </c>
      <c r="D936">
        <v>8</v>
      </c>
      <c r="E936" t="s">
        <v>13</v>
      </c>
      <c r="F936" t="s">
        <v>82</v>
      </c>
      <c r="G936" t="s">
        <v>47</v>
      </c>
      <c r="H936" s="1">
        <v>44872</v>
      </c>
      <c r="I936" t="s">
        <v>1103</v>
      </c>
      <c r="J936" t="s">
        <v>17</v>
      </c>
      <c r="K936" t="s">
        <v>18</v>
      </c>
      <c r="L936" s="2" t="s">
        <v>44</v>
      </c>
      <c r="M936" t="str">
        <f>TEXT(Table13[[#This Row],[Order Date]],"MMM")</f>
        <v>Nov</v>
      </c>
      <c r="N936">
        <f>YEAR(Table13[[#This Row],[Order Date]])</f>
        <v>2022</v>
      </c>
      <c r="O936" t="str">
        <f>"Q"&amp;ROUNDUP(MONTH(Table13[[#This Row],[Order Date]])/3,0)</f>
        <v>Q4</v>
      </c>
      <c r="P936" s="5">
        <f>Table13[[#This Row],[Profit]]/Table13[[#This Row],[Amount]]</f>
        <v>0.24312431243124313</v>
      </c>
      <c r="Q936" s="6">
        <f>Table13[[#This Row],[Amount]]/Table13[[#This Row],[Quantity]]</f>
        <v>340.875</v>
      </c>
    </row>
    <row r="937" spans="1:17" x14ac:dyDescent="0.3">
      <c r="A937" t="s">
        <v>1104</v>
      </c>
      <c r="B937">
        <v>1093</v>
      </c>
      <c r="C937">
        <v>397</v>
      </c>
      <c r="D937">
        <v>17</v>
      </c>
      <c r="E937" t="s">
        <v>13</v>
      </c>
      <c r="F937" t="s">
        <v>28</v>
      </c>
      <c r="G937" t="s">
        <v>47</v>
      </c>
      <c r="H937" s="1">
        <v>45378</v>
      </c>
      <c r="I937" t="s">
        <v>1105</v>
      </c>
      <c r="J937" t="s">
        <v>21</v>
      </c>
      <c r="K937" t="s">
        <v>172</v>
      </c>
      <c r="L937" s="2" t="s">
        <v>338</v>
      </c>
      <c r="M937" t="str">
        <f>TEXT(Table13[[#This Row],[Order Date]],"MMM")</f>
        <v>Mar</v>
      </c>
      <c r="N937">
        <f>YEAR(Table13[[#This Row],[Order Date]])</f>
        <v>2024</v>
      </c>
      <c r="O937" t="str">
        <f>"Q"&amp;ROUNDUP(MONTH(Table13[[#This Row],[Order Date]])/3,0)</f>
        <v>Q1</v>
      </c>
      <c r="P937" s="5">
        <f>Table13[[#This Row],[Profit]]/Table13[[#This Row],[Amount]]</f>
        <v>0.36322049405306495</v>
      </c>
      <c r="Q937" s="6">
        <f>Table13[[#This Row],[Amount]]/Table13[[#This Row],[Quantity]]</f>
        <v>64.294117647058826</v>
      </c>
    </row>
    <row r="938" spans="1:17" x14ac:dyDescent="0.3">
      <c r="A938" t="s">
        <v>1104</v>
      </c>
      <c r="B938">
        <v>1093</v>
      </c>
      <c r="C938">
        <v>397</v>
      </c>
      <c r="D938">
        <v>17</v>
      </c>
      <c r="E938" t="s">
        <v>13</v>
      </c>
      <c r="F938" t="s">
        <v>28</v>
      </c>
      <c r="G938" t="s">
        <v>47</v>
      </c>
      <c r="H938" s="1">
        <v>45536</v>
      </c>
      <c r="I938" t="s">
        <v>1106</v>
      </c>
      <c r="J938" t="s">
        <v>25</v>
      </c>
      <c r="K938" t="s">
        <v>26</v>
      </c>
      <c r="L938" s="2" t="s">
        <v>159</v>
      </c>
      <c r="M938" t="str">
        <f>TEXT(Table13[[#This Row],[Order Date]],"MMM")</f>
        <v>Sep</v>
      </c>
      <c r="N938">
        <f>YEAR(Table13[[#This Row],[Order Date]])</f>
        <v>2024</v>
      </c>
      <c r="O938" t="str">
        <f>"Q"&amp;ROUNDUP(MONTH(Table13[[#This Row],[Order Date]])/3,0)</f>
        <v>Q3</v>
      </c>
      <c r="P938" s="5">
        <f>Table13[[#This Row],[Profit]]/Table13[[#This Row],[Amount]]</f>
        <v>0.36322049405306495</v>
      </c>
      <c r="Q938" s="6">
        <f>Table13[[#This Row],[Amount]]/Table13[[#This Row],[Quantity]]</f>
        <v>64.294117647058826</v>
      </c>
    </row>
    <row r="939" spans="1:17" x14ac:dyDescent="0.3">
      <c r="A939" t="s">
        <v>1104</v>
      </c>
      <c r="B939">
        <v>1093</v>
      </c>
      <c r="C939">
        <v>397</v>
      </c>
      <c r="D939">
        <v>17</v>
      </c>
      <c r="E939" t="s">
        <v>13</v>
      </c>
      <c r="F939" t="s">
        <v>28</v>
      </c>
      <c r="G939" t="s">
        <v>47</v>
      </c>
      <c r="H939" s="1">
        <v>44614</v>
      </c>
      <c r="I939" t="s">
        <v>1107</v>
      </c>
      <c r="J939" t="s">
        <v>98</v>
      </c>
      <c r="K939" t="s">
        <v>99</v>
      </c>
      <c r="L939" s="2" t="s">
        <v>137</v>
      </c>
      <c r="M939" t="str">
        <f>TEXT(Table13[[#This Row],[Order Date]],"MMM")</f>
        <v>Feb</v>
      </c>
      <c r="N939">
        <f>YEAR(Table13[[#This Row],[Order Date]])</f>
        <v>2022</v>
      </c>
      <c r="O939" t="str">
        <f>"Q"&amp;ROUNDUP(MONTH(Table13[[#This Row],[Order Date]])/3,0)</f>
        <v>Q1</v>
      </c>
      <c r="P939" s="5">
        <f>Table13[[#This Row],[Profit]]/Table13[[#This Row],[Amount]]</f>
        <v>0.36322049405306495</v>
      </c>
      <c r="Q939" s="6">
        <f>Table13[[#This Row],[Amount]]/Table13[[#This Row],[Quantity]]</f>
        <v>64.294117647058826</v>
      </c>
    </row>
    <row r="940" spans="1:17" x14ac:dyDescent="0.3">
      <c r="A940" t="s">
        <v>1104</v>
      </c>
      <c r="B940">
        <v>2636</v>
      </c>
      <c r="C940">
        <v>88</v>
      </c>
      <c r="D940">
        <v>11</v>
      </c>
      <c r="E940" t="s">
        <v>30</v>
      </c>
      <c r="F940" t="s">
        <v>64</v>
      </c>
      <c r="G940" t="s">
        <v>32</v>
      </c>
      <c r="H940" s="1">
        <v>45378</v>
      </c>
      <c r="I940" t="s">
        <v>1105</v>
      </c>
      <c r="J940" t="s">
        <v>21</v>
      </c>
      <c r="K940" t="s">
        <v>172</v>
      </c>
      <c r="L940" s="2" t="s">
        <v>338</v>
      </c>
      <c r="M940" t="str">
        <f>TEXT(Table13[[#This Row],[Order Date]],"MMM")</f>
        <v>Mar</v>
      </c>
      <c r="N940">
        <f>YEAR(Table13[[#This Row],[Order Date]])</f>
        <v>2024</v>
      </c>
      <c r="O940" t="str">
        <f>"Q"&amp;ROUNDUP(MONTH(Table13[[#This Row],[Order Date]])/3,0)</f>
        <v>Q1</v>
      </c>
      <c r="P940" s="5">
        <f>Table13[[#This Row],[Profit]]/Table13[[#This Row],[Amount]]</f>
        <v>3.3383915022761758E-2</v>
      </c>
      <c r="Q940" s="6">
        <f>Table13[[#This Row],[Amount]]/Table13[[#This Row],[Quantity]]</f>
        <v>239.63636363636363</v>
      </c>
    </row>
    <row r="941" spans="1:17" x14ac:dyDescent="0.3">
      <c r="A941" t="s">
        <v>1104</v>
      </c>
      <c r="B941">
        <v>2636</v>
      </c>
      <c r="C941">
        <v>88</v>
      </c>
      <c r="D941">
        <v>11</v>
      </c>
      <c r="E941" t="s">
        <v>30</v>
      </c>
      <c r="F941" t="s">
        <v>64</v>
      </c>
      <c r="G941" t="s">
        <v>32</v>
      </c>
      <c r="H941" s="1">
        <v>45536</v>
      </c>
      <c r="I941" t="s">
        <v>1106</v>
      </c>
      <c r="J941" t="s">
        <v>25</v>
      </c>
      <c r="K941" t="s">
        <v>26</v>
      </c>
      <c r="L941" s="2" t="s">
        <v>159</v>
      </c>
      <c r="M941" t="str">
        <f>TEXT(Table13[[#This Row],[Order Date]],"MMM")</f>
        <v>Sep</v>
      </c>
      <c r="N941">
        <f>YEAR(Table13[[#This Row],[Order Date]])</f>
        <v>2024</v>
      </c>
      <c r="O941" t="str">
        <f>"Q"&amp;ROUNDUP(MONTH(Table13[[#This Row],[Order Date]])/3,0)</f>
        <v>Q3</v>
      </c>
      <c r="P941" s="5">
        <f>Table13[[#This Row],[Profit]]/Table13[[#This Row],[Amount]]</f>
        <v>3.3383915022761758E-2</v>
      </c>
      <c r="Q941" s="6">
        <f>Table13[[#This Row],[Amount]]/Table13[[#This Row],[Quantity]]</f>
        <v>239.63636363636363</v>
      </c>
    </row>
    <row r="942" spans="1:17" x14ac:dyDescent="0.3">
      <c r="A942" t="s">
        <v>1104</v>
      </c>
      <c r="B942">
        <v>2636</v>
      </c>
      <c r="C942">
        <v>88</v>
      </c>
      <c r="D942">
        <v>11</v>
      </c>
      <c r="E942" t="s">
        <v>30</v>
      </c>
      <c r="F942" t="s">
        <v>64</v>
      </c>
      <c r="G942" t="s">
        <v>32</v>
      </c>
      <c r="H942" s="1">
        <v>44614</v>
      </c>
      <c r="I942" t="s">
        <v>1107</v>
      </c>
      <c r="J942" t="s">
        <v>98</v>
      </c>
      <c r="K942" t="s">
        <v>99</v>
      </c>
      <c r="L942" s="2" t="s">
        <v>137</v>
      </c>
      <c r="M942" t="str">
        <f>TEXT(Table13[[#This Row],[Order Date]],"MMM")</f>
        <v>Feb</v>
      </c>
      <c r="N942">
        <f>YEAR(Table13[[#This Row],[Order Date]])</f>
        <v>2022</v>
      </c>
      <c r="O942" t="str">
        <f>"Q"&amp;ROUNDUP(MONTH(Table13[[#This Row],[Order Date]])/3,0)</f>
        <v>Q1</v>
      </c>
      <c r="P942" s="5">
        <f>Table13[[#This Row],[Profit]]/Table13[[#This Row],[Amount]]</f>
        <v>3.3383915022761758E-2</v>
      </c>
      <c r="Q942" s="6">
        <f>Table13[[#This Row],[Amount]]/Table13[[#This Row],[Quantity]]</f>
        <v>239.63636363636363</v>
      </c>
    </row>
    <row r="943" spans="1:17" x14ac:dyDescent="0.3">
      <c r="A943" t="s">
        <v>1108</v>
      </c>
      <c r="B943">
        <v>7344</v>
      </c>
      <c r="C943">
        <v>2251</v>
      </c>
      <c r="D943">
        <v>7</v>
      </c>
      <c r="E943" t="s">
        <v>13</v>
      </c>
      <c r="F943" t="s">
        <v>14</v>
      </c>
      <c r="G943" t="s">
        <v>32</v>
      </c>
      <c r="H943" s="1">
        <v>44603</v>
      </c>
      <c r="I943" t="s">
        <v>1109</v>
      </c>
      <c r="J943" t="s">
        <v>17</v>
      </c>
      <c r="K943" t="s">
        <v>18</v>
      </c>
      <c r="L943" s="2" t="s">
        <v>137</v>
      </c>
      <c r="M943" t="str">
        <f>TEXT(Table13[[#This Row],[Order Date]],"MMM")</f>
        <v>Feb</v>
      </c>
      <c r="N943">
        <f>YEAR(Table13[[#This Row],[Order Date]])</f>
        <v>2022</v>
      </c>
      <c r="O943" t="str">
        <f>"Q"&amp;ROUNDUP(MONTH(Table13[[#This Row],[Order Date]])/3,0)</f>
        <v>Q1</v>
      </c>
      <c r="P943" s="5">
        <f>Table13[[#This Row],[Profit]]/Table13[[#This Row],[Amount]]</f>
        <v>0.30650871459694989</v>
      </c>
      <c r="Q943" s="6">
        <f>Table13[[#This Row],[Amount]]/Table13[[#This Row],[Quantity]]</f>
        <v>1049.1428571428571</v>
      </c>
    </row>
    <row r="944" spans="1:17" x14ac:dyDescent="0.3">
      <c r="A944" t="s">
        <v>1108</v>
      </c>
      <c r="B944">
        <v>7306</v>
      </c>
      <c r="C944">
        <v>1547</v>
      </c>
      <c r="D944">
        <v>3</v>
      </c>
      <c r="E944" t="s">
        <v>30</v>
      </c>
      <c r="F944" t="s">
        <v>64</v>
      </c>
      <c r="G944" t="s">
        <v>65</v>
      </c>
      <c r="H944" s="1">
        <v>44603</v>
      </c>
      <c r="I944" t="s">
        <v>1109</v>
      </c>
      <c r="J944" t="s">
        <v>17</v>
      </c>
      <c r="K944" t="s">
        <v>18</v>
      </c>
      <c r="L944" s="2" t="s">
        <v>137</v>
      </c>
      <c r="M944" t="str">
        <f>TEXT(Table13[[#This Row],[Order Date]],"MMM")</f>
        <v>Feb</v>
      </c>
      <c r="N944">
        <f>YEAR(Table13[[#This Row],[Order Date]])</f>
        <v>2022</v>
      </c>
      <c r="O944" t="str">
        <f>"Q"&amp;ROUNDUP(MONTH(Table13[[#This Row],[Order Date]])/3,0)</f>
        <v>Q1</v>
      </c>
      <c r="P944" s="5">
        <f>Table13[[#This Row],[Profit]]/Table13[[#This Row],[Amount]]</f>
        <v>0.21174377224199289</v>
      </c>
      <c r="Q944" s="6">
        <f>Table13[[#This Row],[Amount]]/Table13[[#This Row],[Quantity]]</f>
        <v>2435.3333333333335</v>
      </c>
    </row>
    <row r="945" spans="1:17" x14ac:dyDescent="0.3">
      <c r="A945" t="s">
        <v>1108</v>
      </c>
      <c r="B945">
        <v>5832</v>
      </c>
      <c r="C945">
        <v>2588</v>
      </c>
      <c r="D945">
        <v>10</v>
      </c>
      <c r="E945" t="s">
        <v>13</v>
      </c>
      <c r="F945" t="s">
        <v>28</v>
      </c>
      <c r="G945" t="s">
        <v>65</v>
      </c>
      <c r="H945" s="1">
        <v>44603</v>
      </c>
      <c r="I945" t="s">
        <v>1109</v>
      </c>
      <c r="J945" t="s">
        <v>17</v>
      </c>
      <c r="K945" t="s">
        <v>18</v>
      </c>
      <c r="L945" s="2" t="s">
        <v>137</v>
      </c>
      <c r="M945" t="str">
        <f>TEXT(Table13[[#This Row],[Order Date]],"MMM")</f>
        <v>Feb</v>
      </c>
      <c r="N945">
        <f>YEAR(Table13[[#This Row],[Order Date]])</f>
        <v>2022</v>
      </c>
      <c r="O945" t="str">
        <f>"Q"&amp;ROUNDUP(MONTH(Table13[[#This Row],[Order Date]])/3,0)</f>
        <v>Q1</v>
      </c>
      <c r="P945" s="5">
        <f>Table13[[#This Row],[Profit]]/Table13[[#This Row],[Amount]]</f>
        <v>0.44375857338820301</v>
      </c>
      <c r="Q945" s="6">
        <f>Table13[[#This Row],[Amount]]/Table13[[#This Row],[Quantity]]</f>
        <v>583.20000000000005</v>
      </c>
    </row>
    <row r="946" spans="1:17" x14ac:dyDescent="0.3">
      <c r="A946" t="s">
        <v>1110</v>
      </c>
      <c r="B946">
        <v>8572</v>
      </c>
      <c r="C946">
        <v>2041</v>
      </c>
      <c r="D946">
        <v>8</v>
      </c>
      <c r="E946" t="s">
        <v>45</v>
      </c>
      <c r="F946" t="s">
        <v>46</v>
      </c>
      <c r="G946" t="s">
        <v>40</v>
      </c>
      <c r="H946" s="1">
        <v>44343</v>
      </c>
      <c r="I946" t="s">
        <v>1111</v>
      </c>
      <c r="J946" t="s">
        <v>21</v>
      </c>
      <c r="K946" t="s">
        <v>63</v>
      </c>
      <c r="L946" s="2" t="s">
        <v>108</v>
      </c>
      <c r="M946" t="str">
        <f>TEXT(Table13[[#This Row],[Order Date]],"MMM")</f>
        <v>May</v>
      </c>
      <c r="N946">
        <f>YEAR(Table13[[#This Row],[Order Date]])</f>
        <v>2021</v>
      </c>
      <c r="O946" t="str">
        <f>"Q"&amp;ROUNDUP(MONTH(Table13[[#This Row],[Order Date]])/3,0)</f>
        <v>Q2</v>
      </c>
      <c r="P946" s="5">
        <f>Table13[[#This Row],[Profit]]/Table13[[#This Row],[Amount]]</f>
        <v>0.23810079328044798</v>
      </c>
      <c r="Q946" s="6">
        <f>Table13[[#This Row],[Amount]]/Table13[[#This Row],[Quantity]]</f>
        <v>1071.5</v>
      </c>
    </row>
    <row r="947" spans="1:17" x14ac:dyDescent="0.3">
      <c r="A947" t="s">
        <v>1110</v>
      </c>
      <c r="B947">
        <v>8572</v>
      </c>
      <c r="C947">
        <v>2041</v>
      </c>
      <c r="D947">
        <v>8</v>
      </c>
      <c r="E947" t="s">
        <v>45</v>
      </c>
      <c r="F947" t="s">
        <v>46</v>
      </c>
      <c r="G947" t="s">
        <v>40</v>
      </c>
      <c r="H947" s="1">
        <v>45112</v>
      </c>
      <c r="I947" t="s">
        <v>1112</v>
      </c>
      <c r="J947" t="s">
        <v>21</v>
      </c>
      <c r="K947" t="s">
        <v>63</v>
      </c>
      <c r="L947" s="2" t="s">
        <v>105</v>
      </c>
      <c r="M947" t="str">
        <f>TEXT(Table13[[#This Row],[Order Date]],"MMM")</f>
        <v>Jul</v>
      </c>
      <c r="N947">
        <f>YEAR(Table13[[#This Row],[Order Date]])</f>
        <v>2023</v>
      </c>
      <c r="O947" t="str">
        <f>"Q"&amp;ROUNDUP(MONTH(Table13[[#This Row],[Order Date]])/3,0)</f>
        <v>Q3</v>
      </c>
      <c r="P947" s="5">
        <f>Table13[[#This Row],[Profit]]/Table13[[#This Row],[Amount]]</f>
        <v>0.23810079328044798</v>
      </c>
      <c r="Q947" s="6">
        <f>Table13[[#This Row],[Amount]]/Table13[[#This Row],[Quantity]]</f>
        <v>1071.5</v>
      </c>
    </row>
    <row r="948" spans="1:17" x14ac:dyDescent="0.3">
      <c r="A948" t="s">
        <v>1110</v>
      </c>
      <c r="B948">
        <v>8572</v>
      </c>
      <c r="C948">
        <v>2041</v>
      </c>
      <c r="D948">
        <v>8</v>
      </c>
      <c r="E948" t="s">
        <v>45</v>
      </c>
      <c r="F948" t="s">
        <v>46</v>
      </c>
      <c r="G948" t="s">
        <v>40</v>
      </c>
      <c r="H948" s="1">
        <v>44131</v>
      </c>
      <c r="I948" t="s">
        <v>1113</v>
      </c>
      <c r="J948" t="s">
        <v>42</v>
      </c>
      <c r="K948" t="s">
        <v>75</v>
      </c>
      <c r="L948" s="2" t="s">
        <v>119</v>
      </c>
      <c r="M948" t="str">
        <f>TEXT(Table13[[#This Row],[Order Date]],"MMM")</f>
        <v>Oct</v>
      </c>
      <c r="N948">
        <f>YEAR(Table13[[#This Row],[Order Date]])</f>
        <v>2020</v>
      </c>
      <c r="O948" t="str">
        <f>"Q"&amp;ROUNDUP(MONTH(Table13[[#This Row],[Order Date]])/3,0)</f>
        <v>Q4</v>
      </c>
      <c r="P948" s="5">
        <f>Table13[[#This Row],[Profit]]/Table13[[#This Row],[Amount]]</f>
        <v>0.23810079328044798</v>
      </c>
      <c r="Q948" s="6">
        <f>Table13[[#This Row],[Amount]]/Table13[[#This Row],[Quantity]]</f>
        <v>1071.5</v>
      </c>
    </row>
    <row r="949" spans="1:17" x14ac:dyDescent="0.3">
      <c r="A949" t="s">
        <v>1110</v>
      </c>
      <c r="B949">
        <v>8059</v>
      </c>
      <c r="C949">
        <v>1834</v>
      </c>
      <c r="D949">
        <v>10</v>
      </c>
      <c r="E949" t="s">
        <v>13</v>
      </c>
      <c r="F949" t="s">
        <v>28</v>
      </c>
      <c r="G949" t="s">
        <v>47</v>
      </c>
      <c r="H949" s="1">
        <v>44343</v>
      </c>
      <c r="I949" t="s">
        <v>1111</v>
      </c>
      <c r="J949" t="s">
        <v>21</v>
      </c>
      <c r="K949" t="s">
        <v>63</v>
      </c>
      <c r="L949" s="2" t="s">
        <v>108</v>
      </c>
      <c r="M949" t="str">
        <f>TEXT(Table13[[#This Row],[Order Date]],"MMM")</f>
        <v>May</v>
      </c>
      <c r="N949">
        <f>YEAR(Table13[[#This Row],[Order Date]])</f>
        <v>2021</v>
      </c>
      <c r="O949" t="str">
        <f>"Q"&amp;ROUNDUP(MONTH(Table13[[#This Row],[Order Date]])/3,0)</f>
        <v>Q2</v>
      </c>
      <c r="P949" s="5">
        <f>Table13[[#This Row],[Profit]]/Table13[[#This Row],[Amount]]</f>
        <v>0.22757165901476609</v>
      </c>
      <c r="Q949" s="6">
        <f>Table13[[#This Row],[Amount]]/Table13[[#This Row],[Quantity]]</f>
        <v>805.9</v>
      </c>
    </row>
    <row r="950" spans="1:17" x14ac:dyDescent="0.3">
      <c r="A950" t="s">
        <v>1110</v>
      </c>
      <c r="B950">
        <v>8059</v>
      </c>
      <c r="C950">
        <v>1834</v>
      </c>
      <c r="D950">
        <v>10</v>
      </c>
      <c r="E950" t="s">
        <v>13</v>
      </c>
      <c r="F950" t="s">
        <v>28</v>
      </c>
      <c r="G950" t="s">
        <v>47</v>
      </c>
      <c r="H950" s="1">
        <v>45112</v>
      </c>
      <c r="I950" t="s">
        <v>1112</v>
      </c>
      <c r="J950" t="s">
        <v>21</v>
      </c>
      <c r="K950" t="s">
        <v>63</v>
      </c>
      <c r="L950" s="2" t="s">
        <v>105</v>
      </c>
      <c r="M950" t="str">
        <f>TEXT(Table13[[#This Row],[Order Date]],"MMM")</f>
        <v>Jul</v>
      </c>
      <c r="N950">
        <f>YEAR(Table13[[#This Row],[Order Date]])</f>
        <v>2023</v>
      </c>
      <c r="O950" t="str">
        <f>"Q"&amp;ROUNDUP(MONTH(Table13[[#This Row],[Order Date]])/3,0)</f>
        <v>Q3</v>
      </c>
      <c r="P950" s="5">
        <f>Table13[[#This Row],[Profit]]/Table13[[#This Row],[Amount]]</f>
        <v>0.22757165901476609</v>
      </c>
      <c r="Q950" s="6">
        <f>Table13[[#This Row],[Amount]]/Table13[[#This Row],[Quantity]]</f>
        <v>805.9</v>
      </c>
    </row>
    <row r="951" spans="1:17" x14ac:dyDescent="0.3">
      <c r="A951" t="s">
        <v>1110</v>
      </c>
      <c r="B951">
        <v>8059</v>
      </c>
      <c r="C951">
        <v>1834</v>
      </c>
      <c r="D951">
        <v>10</v>
      </c>
      <c r="E951" t="s">
        <v>13</v>
      </c>
      <c r="F951" t="s">
        <v>28</v>
      </c>
      <c r="G951" t="s">
        <v>47</v>
      </c>
      <c r="H951" s="1">
        <v>44131</v>
      </c>
      <c r="I951" t="s">
        <v>1113</v>
      </c>
      <c r="J951" t="s">
        <v>42</v>
      </c>
      <c r="K951" t="s">
        <v>75</v>
      </c>
      <c r="L951" s="2" t="s">
        <v>119</v>
      </c>
      <c r="M951" t="str">
        <f>TEXT(Table13[[#This Row],[Order Date]],"MMM")</f>
        <v>Oct</v>
      </c>
      <c r="N951">
        <f>YEAR(Table13[[#This Row],[Order Date]])</f>
        <v>2020</v>
      </c>
      <c r="O951" t="str">
        <f>"Q"&amp;ROUNDUP(MONTH(Table13[[#This Row],[Order Date]])/3,0)</f>
        <v>Q4</v>
      </c>
      <c r="P951" s="5">
        <f>Table13[[#This Row],[Profit]]/Table13[[#This Row],[Amount]]</f>
        <v>0.22757165901476609</v>
      </c>
      <c r="Q951" s="6">
        <f>Table13[[#This Row],[Amount]]/Table13[[#This Row],[Quantity]]</f>
        <v>805.9</v>
      </c>
    </row>
    <row r="952" spans="1:17" x14ac:dyDescent="0.3">
      <c r="A952" t="s">
        <v>1114</v>
      </c>
      <c r="B952">
        <v>3661</v>
      </c>
      <c r="C952">
        <v>436</v>
      </c>
      <c r="D952">
        <v>13</v>
      </c>
      <c r="E952" t="s">
        <v>45</v>
      </c>
      <c r="F952" t="s">
        <v>60</v>
      </c>
      <c r="G952" t="s">
        <v>40</v>
      </c>
      <c r="H952" s="1">
        <v>44952</v>
      </c>
      <c r="I952" t="s">
        <v>1115</v>
      </c>
      <c r="J952" t="s">
        <v>71</v>
      </c>
      <c r="K952" t="s">
        <v>86</v>
      </c>
      <c r="L952" s="2" t="s">
        <v>333</v>
      </c>
      <c r="M952" t="str">
        <f>TEXT(Table13[[#This Row],[Order Date]],"MMM")</f>
        <v>Jan</v>
      </c>
      <c r="N952">
        <f>YEAR(Table13[[#This Row],[Order Date]])</f>
        <v>2023</v>
      </c>
      <c r="O952" t="str">
        <f>"Q"&amp;ROUNDUP(MONTH(Table13[[#This Row],[Order Date]])/3,0)</f>
        <v>Q1</v>
      </c>
      <c r="P952" s="5">
        <f>Table13[[#This Row],[Profit]]/Table13[[#This Row],[Amount]]</f>
        <v>0.11909314394974051</v>
      </c>
      <c r="Q952" s="6">
        <f>Table13[[#This Row],[Amount]]/Table13[[#This Row],[Quantity]]</f>
        <v>281.61538461538464</v>
      </c>
    </row>
    <row r="953" spans="1:17" x14ac:dyDescent="0.3">
      <c r="A953" t="s">
        <v>1116</v>
      </c>
      <c r="B953">
        <v>2451</v>
      </c>
      <c r="C953">
        <v>342</v>
      </c>
      <c r="D953">
        <v>8</v>
      </c>
      <c r="E953" t="s">
        <v>30</v>
      </c>
      <c r="F953" t="s">
        <v>64</v>
      </c>
      <c r="G953" t="s">
        <v>40</v>
      </c>
      <c r="H953" s="1">
        <v>44445</v>
      </c>
      <c r="I953" t="s">
        <v>1117</v>
      </c>
      <c r="J953" t="s">
        <v>42</v>
      </c>
      <c r="K953" t="s">
        <v>43</v>
      </c>
      <c r="L953" s="2" t="s">
        <v>224</v>
      </c>
      <c r="M953" t="str">
        <f>TEXT(Table13[[#This Row],[Order Date]],"MMM")</f>
        <v>Sep</v>
      </c>
      <c r="N953">
        <f>YEAR(Table13[[#This Row],[Order Date]])</f>
        <v>2021</v>
      </c>
      <c r="O953" t="str">
        <f>"Q"&amp;ROUNDUP(MONTH(Table13[[#This Row],[Order Date]])/3,0)</f>
        <v>Q3</v>
      </c>
      <c r="P953" s="5">
        <f>Table13[[#This Row],[Profit]]/Table13[[#This Row],[Amount]]</f>
        <v>0.13953488372093023</v>
      </c>
      <c r="Q953" s="6">
        <f>Table13[[#This Row],[Amount]]/Table13[[#This Row],[Quantity]]</f>
        <v>306.375</v>
      </c>
    </row>
    <row r="954" spans="1:17" x14ac:dyDescent="0.3">
      <c r="A954" t="s">
        <v>1116</v>
      </c>
      <c r="B954">
        <v>2451</v>
      </c>
      <c r="C954">
        <v>342</v>
      </c>
      <c r="D954">
        <v>8</v>
      </c>
      <c r="E954" t="s">
        <v>30</v>
      </c>
      <c r="F954" t="s">
        <v>64</v>
      </c>
      <c r="G954" t="s">
        <v>40</v>
      </c>
      <c r="H954" s="1">
        <v>44512</v>
      </c>
      <c r="I954" t="s">
        <v>1118</v>
      </c>
      <c r="J954" t="s">
        <v>98</v>
      </c>
      <c r="K954" t="s">
        <v>107</v>
      </c>
      <c r="L954" s="2" t="s">
        <v>175</v>
      </c>
      <c r="M954" t="str">
        <f>TEXT(Table13[[#This Row],[Order Date]],"MMM")</f>
        <v>Nov</v>
      </c>
      <c r="N954">
        <f>YEAR(Table13[[#This Row],[Order Date]])</f>
        <v>2021</v>
      </c>
      <c r="O954" t="str">
        <f>"Q"&amp;ROUNDUP(MONTH(Table13[[#This Row],[Order Date]])/3,0)</f>
        <v>Q4</v>
      </c>
      <c r="P954" s="5">
        <f>Table13[[#This Row],[Profit]]/Table13[[#This Row],[Amount]]</f>
        <v>0.13953488372093023</v>
      </c>
      <c r="Q954" s="6">
        <f>Table13[[#This Row],[Amount]]/Table13[[#This Row],[Quantity]]</f>
        <v>306.375</v>
      </c>
    </row>
    <row r="955" spans="1:17" x14ac:dyDescent="0.3">
      <c r="A955" t="s">
        <v>1116</v>
      </c>
      <c r="B955">
        <v>2451</v>
      </c>
      <c r="C955">
        <v>342</v>
      </c>
      <c r="D955">
        <v>8</v>
      </c>
      <c r="E955" t="s">
        <v>30</v>
      </c>
      <c r="F955" t="s">
        <v>64</v>
      </c>
      <c r="G955" t="s">
        <v>40</v>
      </c>
      <c r="H955" s="1">
        <v>45503</v>
      </c>
      <c r="I955" t="s">
        <v>1119</v>
      </c>
      <c r="J955" t="s">
        <v>71</v>
      </c>
      <c r="K955" t="s">
        <v>138</v>
      </c>
      <c r="L955" s="2" t="s">
        <v>215</v>
      </c>
      <c r="M955" t="str">
        <f>TEXT(Table13[[#This Row],[Order Date]],"MMM")</f>
        <v>Jul</v>
      </c>
      <c r="N955">
        <f>YEAR(Table13[[#This Row],[Order Date]])</f>
        <v>2024</v>
      </c>
      <c r="O955" t="str">
        <f>"Q"&amp;ROUNDUP(MONTH(Table13[[#This Row],[Order Date]])/3,0)</f>
        <v>Q3</v>
      </c>
      <c r="P955" s="5">
        <f>Table13[[#This Row],[Profit]]/Table13[[#This Row],[Amount]]</f>
        <v>0.13953488372093023</v>
      </c>
      <c r="Q955" s="6">
        <f>Table13[[#This Row],[Amount]]/Table13[[#This Row],[Quantity]]</f>
        <v>306.375</v>
      </c>
    </row>
    <row r="956" spans="1:17" x14ac:dyDescent="0.3">
      <c r="A956" t="s">
        <v>1120</v>
      </c>
      <c r="B956">
        <v>7067</v>
      </c>
      <c r="C956">
        <v>1943</v>
      </c>
      <c r="D956">
        <v>16</v>
      </c>
      <c r="E956" t="s">
        <v>45</v>
      </c>
      <c r="F956" t="s">
        <v>46</v>
      </c>
      <c r="G956" t="s">
        <v>47</v>
      </c>
      <c r="H956" s="1">
        <v>44635</v>
      </c>
      <c r="I956" t="s">
        <v>1121</v>
      </c>
      <c r="J956" t="s">
        <v>42</v>
      </c>
      <c r="K956" t="s">
        <v>92</v>
      </c>
      <c r="L956" s="2" t="s">
        <v>134</v>
      </c>
      <c r="M956" t="str">
        <f>TEXT(Table13[[#This Row],[Order Date]],"MMM")</f>
        <v>Mar</v>
      </c>
      <c r="N956">
        <f>YEAR(Table13[[#This Row],[Order Date]])</f>
        <v>2022</v>
      </c>
      <c r="O956" t="str">
        <f>"Q"&amp;ROUNDUP(MONTH(Table13[[#This Row],[Order Date]])/3,0)</f>
        <v>Q1</v>
      </c>
      <c r="P956" s="5">
        <f>Table13[[#This Row],[Profit]]/Table13[[#This Row],[Amount]]</f>
        <v>0.27493986132729586</v>
      </c>
      <c r="Q956" s="6">
        <f>Table13[[#This Row],[Amount]]/Table13[[#This Row],[Quantity]]</f>
        <v>441.6875</v>
      </c>
    </row>
    <row r="957" spans="1:17" x14ac:dyDescent="0.3">
      <c r="A957" t="s">
        <v>1122</v>
      </c>
      <c r="B957">
        <v>4307</v>
      </c>
      <c r="C957">
        <v>615</v>
      </c>
      <c r="D957">
        <v>3</v>
      </c>
      <c r="E957" t="s">
        <v>13</v>
      </c>
      <c r="F957" t="s">
        <v>14</v>
      </c>
      <c r="G957" t="s">
        <v>15</v>
      </c>
      <c r="H957" s="1">
        <v>45366</v>
      </c>
      <c r="I957" t="s">
        <v>1123</v>
      </c>
      <c r="J957" t="s">
        <v>25</v>
      </c>
      <c r="K957" t="s">
        <v>51</v>
      </c>
      <c r="L957" s="2" t="s">
        <v>338</v>
      </c>
      <c r="M957" t="str">
        <f>TEXT(Table13[[#This Row],[Order Date]],"MMM")</f>
        <v>Mar</v>
      </c>
      <c r="N957">
        <f>YEAR(Table13[[#This Row],[Order Date]])</f>
        <v>2024</v>
      </c>
      <c r="O957" t="str">
        <f>"Q"&amp;ROUNDUP(MONTH(Table13[[#This Row],[Order Date]])/3,0)</f>
        <v>Q1</v>
      </c>
      <c r="P957" s="5">
        <f>Table13[[#This Row],[Profit]]/Table13[[#This Row],[Amount]]</f>
        <v>0.1427908056651962</v>
      </c>
      <c r="Q957" s="6">
        <f>Table13[[#This Row],[Amount]]/Table13[[#This Row],[Quantity]]</f>
        <v>1435.6666666666667</v>
      </c>
    </row>
    <row r="958" spans="1:17" x14ac:dyDescent="0.3">
      <c r="A958" t="s">
        <v>1122</v>
      </c>
      <c r="B958">
        <v>4307</v>
      </c>
      <c r="C958">
        <v>615</v>
      </c>
      <c r="D958">
        <v>3</v>
      </c>
      <c r="E958" t="s">
        <v>13</v>
      </c>
      <c r="F958" t="s">
        <v>14</v>
      </c>
      <c r="G958" t="s">
        <v>15</v>
      </c>
      <c r="H958" s="1">
        <v>44145</v>
      </c>
      <c r="I958" t="s">
        <v>1124</v>
      </c>
      <c r="J958" t="s">
        <v>21</v>
      </c>
      <c r="K958" t="s">
        <v>63</v>
      </c>
      <c r="L958" s="2" t="s">
        <v>80</v>
      </c>
      <c r="M958" t="str">
        <f>TEXT(Table13[[#This Row],[Order Date]],"MMM")</f>
        <v>Nov</v>
      </c>
      <c r="N958">
        <f>YEAR(Table13[[#This Row],[Order Date]])</f>
        <v>2020</v>
      </c>
      <c r="O958" t="str">
        <f>"Q"&amp;ROUNDUP(MONTH(Table13[[#This Row],[Order Date]])/3,0)</f>
        <v>Q4</v>
      </c>
      <c r="P958" s="5">
        <f>Table13[[#This Row],[Profit]]/Table13[[#This Row],[Amount]]</f>
        <v>0.1427908056651962</v>
      </c>
      <c r="Q958" s="6">
        <f>Table13[[#This Row],[Amount]]/Table13[[#This Row],[Quantity]]</f>
        <v>1435.6666666666667</v>
      </c>
    </row>
    <row r="959" spans="1:17" x14ac:dyDescent="0.3">
      <c r="A959" t="s">
        <v>1122</v>
      </c>
      <c r="B959">
        <v>5694</v>
      </c>
      <c r="C959">
        <v>1134</v>
      </c>
      <c r="D959">
        <v>5</v>
      </c>
      <c r="E959" t="s">
        <v>45</v>
      </c>
      <c r="F959" t="s">
        <v>49</v>
      </c>
      <c r="G959" t="s">
        <v>40</v>
      </c>
      <c r="H959" s="1">
        <v>45366</v>
      </c>
      <c r="I959" t="s">
        <v>1123</v>
      </c>
      <c r="J959" t="s">
        <v>25</v>
      </c>
      <c r="K959" t="s">
        <v>51</v>
      </c>
      <c r="L959" s="2" t="s">
        <v>338</v>
      </c>
      <c r="M959" t="str">
        <f>TEXT(Table13[[#This Row],[Order Date]],"MMM")</f>
        <v>Mar</v>
      </c>
      <c r="N959">
        <f>YEAR(Table13[[#This Row],[Order Date]])</f>
        <v>2024</v>
      </c>
      <c r="O959" t="str">
        <f>"Q"&amp;ROUNDUP(MONTH(Table13[[#This Row],[Order Date]])/3,0)</f>
        <v>Q1</v>
      </c>
      <c r="P959" s="5">
        <f>Table13[[#This Row],[Profit]]/Table13[[#This Row],[Amount]]</f>
        <v>0.19915700737618547</v>
      </c>
      <c r="Q959" s="6">
        <f>Table13[[#This Row],[Amount]]/Table13[[#This Row],[Quantity]]</f>
        <v>1138.8</v>
      </c>
    </row>
    <row r="960" spans="1:17" x14ac:dyDescent="0.3">
      <c r="A960" t="s">
        <v>1122</v>
      </c>
      <c r="B960">
        <v>5694</v>
      </c>
      <c r="C960">
        <v>1134</v>
      </c>
      <c r="D960">
        <v>5</v>
      </c>
      <c r="E960" t="s">
        <v>45</v>
      </c>
      <c r="F960" t="s">
        <v>49</v>
      </c>
      <c r="G960" t="s">
        <v>40</v>
      </c>
      <c r="H960" s="1">
        <v>44145</v>
      </c>
      <c r="I960" t="s">
        <v>1124</v>
      </c>
      <c r="J960" t="s">
        <v>21</v>
      </c>
      <c r="K960" t="s">
        <v>63</v>
      </c>
      <c r="L960" s="2" t="s">
        <v>80</v>
      </c>
      <c r="M960" t="str">
        <f>TEXT(Table13[[#This Row],[Order Date]],"MMM")</f>
        <v>Nov</v>
      </c>
      <c r="N960">
        <f>YEAR(Table13[[#This Row],[Order Date]])</f>
        <v>2020</v>
      </c>
      <c r="O960" t="str">
        <f>"Q"&amp;ROUNDUP(MONTH(Table13[[#This Row],[Order Date]])/3,0)</f>
        <v>Q4</v>
      </c>
      <c r="P960" s="5">
        <f>Table13[[#This Row],[Profit]]/Table13[[#This Row],[Amount]]</f>
        <v>0.19915700737618547</v>
      </c>
      <c r="Q960" s="6">
        <f>Table13[[#This Row],[Amount]]/Table13[[#This Row],[Quantity]]</f>
        <v>1138.8</v>
      </c>
    </row>
    <row r="961" spans="1:17" x14ac:dyDescent="0.3">
      <c r="A961" t="s">
        <v>1125</v>
      </c>
      <c r="B961">
        <v>962</v>
      </c>
      <c r="C961">
        <v>298</v>
      </c>
      <c r="D961">
        <v>18</v>
      </c>
      <c r="E961" t="s">
        <v>30</v>
      </c>
      <c r="F961" t="s">
        <v>78</v>
      </c>
      <c r="G961" t="s">
        <v>47</v>
      </c>
      <c r="H961" s="1">
        <v>44765</v>
      </c>
      <c r="I961" t="s">
        <v>1126</v>
      </c>
      <c r="J961" t="s">
        <v>21</v>
      </c>
      <c r="K961" t="s">
        <v>63</v>
      </c>
      <c r="L961" s="2" t="s">
        <v>418</v>
      </c>
      <c r="M961" t="str">
        <f>TEXT(Table13[[#This Row],[Order Date]],"MMM")</f>
        <v>Jul</v>
      </c>
      <c r="N961">
        <f>YEAR(Table13[[#This Row],[Order Date]])</f>
        <v>2022</v>
      </c>
      <c r="O961" t="str">
        <f>"Q"&amp;ROUNDUP(MONTH(Table13[[#This Row],[Order Date]])/3,0)</f>
        <v>Q3</v>
      </c>
      <c r="P961" s="5">
        <f>Table13[[#This Row],[Profit]]/Table13[[#This Row],[Amount]]</f>
        <v>0.30977130977130979</v>
      </c>
      <c r="Q961" s="6">
        <f>Table13[[#This Row],[Amount]]/Table13[[#This Row],[Quantity]]</f>
        <v>53.444444444444443</v>
      </c>
    </row>
    <row r="962" spans="1:17" x14ac:dyDescent="0.3">
      <c r="A962" t="s">
        <v>1127</v>
      </c>
      <c r="B962">
        <v>2995</v>
      </c>
      <c r="C962">
        <v>220</v>
      </c>
      <c r="D962">
        <v>14</v>
      </c>
      <c r="E962" t="s">
        <v>45</v>
      </c>
      <c r="F962" t="s">
        <v>109</v>
      </c>
      <c r="G962" t="s">
        <v>47</v>
      </c>
      <c r="H962" s="1">
        <v>45548</v>
      </c>
      <c r="I962" t="s">
        <v>1128</v>
      </c>
      <c r="J962" t="s">
        <v>25</v>
      </c>
      <c r="K962" t="s">
        <v>26</v>
      </c>
      <c r="L962" s="2" t="s">
        <v>159</v>
      </c>
      <c r="M962" t="str">
        <f>TEXT(Table13[[#This Row],[Order Date]],"MMM")</f>
        <v>Sep</v>
      </c>
      <c r="N962">
        <f>YEAR(Table13[[#This Row],[Order Date]])</f>
        <v>2024</v>
      </c>
      <c r="O962" t="str">
        <f>"Q"&amp;ROUNDUP(MONTH(Table13[[#This Row],[Order Date]])/3,0)</f>
        <v>Q3</v>
      </c>
      <c r="P962" s="5">
        <f>Table13[[#This Row],[Profit]]/Table13[[#This Row],[Amount]]</f>
        <v>7.3455759599332218E-2</v>
      </c>
      <c r="Q962" s="6">
        <f>Table13[[#This Row],[Amount]]/Table13[[#This Row],[Quantity]]</f>
        <v>213.92857142857142</v>
      </c>
    </row>
    <row r="963" spans="1:17" x14ac:dyDescent="0.3">
      <c r="A963" t="s">
        <v>1127</v>
      </c>
      <c r="B963">
        <v>2047</v>
      </c>
      <c r="C963">
        <v>914</v>
      </c>
      <c r="D963">
        <v>5</v>
      </c>
      <c r="E963" t="s">
        <v>30</v>
      </c>
      <c r="F963" t="s">
        <v>57</v>
      </c>
      <c r="G963" t="s">
        <v>32</v>
      </c>
      <c r="H963" s="1">
        <v>45548</v>
      </c>
      <c r="I963" t="s">
        <v>1128</v>
      </c>
      <c r="J963" t="s">
        <v>25</v>
      </c>
      <c r="K963" t="s">
        <v>26</v>
      </c>
      <c r="L963" s="2" t="s">
        <v>159</v>
      </c>
      <c r="M963" t="str">
        <f>TEXT(Table13[[#This Row],[Order Date]],"MMM")</f>
        <v>Sep</v>
      </c>
      <c r="N963">
        <f>YEAR(Table13[[#This Row],[Order Date]])</f>
        <v>2024</v>
      </c>
      <c r="O963" t="str">
        <f>"Q"&amp;ROUNDUP(MONTH(Table13[[#This Row],[Order Date]])/3,0)</f>
        <v>Q3</v>
      </c>
      <c r="P963" s="5">
        <f>Table13[[#This Row],[Profit]]/Table13[[#This Row],[Amount]]</f>
        <v>0.44650708353688323</v>
      </c>
      <c r="Q963" s="6">
        <f>Table13[[#This Row],[Amount]]/Table13[[#This Row],[Quantity]]</f>
        <v>409.4</v>
      </c>
    </row>
    <row r="964" spans="1:17" x14ac:dyDescent="0.3">
      <c r="A964" t="s">
        <v>1129</v>
      </c>
      <c r="B964">
        <v>2078</v>
      </c>
      <c r="C964">
        <v>612</v>
      </c>
      <c r="D964">
        <v>6</v>
      </c>
      <c r="E964" t="s">
        <v>13</v>
      </c>
      <c r="F964" t="s">
        <v>39</v>
      </c>
      <c r="G964" t="s">
        <v>65</v>
      </c>
      <c r="H964" s="1">
        <v>44586</v>
      </c>
      <c r="I964" t="s">
        <v>1130</v>
      </c>
      <c r="J964" t="s">
        <v>71</v>
      </c>
      <c r="K964" t="s">
        <v>86</v>
      </c>
      <c r="L964" s="2" t="s">
        <v>87</v>
      </c>
      <c r="M964" t="str">
        <f>TEXT(Table13[[#This Row],[Order Date]],"MMM")</f>
        <v>Jan</v>
      </c>
      <c r="N964">
        <f>YEAR(Table13[[#This Row],[Order Date]])</f>
        <v>2022</v>
      </c>
      <c r="O964" t="str">
        <f>"Q"&amp;ROUNDUP(MONTH(Table13[[#This Row],[Order Date]])/3,0)</f>
        <v>Q1</v>
      </c>
      <c r="P964" s="5">
        <f>Table13[[#This Row],[Profit]]/Table13[[#This Row],[Amount]]</f>
        <v>0.29451395572666023</v>
      </c>
      <c r="Q964" s="6">
        <f>Table13[[#This Row],[Amount]]/Table13[[#This Row],[Quantity]]</f>
        <v>346.33333333333331</v>
      </c>
    </row>
    <row r="965" spans="1:17" x14ac:dyDescent="0.3">
      <c r="A965" t="s">
        <v>1131</v>
      </c>
      <c r="B965">
        <v>2737</v>
      </c>
      <c r="C965">
        <v>1253</v>
      </c>
      <c r="D965">
        <v>3</v>
      </c>
      <c r="E965" t="s">
        <v>13</v>
      </c>
      <c r="F965" t="s">
        <v>28</v>
      </c>
      <c r="G965" t="s">
        <v>40</v>
      </c>
      <c r="H965" s="1">
        <v>44305</v>
      </c>
      <c r="I965" t="s">
        <v>1132</v>
      </c>
      <c r="J965" t="s">
        <v>25</v>
      </c>
      <c r="K965" t="s">
        <v>51</v>
      </c>
      <c r="L965" s="2" t="s">
        <v>139</v>
      </c>
      <c r="M965" t="str">
        <f>TEXT(Table13[[#This Row],[Order Date]],"MMM")</f>
        <v>Apr</v>
      </c>
      <c r="N965">
        <f>YEAR(Table13[[#This Row],[Order Date]])</f>
        <v>2021</v>
      </c>
      <c r="O965" t="str">
        <f>"Q"&amp;ROUNDUP(MONTH(Table13[[#This Row],[Order Date]])/3,0)</f>
        <v>Q2</v>
      </c>
      <c r="P965" s="5">
        <f>Table13[[#This Row],[Profit]]/Table13[[#This Row],[Amount]]</f>
        <v>0.4578005115089514</v>
      </c>
      <c r="Q965" s="6">
        <f>Table13[[#This Row],[Amount]]/Table13[[#This Row],[Quantity]]</f>
        <v>912.33333333333337</v>
      </c>
    </row>
    <row r="966" spans="1:17" x14ac:dyDescent="0.3">
      <c r="A966" t="s">
        <v>1133</v>
      </c>
      <c r="B966">
        <v>8194</v>
      </c>
      <c r="C966">
        <v>2881</v>
      </c>
      <c r="D966">
        <v>6</v>
      </c>
      <c r="E966" t="s">
        <v>30</v>
      </c>
      <c r="F966" t="s">
        <v>64</v>
      </c>
      <c r="G966" t="s">
        <v>32</v>
      </c>
      <c r="H966" s="1">
        <v>44395</v>
      </c>
      <c r="I966" t="s">
        <v>1134</v>
      </c>
      <c r="J966" t="s">
        <v>71</v>
      </c>
      <c r="K966" t="s">
        <v>138</v>
      </c>
      <c r="L966" s="2" t="s">
        <v>27</v>
      </c>
      <c r="M966" t="str">
        <f>TEXT(Table13[[#This Row],[Order Date]],"MMM")</f>
        <v>Jul</v>
      </c>
      <c r="N966">
        <f>YEAR(Table13[[#This Row],[Order Date]])</f>
        <v>2021</v>
      </c>
      <c r="O966" t="str">
        <f>"Q"&amp;ROUNDUP(MONTH(Table13[[#This Row],[Order Date]])/3,0)</f>
        <v>Q3</v>
      </c>
      <c r="P966" s="5">
        <f>Table13[[#This Row],[Profit]]/Table13[[#This Row],[Amount]]</f>
        <v>0.35159873077861853</v>
      </c>
      <c r="Q966" s="6">
        <f>Table13[[#This Row],[Amount]]/Table13[[#This Row],[Quantity]]</f>
        <v>1365.6666666666667</v>
      </c>
    </row>
    <row r="967" spans="1:17" x14ac:dyDescent="0.3">
      <c r="A967" t="s">
        <v>1135</v>
      </c>
      <c r="B967">
        <v>9914</v>
      </c>
      <c r="C967">
        <v>3858</v>
      </c>
      <c r="D967">
        <v>16</v>
      </c>
      <c r="E967" t="s">
        <v>45</v>
      </c>
      <c r="F967" t="s">
        <v>60</v>
      </c>
      <c r="G967" t="s">
        <v>47</v>
      </c>
      <c r="H967" s="1">
        <v>44736</v>
      </c>
      <c r="I967" t="s">
        <v>1136</v>
      </c>
      <c r="J967" t="s">
        <v>25</v>
      </c>
      <c r="K967" t="s">
        <v>26</v>
      </c>
      <c r="L967" s="2" t="s">
        <v>165</v>
      </c>
      <c r="M967" t="str">
        <f>TEXT(Table13[[#This Row],[Order Date]],"MMM")</f>
        <v>Jun</v>
      </c>
      <c r="N967">
        <f>YEAR(Table13[[#This Row],[Order Date]])</f>
        <v>2022</v>
      </c>
      <c r="O967" t="str">
        <f>"Q"&amp;ROUNDUP(MONTH(Table13[[#This Row],[Order Date]])/3,0)</f>
        <v>Q2</v>
      </c>
      <c r="P967" s="5">
        <f>Table13[[#This Row],[Profit]]/Table13[[#This Row],[Amount]]</f>
        <v>0.38914666128706882</v>
      </c>
      <c r="Q967" s="6">
        <f>Table13[[#This Row],[Amount]]/Table13[[#This Row],[Quantity]]</f>
        <v>619.625</v>
      </c>
    </row>
    <row r="968" spans="1:17" x14ac:dyDescent="0.3">
      <c r="A968" t="s">
        <v>1135</v>
      </c>
      <c r="B968">
        <v>9914</v>
      </c>
      <c r="C968">
        <v>3858</v>
      </c>
      <c r="D968">
        <v>16</v>
      </c>
      <c r="E968" t="s">
        <v>45</v>
      </c>
      <c r="F968" t="s">
        <v>60</v>
      </c>
      <c r="G968" t="s">
        <v>47</v>
      </c>
      <c r="H968" s="1">
        <v>45451</v>
      </c>
      <c r="I968" t="s">
        <v>1137</v>
      </c>
      <c r="J968" t="s">
        <v>25</v>
      </c>
      <c r="K968" t="s">
        <v>68</v>
      </c>
      <c r="L968" s="2" t="s">
        <v>262</v>
      </c>
      <c r="M968" t="str">
        <f>TEXT(Table13[[#This Row],[Order Date]],"MMM")</f>
        <v>Jun</v>
      </c>
      <c r="N968">
        <f>YEAR(Table13[[#This Row],[Order Date]])</f>
        <v>2024</v>
      </c>
      <c r="O968" t="str">
        <f>"Q"&amp;ROUNDUP(MONTH(Table13[[#This Row],[Order Date]])/3,0)</f>
        <v>Q2</v>
      </c>
      <c r="P968" s="5">
        <f>Table13[[#This Row],[Profit]]/Table13[[#This Row],[Amount]]</f>
        <v>0.38914666128706882</v>
      </c>
      <c r="Q968" s="6">
        <f>Table13[[#This Row],[Amount]]/Table13[[#This Row],[Quantity]]</f>
        <v>619.625</v>
      </c>
    </row>
    <row r="969" spans="1:17" x14ac:dyDescent="0.3">
      <c r="A969" t="s">
        <v>1135</v>
      </c>
      <c r="B969">
        <v>5470</v>
      </c>
      <c r="C969">
        <v>292</v>
      </c>
      <c r="D969">
        <v>7</v>
      </c>
      <c r="E969" t="s">
        <v>30</v>
      </c>
      <c r="F969" t="s">
        <v>31</v>
      </c>
      <c r="G969" t="s">
        <v>32</v>
      </c>
      <c r="H969" s="1">
        <v>44736</v>
      </c>
      <c r="I969" t="s">
        <v>1136</v>
      </c>
      <c r="J969" t="s">
        <v>25</v>
      </c>
      <c r="K969" t="s">
        <v>26</v>
      </c>
      <c r="L969" s="2" t="s">
        <v>165</v>
      </c>
      <c r="M969" t="str">
        <f>TEXT(Table13[[#This Row],[Order Date]],"MMM")</f>
        <v>Jun</v>
      </c>
      <c r="N969">
        <f>YEAR(Table13[[#This Row],[Order Date]])</f>
        <v>2022</v>
      </c>
      <c r="O969" t="str">
        <f>"Q"&amp;ROUNDUP(MONTH(Table13[[#This Row],[Order Date]])/3,0)</f>
        <v>Q2</v>
      </c>
      <c r="P969" s="5">
        <f>Table13[[#This Row],[Profit]]/Table13[[#This Row],[Amount]]</f>
        <v>5.3382084095063988E-2</v>
      </c>
      <c r="Q969" s="6">
        <f>Table13[[#This Row],[Amount]]/Table13[[#This Row],[Quantity]]</f>
        <v>781.42857142857144</v>
      </c>
    </row>
    <row r="970" spans="1:17" x14ac:dyDescent="0.3">
      <c r="A970" t="s">
        <v>1135</v>
      </c>
      <c r="B970">
        <v>5470</v>
      </c>
      <c r="C970">
        <v>292</v>
      </c>
      <c r="D970">
        <v>7</v>
      </c>
      <c r="E970" t="s">
        <v>30</v>
      </c>
      <c r="F970" t="s">
        <v>31</v>
      </c>
      <c r="G970" t="s">
        <v>32</v>
      </c>
      <c r="H970" s="1">
        <v>45451</v>
      </c>
      <c r="I970" t="s">
        <v>1137</v>
      </c>
      <c r="J970" t="s">
        <v>25</v>
      </c>
      <c r="K970" t="s">
        <v>68</v>
      </c>
      <c r="L970" s="2" t="s">
        <v>262</v>
      </c>
      <c r="M970" t="str">
        <f>TEXT(Table13[[#This Row],[Order Date]],"MMM")</f>
        <v>Jun</v>
      </c>
      <c r="N970">
        <f>YEAR(Table13[[#This Row],[Order Date]])</f>
        <v>2024</v>
      </c>
      <c r="O970" t="str">
        <f>"Q"&amp;ROUNDUP(MONTH(Table13[[#This Row],[Order Date]])/3,0)</f>
        <v>Q2</v>
      </c>
      <c r="P970" s="5">
        <f>Table13[[#This Row],[Profit]]/Table13[[#This Row],[Amount]]</f>
        <v>5.3382084095063988E-2</v>
      </c>
      <c r="Q970" s="6">
        <f>Table13[[#This Row],[Amount]]/Table13[[#This Row],[Quantity]]</f>
        <v>781.42857142857144</v>
      </c>
    </row>
    <row r="971" spans="1:17" x14ac:dyDescent="0.3">
      <c r="A971" t="s">
        <v>1135</v>
      </c>
      <c r="B971">
        <v>1496</v>
      </c>
      <c r="C971">
        <v>662</v>
      </c>
      <c r="D971">
        <v>17</v>
      </c>
      <c r="E971" t="s">
        <v>45</v>
      </c>
      <c r="F971" t="s">
        <v>109</v>
      </c>
      <c r="G971" t="s">
        <v>15</v>
      </c>
      <c r="H971" s="1">
        <v>44736</v>
      </c>
      <c r="I971" t="s">
        <v>1136</v>
      </c>
      <c r="J971" t="s">
        <v>25</v>
      </c>
      <c r="K971" t="s">
        <v>26</v>
      </c>
      <c r="L971" s="2" t="s">
        <v>165</v>
      </c>
      <c r="M971" t="str">
        <f>TEXT(Table13[[#This Row],[Order Date]],"MMM")</f>
        <v>Jun</v>
      </c>
      <c r="N971">
        <f>YEAR(Table13[[#This Row],[Order Date]])</f>
        <v>2022</v>
      </c>
      <c r="O971" t="str">
        <f>"Q"&amp;ROUNDUP(MONTH(Table13[[#This Row],[Order Date]])/3,0)</f>
        <v>Q2</v>
      </c>
      <c r="P971" s="5">
        <f>Table13[[#This Row],[Profit]]/Table13[[#This Row],[Amount]]</f>
        <v>0.44251336898395721</v>
      </c>
      <c r="Q971" s="6">
        <f>Table13[[#This Row],[Amount]]/Table13[[#This Row],[Quantity]]</f>
        <v>88</v>
      </c>
    </row>
    <row r="972" spans="1:17" x14ac:dyDescent="0.3">
      <c r="A972" t="s">
        <v>1135</v>
      </c>
      <c r="B972">
        <v>1496</v>
      </c>
      <c r="C972">
        <v>662</v>
      </c>
      <c r="D972">
        <v>17</v>
      </c>
      <c r="E972" t="s">
        <v>45</v>
      </c>
      <c r="F972" t="s">
        <v>109</v>
      </c>
      <c r="G972" t="s">
        <v>15</v>
      </c>
      <c r="H972" s="1">
        <v>45451</v>
      </c>
      <c r="I972" t="s">
        <v>1137</v>
      </c>
      <c r="J972" t="s">
        <v>25</v>
      </c>
      <c r="K972" t="s">
        <v>68</v>
      </c>
      <c r="L972" s="2" t="s">
        <v>262</v>
      </c>
      <c r="M972" t="str">
        <f>TEXT(Table13[[#This Row],[Order Date]],"MMM")</f>
        <v>Jun</v>
      </c>
      <c r="N972">
        <f>YEAR(Table13[[#This Row],[Order Date]])</f>
        <v>2024</v>
      </c>
      <c r="O972" t="str">
        <f>"Q"&amp;ROUNDUP(MONTH(Table13[[#This Row],[Order Date]])/3,0)</f>
        <v>Q2</v>
      </c>
      <c r="P972" s="5">
        <f>Table13[[#This Row],[Profit]]/Table13[[#This Row],[Amount]]</f>
        <v>0.44251336898395721</v>
      </c>
      <c r="Q972" s="6">
        <f>Table13[[#This Row],[Amount]]/Table13[[#This Row],[Quantity]]</f>
        <v>88</v>
      </c>
    </row>
    <row r="973" spans="1:17" x14ac:dyDescent="0.3">
      <c r="A973" t="s">
        <v>1138</v>
      </c>
      <c r="B973">
        <v>3228</v>
      </c>
      <c r="C973">
        <v>476</v>
      </c>
      <c r="D973">
        <v>9</v>
      </c>
      <c r="E973" t="s">
        <v>30</v>
      </c>
      <c r="F973" t="s">
        <v>64</v>
      </c>
      <c r="G973" t="s">
        <v>65</v>
      </c>
      <c r="H973" s="1">
        <v>44833</v>
      </c>
      <c r="I973" t="s">
        <v>1139</v>
      </c>
      <c r="J973" t="s">
        <v>25</v>
      </c>
      <c r="K973" t="s">
        <v>51</v>
      </c>
      <c r="L973" s="2" t="s">
        <v>131</v>
      </c>
      <c r="M973" t="str">
        <f>TEXT(Table13[[#This Row],[Order Date]],"MMM")</f>
        <v>Sep</v>
      </c>
      <c r="N973">
        <f>YEAR(Table13[[#This Row],[Order Date]])</f>
        <v>2022</v>
      </c>
      <c r="O973" t="str">
        <f>"Q"&amp;ROUNDUP(MONTH(Table13[[#This Row],[Order Date]])/3,0)</f>
        <v>Q3</v>
      </c>
      <c r="P973" s="5">
        <f>Table13[[#This Row],[Profit]]/Table13[[#This Row],[Amount]]</f>
        <v>0.14745972738537794</v>
      </c>
      <c r="Q973" s="6">
        <f>Table13[[#This Row],[Amount]]/Table13[[#This Row],[Quantity]]</f>
        <v>358.66666666666669</v>
      </c>
    </row>
    <row r="974" spans="1:17" x14ac:dyDescent="0.3">
      <c r="A974" t="s">
        <v>1140</v>
      </c>
      <c r="B974">
        <v>3918</v>
      </c>
      <c r="C974">
        <v>749</v>
      </c>
      <c r="D974">
        <v>8</v>
      </c>
      <c r="E974" t="s">
        <v>13</v>
      </c>
      <c r="F974" t="s">
        <v>39</v>
      </c>
      <c r="G974" t="s">
        <v>47</v>
      </c>
      <c r="H974" s="1">
        <v>45056</v>
      </c>
      <c r="I974" t="s">
        <v>1141</v>
      </c>
      <c r="J974" t="s">
        <v>42</v>
      </c>
      <c r="K974" t="s">
        <v>75</v>
      </c>
      <c r="L974" s="2" t="s">
        <v>127</v>
      </c>
      <c r="M974" t="str">
        <f>TEXT(Table13[[#This Row],[Order Date]],"MMM")</f>
        <v>May</v>
      </c>
      <c r="N974">
        <f>YEAR(Table13[[#This Row],[Order Date]])</f>
        <v>2023</v>
      </c>
      <c r="O974" t="str">
        <f>"Q"&amp;ROUNDUP(MONTH(Table13[[#This Row],[Order Date]])/3,0)</f>
        <v>Q2</v>
      </c>
      <c r="P974" s="5">
        <f>Table13[[#This Row],[Profit]]/Table13[[#This Row],[Amount]]</f>
        <v>0.19116896375701889</v>
      </c>
      <c r="Q974" s="6">
        <f>Table13[[#This Row],[Amount]]/Table13[[#This Row],[Quantity]]</f>
        <v>489.75</v>
      </c>
    </row>
    <row r="975" spans="1:17" x14ac:dyDescent="0.3">
      <c r="A975" t="s">
        <v>1140</v>
      </c>
      <c r="B975">
        <v>3918</v>
      </c>
      <c r="C975">
        <v>749</v>
      </c>
      <c r="D975">
        <v>8</v>
      </c>
      <c r="E975" t="s">
        <v>13</v>
      </c>
      <c r="F975" t="s">
        <v>39</v>
      </c>
      <c r="G975" t="s">
        <v>47</v>
      </c>
      <c r="H975" s="1">
        <v>43953</v>
      </c>
      <c r="I975" t="s">
        <v>1142</v>
      </c>
      <c r="J975" t="s">
        <v>71</v>
      </c>
      <c r="K975" t="s">
        <v>138</v>
      </c>
      <c r="L975" s="2" t="s">
        <v>59</v>
      </c>
      <c r="M975" t="str">
        <f>TEXT(Table13[[#This Row],[Order Date]],"MMM")</f>
        <v>May</v>
      </c>
      <c r="N975">
        <f>YEAR(Table13[[#This Row],[Order Date]])</f>
        <v>2020</v>
      </c>
      <c r="O975" t="str">
        <f>"Q"&amp;ROUNDUP(MONTH(Table13[[#This Row],[Order Date]])/3,0)</f>
        <v>Q2</v>
      </c>
      <c r="P975" s="5">
        <f>Table13[[#This Row],[Profit]]/Table13[[#This Row],[Amount]]</f>
        <v>0.19116896375701889</v>
      </c>
      <c r="Q975" s="6">
        <f>Table13[[#This Row],[Amount]]/Table13[[#This Row],[Quantity]]</f>
        <v>489.75</v>
      </c>
    </row>
    <row r="976" spans="1:17" x14ac:dyDescent="0.3">
      <c r="A976" t="s">
        <v>1143</v>
      </c>
      <c r="B976">
        <v>9921</v>
      </c>
      <c r="C976">
        <v>1451</v>
      </c>
      <c r="D976">
        <v>15</v>
      </c>
      <c r="E976" t="s">
        <v>45</v>
      </c>
      <c r="F976" t="s">
        <v>60</v>
      </c>
      <c r="G976" t="s">
        <v>40</v>
      </c>
      <c r="H976" s="1">
        <v>44298</v>
      </c>
      <c r="I976" t="s">
        <v>1144</v>
      </c>
      <c r="J976" t="s">
        <v>21</v>
      </c>
      <c r="K976" t="s">
        <v>22</v>
      </c>
      <c r="L976" s="2" t="s">
        <v>139</v>
      </c>
      <c r="M976" t="str">
        <f>TEXT(Table13[[#This Row],[Order Date]],"MMM")</f>
        <v>Apr</v>
      </c>
      <c r="N976">
        <f>YEAR(Table13[[#This Row],[Order Date]])</f>
        <v>2021</v>
      </c>
      <c r="O976" t="str">
        <f>"Q"&amp;ROUNDUP(MONTH(Table13[[#This Row],[Order Date]])/3,0)</f>
        <v>Q2</v>
      </c>
      <c r="P976" s="5">
        <f>Table13[[#This Row],[Profit]]/Table13[[#This Row],[Amount]]</f>
        <v>0.14625541780062493</v>
      </c>
      <c r="Q976" s="6">
        <f>Table13[[#This Row],[Amount]]/Table13[[#This Row],[Quantity]]</f>
        <v>661.4</v>
      </c>
    </row>
    <row r="977" spans="1:17" x14ac:dyDescent="0.3">
      <c r="A977" t="s">
        <v>1145</v>
      </c>
      <c r="B977">
        <v>9694</v>
      </c>
      <c r="C977">
        <v>4361</v>
      </c>
      <c r="D977">
        <v>1</v>
      </c>
      <c r="E977" t="s">
        <v>45</v>
      </c>
      <c r="F977" t="s">
        <v>49</v>
      </c>
      <c r="G977" t="s">
        <v>40</v>
      </c>
      <c r="H977" s="1">
        <v>45234</v>
      </c>
      <c r="I977" t="s">
        <v>1146</v>
      </c>
      <c r="J977" t="s">
        <v>21</v>
      </c>
      <c r="K977" t="s">
        <v>63</v>
      </c>
      <c r="L977" s="2" t="s">
        <v>52</v>
      </c>
      <c r="M977" t="str">
        <f>TEXT(Table13[[#This Row],[Order Date]],"MMM")</f>
        <v>Nov</v>
      </c>
      <c r="N977">
        <f>YEAR(Table13[[#This Row],[Order Date]])</f>
        <v>2023</v>
      </c>
      <c r="O977" t="str">
        <f>"Q"&amp;ROUNDUP(MONTH(Table13[[#This Row],[Order Date]])/3,0)</f>
        <v>Q4</v>
      </c>
      <c r="P977" s="5">
        <f>Table13[[#This Row],[Profit]]/Table13[[#This Row],[Amount]]</f>
        <v>0.44986589643078195</v>
      </c>
      <c r="Q977" s="6">
        <f>Table13[[#This Row],[Amount]]/Table13[[#This Row],[Quantity]]</f>
        <v>9694</v>
      </c>
    </row>
    <row r="978" spans="1:17" x14ac:dyDescent="0.3">
      <c r="A978" t="s">
        <v>1147</v>
      </c>
      <c r="B978">
        <v>5028</v>
      </c>
      <c r="C978">
        <v>1553</v>
      </c>
      <c r="D978">
        <v>13</v>
      </c>
      <c r="E978" t="s">
        <v>30</v>
      </c>
      <c r="F978" t="s">
        <v>64</v>
      </c>
      <c r="G978" t="s">
        <v>40</v>
      </c>
      <c r="H978" s="1">
        <v>43955</v>
      </c>
      <c r="I978" t="s">
        <v>1148</v>
      </c>
      <c r="J978" t="s">
        <v>17</v>
      </c>
      <c r="K978" t="s">
        <v>150</v>
      </c>
      <c r="L978" s="2" t="s">
        <v>59</v>
      </c>
      <c r="M978" t="str">
        <f>TEXT(Table13[[#This Row],[Order Date]],"MMM")</f>
        <v>May</v>
      </c>
      <c r="N978">
        <f>YEAR(Table13[[#This Row],[Order Date]])</f>
        <v>2020</v>
      </c>
      <c r="O978" t="str">
        <f>"Q"&amp;ROUNDUP(MONTH(Table13[[#This Row],[Order Date]])/3,0)</f>
        <v>Q2</v>
      </c>
      <c r="P978" s="5">
        <f>Table13[[#This Row],[Profit]]/Table13[[#This Row],[Amount]]</f>
        <v>0.3088703261734288</v>
      </c>
      <c r="Q978" s="6">
        <f>Table13[[#This Row],[Amount]]/Table13[[#This Row],[Quantity]]</f>
        <v>386.76923076923077</v>
      </c>
    </row>
    <row r="979" spans="1:17" x14ac:dyDescent="0.3">
      <c r="A979" t="s">
        <v>1149</v>
      </c>
      <c r="B979">
        <v>594</v>
      </c>
      <c r="C979">
        <v>67</v>
      </c>
      <c r="D979">
        <v>19</v>
      </c>
      <c r="E979" t="s">
        <v>30</v>
      </c>
      <c r="F979" t="s">
        <v>64</v>
      </c>
      <c r="G979" t="s">
        <v>32</v>
      </c>
      <c r="H979" s="1">
        <v>45179</v>
      </c>
      <c r="I979" t="s">
        <v>1150</v>
      </c>
      <c r="J979" t="s">
        <v>25</v>
      </c>
      <c r="K979" t="s">
        <v>26</v>
      </c>
      <c r="L979" s="2" t="s">
        <v>273</v>
      </c>
      <c r="M979" t="str">
        <f>TEXT(Table13[[#This Row],[Order Date]],"MMM")</f>
        <v>Sep</v>
      </c>
      <c r="N979">
        <f>YEAR(Table13[[#This Row],[Order Date]])</f>
        <v>2023</v>
      </c>
      <c r="O979" t="str">
        <f>"Q"&amp;ROUNDUP(MONTH(Table13[[#This Row],[Order Date]])/3,0)</f>
        <v>Q3</v>
      </c>
      <c r="P979" s="5">
        <f>Table13[[#This Row],[Profit]]/Table13[[#This Row],[Amount]]</f>
        <v>0.11279461279461279</v>
      </c>
      <c r="Q979" s="6">
        <f>Table13[[#This Row],[Amount]]/Table13[[#This Row],[Quantity]]</f>
        <v>31.263157894736842</v>
      </c>
    </row>
    <row r="980" spans="1:17" x14ac:dyDescent="0.3">
      <c r="A980" t="s">
        <v>1149</v>
      </c>
      <c r="B980">
        <v>594</v>
      </c>
      <c r="C980">
        <v>67</v>
      </c>
      <c r="D980">
        <v>19</v>
      </c>
      <c r="E980" t="s">
        <v>30</v>
      </c>
      <c r="F980" t="s">
        <v>64</v>
      </c>
      <c r="G980" t="s">
        <v>32</v>
      </c>
      <c r="H980" s="1">
        <v>45296</v>
      </c>
      <c r="I980" t="s">
        <v>1151</v>
      </c>
      <c r="J980" t="s">
        <v>17</v>
      </c>
      <c r="K980" t="s">
        <v>18</v>
      </c>
      <c r="L980" s="2" t="s">
        <v>76</v>
      </c>
      <c r="M980" t="str">
        <f>TEXT(Table13[[#This Row],[Order Date]],"MMM")</f>
        <v>Jan</v>
      </c>
      <c r="N980">
        <f>YEAR(Table13[[#This Row],[Order Date]])</f>
        <v>2024</v>
      </c>
      <c r="O980" t="str">
        <f>"Q"&amp;ROUNDUP(MONTH(Table13[[#This Row],[Order Date]])/3,0)</f>
        <v>Q1</v>
      </c>
      <c r="P980" s="5">
        <f>Table13[[#This Row],[Profit]]/Table13[[#This Row],[Amount]]</f>
        <v>0.11279461279461279</v>
      </c>
      <c r="Q980" s="6">
        <f>Table13[[#This Row],[Amount]]/Table13[[#This Row],[Quantity]]</f>
        <v>31.263157894736842</v>
      </c>
    </row>
    <row r="981" spans="1:17" x14ac:dyDescent="0.3">
      <c r="A981" t="s">
        <v>1149</v>
      </c>
      <c r="B981">
        <v>594</v>
      </c>
      <c r="C981">
        <v>67</v>
      </c>
      <c r="D981">
        <v>19</v>
      </c>
      <c r="E981" t="s">
        <v>30</v>
      </c>
      <c r="F981" t="s">
        <v>64</v>
      </c>
      <c r="G981" t="s">
        <v>32</v>
      </c>
      <c r="H981" s="1">
        <v>45420</v>
      </c>
      <c r="I981" t="s">
        <v>1152</v>
      </c>
      <c r="J981" t="s">
        <v>71</v>
      </c>
      <c r="K981" t="s">
        <v>86</v>
      </c>
      <c r="L981" s="2" t="s">
        <v>35</v>
      </c>
      <c r="M981" t="str">
        <f>TEXT(Table13[[#This Row],[Order Date]],"MMM")</f>
        <v>May</v>
      </c>
      <c r="N981">
        <f>YEAR(Table13[[#This Row],[Order Date]])</f>
        <v>2024</v>
      </c>
      <c r="O981" t="str">
        <f>"Q"&amp;ROUNDUP(MONTH(Table13[[#This Row],[Order Date]])/3,0)</f>
        <v>Q2</v>
      </c>
      <c r="P981" s="5">
        <f>Table13[[#This Row],[Profit]]/Table13[[#This Row],[Amount]]</f>
        <v>0.11279461279461279</v>
      </c>
      <c r="Q981" s="6">
        <f>Table13[[#This Row],[Amount]]/Table13[[#This Row],[Quantity]]</f>
        <v>31.263157894736842</v>
      </c>
    </row>
    <row r="982" spans="1:17" x14ac:dyDescent="0.3">
      <c r="A982" t="s">
        <v>1153</v>
      </c>
      <c r="B982">
        <v>5954</v>
      </c>
      <c r="C982">
        <v>2618</v>
      </c>
      <c r="D982">
        <v>11</v>
      </c>
      <c r="E982" t="s">
        <v>45</v>
      </c>
      <c r="F982" t="s">
        <v>46</v>
      </c>
      <c r="G982" t="s">
        <v>65</v>
      </c>
      <c r="H982" s="1">
        <v>45381</v>
      </c>
      <c r="I982" t="s">
        <v>1154</v>
      </c>
      <c r="J982" t="s">
        <v>98</v>
      </c>
      <c r="K982" t="s">
        <v>107</v>
      </c>
      <c r="L982" s="2" t="s">
        <v>338</v>
      </c>
      <c r="M982" t="str">
        <f>TEXT(Table13[[#This Row],[Order Date]],"MMM")</f>
        <v>Mar</v>
      </c>
      <c r="N982">
        <f>YEAR(Table13[[#This Row],[Order Date]])</f>
        <v>2024</v>
      </c>
      <c r="O982" t="str">
        <f>"Q"&amp;ROUNDUP(MONTH(Table13[[#This Row],[Order Date]])/3,0)</f>
        <v>Q1</v>
      </c>
      <c r="P982" s="5">
        <f>Table13[[#This Row],[Profit]]/Table13[[#This Row],[Amount]]</f>
        <v>0.43970440040309033</v>
      </c>
      <c r="Q982" s="6">
        <f>Table13[[#This Row],[Amount]]/Table13[[#This Row],[Quantity]]</f>
        <v>541.27272727272725</v>
      </c>
    </row>
    <row r="983" spans="1:17" x14ac:dyDescent="0.3">
      <c r="A983" t="s">
        <v>1155</v>
      </c>
      <c r="B983">
        <v>3518</v>
      </c>
      <c r="C983">
        <v>1051</v>
      </c>
      <c r="D983">
        <v>3</v>
      </c>
      <c r="E983" t="s">
        <v>45</v>
      </c>
      <c r="F983" t="s">
        <v>109</v>
      </c>
      <c r="G983" t="s">
        <v>15</v>
      </c>
      <c r="H983" s="1">
        <v>44084</v>
      </c>
      <c r="I983" t="s">
        <v>1156</v>
      </c>
      <c r="J983" t="s">
        <v>42</v>
      </c>
      <c r="K983" t="s">
        <v>92</v>
      </c>
      <c r="L983" s="2" t="s">
        <v>389</v>
      </c>
      <c r="M983" t="str">
        <f>TEXT(Table13[[#This Row],[Order Date]],"MMM")</f>
        <v>Sep</v>
      </c>
      <c r="N983">
        <f>YEAR(Table13[[#This Row],[Order Date]])</f>
        <v>2020</v>
      </c>
      <c r="O983" t="str">
        <f>"Q"&amp;ROUNDUP(MONTH(Table13[[#This Row],[Order Date]])/3,0)</f>
        <v>Q3</v>
      </c>
      <c r="P983" s="5">
        <f>Table13[[#This Row],[Profit]]/Table13[[#This Row],[Amount]]</f>
        <v>0.29874928936895961</v>
      </c>
      <c r="Q983" s="6">
        <f>Table13[[#This Row],[Amount]]/Table13[[#This Row],[Quantity]]</f>
        <v>1172.6666666666667</v>
      </c>
    </row>
    <row r="984" spans="1:17" x14ac:dyDescent="0.3">
      <c r="A984" t="s">
        <v>1155</v>
      </c>
      <c r="B984">
        <v>4157</v>
      </c>
      <c r="C984">
        <v>1874</v>
      </c>
      <c r="D984">
        <v>8</v>
      </c>
      <c r="E984" t="s">
        <v>13</v>
      </c>
      <c r="F984" t="s">
        <v>39</v>
      </c>
      <c r="G984" t="s">
        <v>40</v>
      </c>
      <c r="H984" s="1">
        <v>44084</v>
      </c>
      <c r="I984" t="s">
        <v>1156</v>
      </c>
      <c r="J984" t="s">
        <v>42</v>
      </c>
      <c r="K984" t="s">
        <v>92</v>
      </c>
      <c r="L984" s="2" t="s">
        <v>389</v>
      </c>
      <c r="M984" t="str">
        <f>TEXT(Table13[[#This Row],[Order Date]],"MMM")</f>
        <v>Sep</v>
      </c>
      <c r="N984">
        <f>YEAR(Table13[[#This Row],[Order Date]])</f>
        <v>2020</v>
      </c>
      <c r="O984" t="str">
        <f>"Q"&amp;ROUNDUP(MONTH(Table13[[#This Row],[Order Date]])/3,0)</f>
        <v>Q3</v>
      </c>
      <c r="P984" s="5">
        <f>Table13[[#This Row],[Profit]]/Table13[[#This Row],[Amount]]</f>
        <v>0.45080586961751262</v>
      </c>
      <c r="Q984" s="6">
        <f>Table13[[#This Row],[Amount]]/Table13[[#This Row],[Quantity]]</f>
        <v>519.625</v>
      </c>
    </row>
    <row r="985" spans="1:17" x14ac:dyDescent="0.3">
      <c r="A985" t="s">
        <v>1157</v>
      </c>
      <c r="B985">
        <v>3747</v>
      </c>
      <c r="C985">
        <v>410</v>
      </c>
      <c r="D985">
        <v>5</v>
      </c>
      <c r="E985" t="s">
        <v>30</v>
      </c>
      <c r="F985" t="s">
        <v>57</v>
      </c>
      <c r="G985" t="s">
        <v>47</v>
      </c>
      <c r="H985" s="1">
        <v>44024</v>
      </c>
      <c r="I985" t="s">
        <v>1158</v>
      </c>
      <c r="J985" t="s">
        <v>21</v>
      </c>
      <c r="K985" t="s">
        <v>63</v>
      </c>
      <c r="L985" s="2" t="s">
        <v>462</v>
      </c>
      <c r="M985" t="str">
        <f>TEXT(Table13[[#This Row],[Order Date]],"MMM")</f>
        <v>Jul</v>
      </c>
      <c r="N985">
        <f>YEAR(Table13[[#This Row],[Order Date]])</f>
        <v>2020</v>
      </c>
      <c r="O985" t="str">
        <f>"Q"&amp;ROUNDUP(MONTH(Table13[[#This Row],[Order Date]])/3,0)</f>
        <v>Q3</v>
      </c>
      <c r="P985" s="5">
        <f>Table13[[#This Row],[Profit]]/Table13[[#This Row],[Amount]]</f>
        <v>0.10942087002935681</v>
      </c>
      <c r="Q985" s="6">
        <f>Table13[[#This Row],[Amount]]/Table13[[#This Row],[Quantity]]</f>
        <v>749.4</v>
      </c>
    </row>
    <row r="986" spans="1:17" x14ac:dyDescent="0.3">
      <c r="A986" t="s">
        <v>1157</v>
      </c>
      <c r="B986">
        <v>3747</v>
      </c>
      <c r="C986">
        <v>410</v>
      </c>
      <c r="D986">
        <v>5</v>
      </c>
      <c r="E986" t="s">
        <v>30</v>
      </c>
      <c r="F986" t="s">
        <v>57</v>
      </c>
      <c r="G986" t="s">
        <v>47</v>
      </c>
      <c r="H986" s="1">
        <v>44903</v>
      </c>
      <c r="I986" t="s">
        <v>1159</v>
      </c>
      <c r="J986" t="s">
        <v>25</v>
      </c>
      <c r="K986" t="s">
        <v>26</v>
      </c>
      <c r="L986" s="2" t="s">
        <v>152</v>
      </c>
      <c r="M986" t="str">
        <f>TEXT(Table13[[#This Row],[Order Date]],"MMM")</f>
        <v>Dec</v>
      </c>
      <c r="N986">
        <f>YEAR(Table13[[#This Row],[Order Date]])</f>
        <v>2022</v>
      </c>
      <c r="O986" t="str">
        <f>"Q"&amp;ROUNDUP(MONTH(Table13[[#This Row],[Order Date]])/3,0)</f>
        <v>Q4</v>
      </c>
      <c r="P986" s="5">
        <f>Table13[[#This Row],[Profit]]/Table13[[#This Row],[Amount]]</f>
        <v>0.10942087002935681</v>
      </c>
      <c r="Q986" s="6">
        <f>Table13[[#This Row],[Amount]]/Table13[[#This Row],[Quantity]]</f>
        <v>749.4</v>
      </c>
    </row>
    <row r="987" spans="1:17" x14ac:dyDescent="0.3">
      <c r="A987" t="s">
        <v>1157</v>
      </c>
      <c r="B987">
        <v>3747</v>
      </c>
      <c r="C987">
        <v>410</v>
      </c>
      <c r="D987">
        <v>5</v>
      </c>
      <c r="E987" t="s">
        <v>30</v>
      </c>
      <c r="F987" t="s">
        <v>57</v>
      </c>
      <c r="G987" t="s">
        <v>47</v>
      </c>
      <c r="H987" s="1">
        <v>45378</v>
      </c>
      <c r="I987" t="s">
        <v>1160</v>
      </c>
      <c r="J987" t="s">
        <v>98</v>
      </c>
      <c r="K987" t="s">
        <v>99</v>
      </c>
      <c r="L987" s="2" t="s">
        <v>338</v>
      </c>
      <c r="M987" t="str">
        <f>TEXT(Table13[[#This Row],[Order Date]],"MMM")</f>
        <v>Mar</v>
      </c>
      <c r="N987">
        <f>YEAR(Table13[[#This Row],[Order Date]])</f>
        <v>2024</v>
      </c>
      <c r="O987" t="str">
        <f>"Q"&amp;ROUNDUP(MONTH(Table13[[#This Row],[Order Date]])/3,0)</f>
        <v>Q1</v>
      </c>
      <c r="P987" s="5">
        <f>Table13[[#This Row],[Profit]]/Table13[[#This Row],[Amount]]</f>
        <v>0.10942087002935681</v>
      </c>
      <c r="Q987" s="6">
        <f>Table13[[#This Row],[Amount]]/Table13[[#This Row],[Quantity]]</f>
        <v>749.4</v>
      </c>
    </row>
    <row r="988" spans="1:17" x14ac:dyDescent="0.3">
      <c r="A988" t="s">
        <v>1157</v>
      </c>
      <c r="B988">
        <v>3747</v>
      </c>
      <c r="C988">
        <v>410</v>
      </c>
      <c r="D988">
        <v>5</v>
      </c>
      <c r="E988" t="s">
        <v>30</v>
      </c>
      <c r="F988" t="s">
        <v>57</v>
      </c>
      <c r="G988" t="s">
        <v>47</v>
      </c>
      <c r="H988" s="1">
        <v>44974</v>
      </c>
      <c r="I988" t="s">
        <v>1161</v>
      </c>
      <c r="J988" t="s">
        <v>21</v>
      </c>
      <c r="K988" t="s">
        <v>22</v>
      </c>
      <c r="L988" s="2" t="s">
        <v>93</v>
      </c>
      <c r="M988" t="str">
        <f>TEXT(Table13[[#This Row],[Order Date]],"MMM")</f>
        <v>Feb</v>
      </c>
      <c r="N988">
        <f>YEAR(Table13[[#This Row],[Order Date]])</f>
        <v>2023</v>
      </c>
      <c r="O988" t="str">
        <f>"Q"&amp;ROUNDUP(MONTH(Table13[[#This Row],[Order Date]])/3,0)</f>
        <v>Q1</v>
      </c>
      <c r="P988" s="5">
        <f>Table13[[#This Row],[Profit]]/Table13[[#This Row],[Amount]]</f>
        <v>0.10942087002935681</v>
      </c>
      <c r="Q988" s="6">
        <f>Table13[[#This Row],[Amount]]/Table13[[#This Row],[Quantity]]</f>
        <v>749.4</v>
      </c>
    </row>
    <row r="989" spans="1:17" x14ac:dyDescent="0.3">
      <c r="A989" t="s">
        <v>1157</v>
      </c>
      <c r="B989">
        <v>3747</v>
      </c>
      <c r="C989">
        <v>410</v>
      </c>
      <c r="D989">
        <v>5</v>
      </c>
      <c r="E989" t="s">
        <v>30</v>
      </c>
      <c r="F989" t="s">
        <v>57</v>
      </c>
      <c r="G989" t="s">
        <v>47</v>
      </c>
      <c r="H989" s="1">
        <v>44398</v>
      </c>
      <c r="I989" t="s">
        <v>1162</v>
      </c>
      <c r="J989" t="s">
        <v>42</v>
      </c>
      <c r="K989" t="s">
        <v>43</v>
      </c>
      <c r="L989" s="2" t="s">
        <v>27</v>
      </c>
      <c r="M989" t="str">
        <f>TEXT(Table13[[#This Row],[Order Date]],"MMM")</f>
        <v>Jul</v>
      </c>
      <c r="N989">
        <f>YEAR(Table13[[#This Row],[Order Date]])</f>
        <v>2021</v>
      </c>
      <c r="O989" t="str">
        <f>"Q"&amp;ROUNDUP(MONTH(Table13[[#This Row],[Order Date]])/3,0)</f>
        <v>Q3</v>
      </c>
      <c r="P989" s="5">
        <f>Table13[[#This Row],[Profit]]/Table13[[#This Row],[Amount]]</f>
        <v>0.10942087002935681</v>
      </c>
      <c r="Q989" s="6">
        <f>Table13[[#This Row],[Amount]]/Table13[[#This Row],[Quantity]]</f>
        <v>749.4</v>
      </c>
    </row>
    <row r="990" spans="1:17" x14ac:dyDescent="0.3">
      <c r="A990" t="s">
        <v>1157</v>
      </c>
      <c r="B990">
        <v>3194</v>
      </c>
      <c r="C990">
        <v>534</v>
      </c>
      <c r="D990">
        <v>4</v>
      </c>
      <c r="E990" t="s">
        <v>30</v>
      </c>
      <c r="F990" t="s">
        <v>78</v>
      </c>
      <c r="G990" t="s">
        <v>15</v>
      </c>
      <c r="H990" s="1">
        <v>44024</v>
      </c>
      <c r="I990" t="s">
        <v>1158</v>
      </c>
      <c r="J990" t="s">
        <v>21</v>
      </c>
      <c r="K990" t="s">
        <v>63</v>
      </c>
      <c r="L990" s="2" t="s">
        <v>462</v>
      </c>
      <c r="M990" t="str">
        <f>TEXT(Table13[[#This Row],[Order Date]],"MMM")</f>
        <v>Jul</v>
      </c>
      <c r="N990">
        <f>YEAR(Table13[[#This Row],[Order Date]])</f>
        <v>2020</v>
      </c>
      <c r="O990" t="str">
        <f>"Q"&amp;ROUNDUP(MONTH(Table13[[#This Row],[Order Date]])/3,0)</f>
        <v>Q3</v>
      </c>
      <c r="P990" s="5">
        <f>Table13[[#This Row],[Profit]]/Table13[[#This Row],[Amount]]</f>
        <v>0.16718847839699436</v>
      </c>
      <c r="Q990" s="6">
        <f>Table13[[#This Row],[Amount]]/Table13[[#This Row],[Quantity]]</f>
        <v>798.5</v>
      </c>
    </row>
    <row r="991" spans="1:17" x14ac:dyDescent="0.3">
      <c r="A991" t="s">
        <v>1157</v>
      </c>
      <c r="B991">
        <v>3194</v>
      </c>
      <c r="C991">
        <v>534</v>
      </c>
      <c r="D991">
        <v>4</v>
      </c>
      <c r="E991" t="s">
        <v>30</v>
      </c>
      <c r="F991" t="s">
        <v>78</v>
      </c>
      <c r="G991" t="s">
        <v>15</v>
      </c>
      <c r="H991" s="1">
        <v>44903</v>
      </c>
      <c r="I991" t="s">
        <v>1159</v>
      </c>
      <c r="J991" t="s">
        <v>25</v>
      </c>
      <c r="K991" t="s">
        <v>26</v>
      </c>
      <c r="L991" s="2" t="s">
        <v>152</v>
      </c>
      <c r="M991" t="str">
        <f>TEXT(Table13[[#This Row],[Order Date]],"MMM")</f>
        <v>Dec</v>
      </c>
      <c r="N991">
        <f>YEAR(Table13[[#This Row],[Order Date]])</f>
        <v>2022</v>
      </c>
      <c r="O991" t="str">
        <f>"Q"&amp;ROUNDUP(MONTH(Table13[[#This Row],[Order Date]])/3,0)</f>
        <v>Q4</v>
      </c>
      <c r="P991" s="5">
        <f>Table13[[#This Row],[Profit]]/Table13[[#This Row],[Amount]]</f>
        <v>0.16718847839699436</v>
      </c>
      <c r="Q991" s="6">
        <f>Table13[[#This Row],[Amount]]/Table13[[#This Row],[Quantity]]</f>
        <v>798.5</v>
      </c>
    </row>
    <row r="992" spans="1:17" x14ac:dyDescent="0.3">
      <c r="A992" t="s">
        <v>1157</v>
      </c>
      <c r="B992">
        <v>3194</v>
      </c>
      <c r="C992">
        <v>534</v>
      </c>
      <c r="D992">
        <v>4</v>
      </c>
      <c r="E992" t="s">
        <v>30</v>
      </c>
      <c r="F992" t="s">
        <v>78</v>
      </c>
      <c r="G992" t="s">
        <v>15</v>
      </c>
      <c r="H992" s="1">
        <v>45378</v>
      </c>
      <c r="I992" t="s">
        <v>1160</v>
      </c>
      <c r="J992" t="s">
        <v>98</v>
      </c>
      <c r="K992" t="s">
        <v>99</v>
      </c>
      <c r="L992" s="2" t="s">
        <v>338</v>
      </c>
      <c r="M992" t="str">
        <f>TEXT(Table13[[#This Row],[Order Date]],"MMM")</f>
        <v>Mar</v>
      </c>
      <c r="N992">
        <f>YEAR(Table13[[#This Row],[Order Date]])</f>
        <v>2024</v>
      </c>
      <c r="O992" t="str">
        <f>"Q"&amp;ROUNDUP(MONTH(Table13[[#This Row],[Order Date]])/3,0)</f>
        <v>Q1</v>
      </c>
      <c r="P992" s="5">
        <f>Table13[[#This Row],[Profit]]/Table13[[#This Row],[Amount]]</f>
        <v>0.16718847839699436</v>
      </c>
      <c r="Q992" s="6">
        <f>Table13[[#This Row],[Amount]]/Table13[[#This Row],[Quantity]]</f>
        <v>798.5</v>
      </c>
    </row>
    <row r="993" spans="1:17" x14ac:dyDescent="0.3">
      <c r="A993" t="s">
        <v>1157</v>
      </c>
      <c r="B993">
        <v>3194</v>
      </c>
      <c r="C993">
        <v>534</v>
      </c>
      <c r="D993">
        <v>4</v>
      </c>
      <c r="E993" t="s">
        <v>30</v>
      </c>
      <c r="F993" t="s">
        <v>78</v>
      </c>
      <c r="G993" t="s">
        <v>15</v>
      </c>
      <c r="H993" s="1">
        <v>44974</v>
      </c>
      <c r="I993" t="s">
        <v>1161</v>
      </c>
      <c r="J993" t="s">
        <v>21</v>
      </c>
      <c r="K993" t="s">
        <v>22</v>
      </c>
      <c r="L993" s="2" t="s">
        <v>93</v>
      </c>
      <c r="M993" t="str">
        <f>TEXT(Table13[[#This Row],[Order Date]],"MMM")</f>
        <v>Feb</v>
      </c>
      <c r="N993">
        <f>YEAR(Table13[[#This Row],[Order Date]])</f>
        <v>2023</v>
      </c>
      <c r="O993" t="str">
        <f>"Q"&amp;ROUNDUP(MONTH(Table13[[#This Row],[Order Date]])/3,0)</f>
        <v>Q1</v>
      </c>
      <c r="P993" s="5">
        <f>Table13[[#This Row],[Profit]]/Table13[[#This Row],[Amount]]</f>
        <v>0.16718847839699436</v>
      </c>
      <c r="Q993" s="6">
        <f>Table13[[#This Row],[Amount]]/Table13[[#This Row],[Quantity]]</f>
        <v>798.5</v>
      </c>
    </row>
    <row r="994" spans="1:17" x14ac:dyDescent="0.3">
      <c r="A994" t="s">
        <v>1157</v>
      </c>
      <c r="B994">
        <v>3194</v>
      </c>
      <c r="C994">
        <v>534</v>
      </c>
      <c r="D994">
        <v>4</v>
      </c>
      <c r="E994" t="s">
        <v>30</v>
      </c>
      <c r="F994" t="s">
        <v>78</v>
      </c>
      <c r="G994" t="s">
        <v>15</v>
      </c>
      <c r="H994" s="1">
        <v>44398</v>
      </c>
      <c r="I994" t="s">
        <v>1162</v>
      </c>
      <c r="J994" t="s">
        <v>42</v>
      </c>
      <c r="K994" t="s">
        <v>43</v>
      </c>
      <c r="L994" s="2" t="s">
        <v>27</v>
      </c>
      <c r="M994" t="str">
        <f>TEXT(Table13[[#This Row],[Order Date]],"MMM")</f>
        <v>Jul</v>
      </c>
      <c r="N994">
        <f>YEAR(Table13[[#This Row],[Order Date]])</f>
        <v>2021</v>
      </c>
      <c r="O994" t="str">
        <f>"Q"&amp;ROUNDUP(MONTH(Table13[[#This Row],[Order Date]])/3,0)</f>
        <v>Q3</v>
      </c>
      <c r="P994" s="5">
        <f>Table13[[#This Row],[Profit]]/Table13[[#This Row],[Amount]]</f>
        <v>0.16718847839699436</v>
      </c>
      <c r="Q994" s="6">
        <f>Table13[[#This Row],[Amount]]/Table13[[#This Row],[Quantity]]</f>
        <v>798.5</v>
      </c>
    </row>
    <row r="995" spans="1:17" x14ac:dyDescent="0.3">
      <c r="A995" t="s">
        <v>1163</v>
      </c>
      <c r="B995">
        <v>8548</v>
      </c>
      <c r="C995">
        <v>2305</v>
      </c>
      <c r="D995">
        <v>1</v>
      </c>
      <c r="E995" t="s">
        <v>30</v>
      </c>
      <c r="F995" t="s">
        <v>78</v>
      </c>
      <c r="G995" t="s">
        <v>65</v>
      </c>
      <c r="H995" s="1">
        <v>44864</v>
      </c>
      <c r="I995" t="s">
        <v>1164</v>
      </c>
      <c r="J995" t="s">
        <v>17</v>
      </c>
      <c r="K995" t="s">
        <v>150</v>
      </c>
      <c r="L995" s="2" t="s">
        <v>96</v>
      </c>
      <c r="M995" t="str">
        <f>TEXT(Table13[[#This Row],[Order Date]],"MMM")</f>
        <v>Oct</v>
      </c>
      <c r="N995">
        <f>YEAR(Table13[[#This Row],[Order Date]])</f>
        <v>2022</v>
      </c>
      <c r="O995" t="str">
        <f>"Q"&amp;ROUNDUP(MONTH(Table13[[#This Row],[Order Date]])/3,0)</f>
        <v>Q4</v>
      </c>
      <c r="P995" s="5">
        <f>Table13[[#This Row],[Profit]]/Table13[[#This Row],[Amount]]</f>
        <v>0.26965372016846045</v>
      </c>
      <c r="Q995" s="6">
        <f>Table13[[#This Row],[Amount]]/Table13[[#This Row],[Quantity]]</f>
        <v>8548</v>
      </c>
    </row>
    <row r="996" spans="1:17" x14ac:dyDescent="0.3">
      <c r="A996" t="s">
        <v>1165</v>
      </c>
      <c r="B996">
        <v>6089</v>
      </c>
      <c r="C996">
        <v>139</v>
      </c>
      <c r="D996">
        <v>19</v>
      </c>
      <c r="E996" t="s">
        <v>45</v>
      </c>
      <c r="F996" t="s">
        <v>46</v>
      </c>
      <c r="G996" t="s">
        <v>32</v>
      </c>
      <c r="H996" s="1">
        <v>44196</v>
      </c>
      <c r="I996" t="s">
        <v>1166</v>
      </c>
      <c r="J996" t="s">
        <v>98</v>
      </c>
      <c r="K996" t="s">
        <v>107</v>
      </c>
      <c r="L996" s="2" t="s">
        <v>287</v>
      </c>
      <c r="M996" t="str">
        <f>TEXT(Table13[[#This Row],[Order Date]],"MMM")</f>
        <v>Dec</v>
      </c>
      <c r="N996">
        <f>YEAR(Table13[[#This Row],[Order Date]])</f>
        <v>2020</v>
      </c>
      <c r="O996" t="str">
        <f>"Q"&amp;ROUNDUP(MONTH(Table13[[#This Row],[Order Date]])/3,0)</f>
        <v>Q4</v>
      </c>
      <c r="P996" s="5">
        <f>Table13[[#This Row],[Profit]]/Table13[[#This Row],[Amount]]</f>
        <v>2.282805058301856E-2</v>
      </c>
      <c r="Q996" s="6">
        <f>Table13[[#This Row],[Amount]]/Table13[[#This Row],[Quantity]]</f>
        <v>320.4736842105263</v>
      </c>
    </row>
    <row r="997" spans="1:17" x14ac:dyDescent="0.3">
      <c r="A997" t="s">
        <v>1165</v>
      </c>
      <c r="B997">
        <v>6089</v>
      </c>
      <c r="C997">
        <v>139</v>
      </c>
      <c r="D997">
        <v>19</v>
      </c>
      <c r="E997" t="s">
        <v>45</v>
      </c>
      <c r="F997" t="s">
        <v>46</v>
      </c>
      <c r="G997" t="s">
        <v>32</v>
      </c>
      <c r="H997" s="1">
        <v>44666</v>
      </c>
      <c r="I997" t="s">
        <v>1167</v>
      </c>
      <c r="J997" t="s">
        <v>98</v>
      </c>
      <c r="K997" t="s">
        <v>117</v>
      </c>
      <c r="L997" s="2" t="s">
        <v>187</v>
      </c>
      <c r="M997" t="str">
        <f>TEXT(Table13[[#This Row],[Order Date]],"MMM")</f>
        <v>Apr</v>
      </c>
      <c r="N997">
        <f>YEAR(Table13[[#This Row],[Order Date]])</f>
        <v>2022</v>
      </c>
      <c r="O997" t="str">
        <f>"Q"&amp;ROUNDUP(MONTH(Table13[[#This Row],[Order Date]])/3,0)</f>
        <v>Q2</v>
      </c>
      <c r="P997" s="5">
        <f>Table13[[#This Row],[Profit]]/Table13[[#This Row],[Amount]]</f>
        <v>2.282805058301856E-2</v>
      </c>
      <c r="Q997" s="6">
        <f>Table13[[#This Row],[Amount]]/Table13[[#This Row],[Quantity]]</f>
        <v>320.4736842105263</v>
      </c>
    </row>
    <row r="998" spans="1:17" x14ac:dyDescent="0.3">
      <c r="A998" t="s">
        <v>1165</v>
      </c>
      <c r="B998">
        <v>6089</v>
      </c>
      <c r="C998">
        <v>139</v>
      </c>
      <c r="D998">
        <v>19</v>
      </c>
      <c r="E998" t="s">
        <v>45</v>
      </c>
      <c r="F998" t="s">
        <v>46</v>
      </c>
      <c r="G998" t="s">
        <v>32</v>
      </c>
      <c r="H998" s="1">
        <v>45021</v>
      </c>
      <c r="I998" t="s">
        <v>1168</v>
      </c>
      <c r="J998" t="s">
        <v>21</v>
      </c>
      <c r="K998" t="s">
        <v>22</v>
      </c>
      <c r="L998" s="2" t="s">
        <v>145</v>
      </c>
      <c r="M998" t="str">
        <f>TEXT(Table13[[#This Row],[Order Date]],"MMM")</f>
        <v>Apr</v>
      </c>
      <c r="N998">
        <f>YEAR(Table13[[#This Row],[Order Date]])</f>
        <v>2023</v>
      </c>
      <c r="O998" t="str">
        <f>"Q"&amp;ROUNDUP(MONTH(Table13[[#This Row],[Order Date]])/3,0)</f>
        <v>Q2</v>
      </c>
      <c r="P998" s="5">
        <f>Table13[[#This Row],[Profit]]/Table13[[#This Row],[Amount]]</f>
        <v>2.282805058301856E-2</v>
      </c>
      <c r="Q998" s="6">
        <f>Table13[[#This Row],[Amount]]/Table13[[#This Row],[Quantity]]</f>
        <v>320.4736842105263</v>
      </c>
    </row>
    <row r="999" spans="1:17" x14ac:dyDescent="0.3">
      <c r="A999" t="s">
        <v>1165</v>
      </c>
      <c r="B999">
        <v>2586</v>
      </c>
      <c r="C999">
        <v>800</v>
      </c>
      <c r="D999">
        <v>16</v>
      </c>
      <c r="E999" t="s">
        <v>45</v>
      </c>
      <c r="F999" t="s">
        <v>46</v>
      </c>
      <c r="G999" t="s">
        <v>15</v>
      </c>
      <c r="H999" s="1">
        <v>44196</v>
      </c>
      <c r="I999" t="s">
        <v>1166</v>
      </c>
      <c r="J999" t="s">
        <v>98</v>
      </c>
      <c r="K999" t="s">
        <v>107</v>
      </c>
      <c r="L999" s="2" t="s">
        <v>287</v>
      </c>
      <c r="M999" t="str">
        <f>TEXT(Table13[[#This Row],[Order Date]],"MMM")</f>
        <v>Dec</v>
      </c>
      <c r="N999">
        <f>YEAR(Table13[[#This Row],[Order Date]])</f>
        <v>2020</v>
      </c>
      <c r="O999" t="str">
        <f>"Q"&amp;ROUNDUP(MONTH(Table13[[#This Row],[Order Date]])/3,0)</f>
        <v>Q4</v>
      </c>
      <c r="P999" s="5">
        <f>Table13[[#This Row],[Profit]]/Table13[[#This Row],[Amount]]</f>
        <v>0.30935808197989173</v>
      </c>
      <c r="Q999" s="6">
        <f>Table13[[#This Row],[Amount]]/Table13[[#This Row],[Quantity]]</f>
        <v>161.625</v>
      </c>
    </row>
    <row r="1000" spans="1:17" x14ac:dyDescent="0.3">
      <c r="A1000" t="s">
        <v>1165</v>
      </c>
      <c r="B1000">
        <v>2586</v>
      </c>
      <c r="C1000">
        <v>800</v>
      </c>
      <c r="D1000">
        <v>16</v>
      </c>
      <c r="E1000" t="s">
        <v>45</v>
      </c>
      <c r="F1000" t="s">
        <v>46</v>
      </c>
      <c r="G1000" t="s">
        <v>15</v>
      </c>
      <c r="H1000" s="1">
        <v>44666</v>
      </c>
      <c r="I1000" t="s">
        <v>1167</v>
      </c>
      <c r="J1000" t="s">
        <v>98</v>
      </c>
      <c r="K1000" t="s">
        <v>117</v>
      </c>
      <c r="L1000" s="2" t="s">
        <v>187</v>
      </c>
      <c r="M1000" t="str">
        <f>TEXT(Table13[[#This Row],[Order Date]],"MMM")</f>
        <v>Apr</v>
      </c>
      <c r="N1000">
        <f>YEAR(Table13[[#This Row],[Order Date]])</f>
        <v>2022</v>
      </c>
      <c r="O1000" t="str">
        <f>"Q"&amp;ROUNDUP(MONTH(Table13[[#This Row],[Order Date]])/3,0)</f>
        <v>Q2</v>
      </c>
      <c r="P1000" s="5">
        <f>Table13[[#This Row],[Profit]]/Table13[[#This Row],[Amount]]</f>
        <v>0.30935808197989173</v>
      </c>
      <c r="Q1000" s="6">
        <f>Table13[[#This Row],[Amount]]/Table13[[#This Row],[Quantity]]</f>
        <v>161.625</v>
      </c>
    </row>
    <row r="1001" spans="1:17" x14ac:dyDescent="0.3">
      <c r="A1001" t="s">
        <v>1165</v>
      </c>
      <c r="B1001">
        <v>2586</v>
      </c>
      <c r="C1001">
        <v>800</v>
      </c>
      <c r="D1001">
        <v>16</v>
      </c>
      <c r="E1001" t="s">
        <v>45</v>
      </c>
      <c r="F1001" t="s">
        <v>46</v>
      </c>
      <c r="G1001" t="s">
        <v>15</v>
      </c>
      <c r="H1001" s="1">
        <v>45021</v>
      </c>
      <c r="I1001" t="s">
        <v>1168</v>
      </c>
      <c r="J1001" t="s">
        <v>21</v>
      </c>
      <c r="K1001" t="s">
        <v>22</v>
      </c>
      <c r="L1001" s="2" t="s">
        <v>145</v>
      </c>
      <c r="M1001" t="str">
        <f>TEXT(Table13[[#This Row],[Order Date]],"MMM")</f>
        <v>Apr</v>
      </c>
      <c r="N1001">
        <f>YEAR(Table13[[#This Row],[Order Date]])</f>
        <v>2023</v>
      </c>
      <c r="O1001" t="str">
        <f>"Q"&amp;ROUNDUP(MONTH(Table13[[#This Row],[Order Date]])/3,0)</f>
        <v>Q2</v>
      </c>
      <c r="P1001" s="5">
        <f>Table13[[#This Row],[Profit]]/Table13[[#This Row],[Amount]]</f>
        <v>0.30935808197989173</v>
      </c>
      <c r="Q1001" s="6">
        <f>Table13[[#This Row],[Amount]]/Table13[[#This Row],[Quantity]]</f>
        <v>161.625</v>
      </c>
    </row>
    <row r="1002" spans="1:17" x14ac:dyDescent="0.3">
      <c r="A1002" t="s">
        <v>1165</v>
      </c>
      <c r="B1002">
        <v>3757</v>
      </c>
      <c r="C1002">
        <v>1626</v>
      </c>
      <c r="D1002">
        <v>9</v>
      </c>
      <c r="E1002" t="s">
        <v>30</v>
      </c>
      <c r="F1002" t="s">
        <v>64</v>
      </c>
      <c r="G1002" t="s">
        <v>15</v>
      </c>
      <c r="H1002" s="1">
        <v>44196</v>
      </c>
      <c r="I1002" t="s">
        <v>1166</v>
      </c>
      <c r="J1002" t="s">
        <v>98</v>
      </c>
      <c r="K1002" t="s">
        <v>107</v>
      </c>
      <c r="L1002" s="2" t="s">
        <v>287</v>
      </c>
      <c r="M1002" t="str">
        <f>TEXT(Table13[[#This Row],[Order Date]],"MMM")</f>
        <v>Dec</v>
      </c>
      <c r="N1002">
        <f>YEAR(Table13[[#This Row],[Order Date]])</f>
        <v>2020</v>
      </c>
      <c r="O1002" t="str">
        <f>"Q"&amp;ROUNDUP(MONTH(Table13[[#This Row],[Order Date]])/3,0)</f>
        <v>Q4</v>
      </c>
      <c r="P1002" s="5">
        <f>Table13[[#This Row],[Profit]]/Table13[[#This Row],[Amount]]</f>
        <v>0.43279212137343626</v>
      </c>
      <c r="Q1002" s="6">
        <f>Table13[[#This Row],[Amount]]/Table13[[#This Row],[Quantity]]</f>
        <v>417.44444444444446</v>
      </c>
    </row>
    <row r="1003" spans="1:17" x14ac:dyDescent="0.3">
      <c r="A1003" t="s">
        <v>1165</v>
      </c>
      <c r="B1003">
        <v>3757</v>
      </c>
      <c r="C1003">
        <v>1626</v>
      </c>
      <c r="D1003">
        <v>9</v>
      </c>
      <c r="E1003" t="s">
        <v>30</v>
      </c>
      <c r="F1003" t="s">
        <v>64</v>
      </c>
      <c r="G1003" t="s">
        <v>15</v>
      </c>
      <c r="H1003" s="1">
        <v>44666</v>
      </c>
      <c r="I1003" t="s">
        <v>1167</v>
      </c>
      <c r="J1003" t="s">
        <v>98</v>
      </c>
      <c r="K1003" t="s">
        <v>117</v>
      </c>
      <c r="L1003" s="2" t="s">
        <v>187</v>
      </c>
      <c r="M1003" t="str">
        <f>TEXT(Table13[[#This Row],[Order Date]],"MMM")</f>
        <v>Apr</v>
      </c>
      <c r="N1003">
        <f>YEAR(Table13[[#This Row],[Order Date]])</f>
        <v>2022</v>
      </c>
      <c r="O1003" t="str">
        <f>"Q"&amp;ROUNDUP(MONTH(Table13[[#This Row],[Order Date]])/3,0)</f>
        <v>Q2</v>
      </c>
      <c r="P1003" s="5">
        <f>Table13[[#This Row],[Profit]]/Table13[[#This Row],[Amount]]</f>
        <v>0.43279212137343626</v>
      </c>
      <c r="Q1003" s="6">
        <f>Table13[[#This Row],[Amount]]/Table13[[#This Row],[Quantity]]</f>
        <v>417.44444444444446</v>
      </c>
    </row>
    <row r="1004" spans="1:17" x14ac:dyDescent="0.3">
      <c r="A1004" t="s">
        <v>1165</v>
      </c>
      <c r="B1004">
        <v>3757</v>
      </c>
      <c r="C1004">
        <v>1626</v>
      </c>
      <c r="D1004">
        <v>9</v>
      </c>
      <c r="E1004" t="s">
        <v>30</v>
      </c>
      <c r="F1004" t="s">
        <v>64</v>
      </c>
      <c r="G1004" t="s">
        <v>15</v>
      </c>
      <c r="H1004" s="1">
        <v>45021</v>
      </c>
      <c r="I1004" t="s">
        <v>1168</v>
      </c>
      <c r="J1004" t="s">
        <v>21</v>
      </c>
      <c r="K1004" t="s">
        <v>22</v>
      </c>
      <c r="L1004" s="2" t="s">
        <v>145</v>
      </c>
      <c r="M1004" t="str">
        <f>TEXT(Table13[[#This Row],[Order Date]],"MMM")</f>
        <v>Apr</v>
      </c>
      <c r="N1004">
        <f>YEAR(Table13[[#This Row],[Order Date]])</f>
        <v>2023</v>
      </c>
      <c r="O1004" t="str">
        <f>"Q"&amp;ROUNDUP(MONTH(Table13[[#This Row],[Order Date]])/3,0)</f>
        <v>Q2</v>
      </c>
      <c r="P1004" s="5">
        <f>Table13[[#This Row],[Profit]]/Table13[[#This Row],[Amount]]</f>
        <v>0.43279212137343626</v>
      </c>
      <c r="Q1004" s="6">
        <f>Table13[[#This Row],[Amount]]/Table13[[#This Row],[Quantity]]</f>
        <v>417.44444444444446</v>
      </c>
    </row>
    <row r="1005" spans="1:17" x14ac:dyDescent="0.3">
      <c r="A1005" t="s">
        <v>1169</v>
      </c>
      <c r="B1005">
        <v>5193</v>
      </c>
      <c r="C1005">
        <v>2530</v>
      </c>
      <c r="D1005">
        <v>5</v>
      </c>
      <c r="E1005" t="s">
        <v>45</v>
      </c>
      <c r="F1005" t="s">
        <v>60</v>
      </c>
      <c r="G1005" t="s">
        <v>32</v>
      </c>
      <c r="H1005" s="1">
        <v>44498</v>
      </c>
      <c r="I1005" t="s">
        <v>1170</v>
      </c>
      <c r="J1005" t="s">
        <v>42</v>
      </c>
      <c r="K1005" t="s">
        <v>75</v>
      </c>
      <c r="L1005" s="2" t="s">
        <v>37</v>
      </c>
      <c r="M1005" t="str">
        <f>TEXT(Table13[[#This Row],[Order Date]],"MMM")</f>
        <v>Oct</v>
      </c>
      <c r="N1005">
        <f>YEAR(Table13[[#This Row],[Order Date]])</f>
        <v>2021</v>
      </c>
      <c r="O1005" t="str">
        <f>"Q"&amp;ROUNDUP(MONTH(Table13[[#This Row],[Order Date]])/3,0)</f>
        <v>Q4</v>
      </c>
      <c r="P1005" s="5">
        <f>Table13[[#This Row],[Profit]]/Table13[[#This Row],[Amount]]</f>
        <v>0.48719430001925668</v>
      </c>
      <c r="Q1005" s="6">
        <f>Table13[[#This Row],[Amount]]/Table13[[#This Row],[Quantity]]</f>
        <v>1038.5999999999999</v>
      </c>
    </row>
    <row r="1006" spans="1:17" x14ac:dyDescent="0.3">
      <c r="A1006" t="s">
        <v>1169</v>
      </c>
      <c r="B1006">
        <v>5193</v>
      </c>
      <c r="C1006">
        <v>2530</v>
      </c>
      <c r="D1006">
        <v>5</v>
      </c>
      <c r="E1006" t="s">
        <v>45</v>
      </c>
      <c r="F1006" t="s">
        <v>60</v>
      </c>
      <c r="G1006" t="s">
        <v>32</v>
      </c>
      <c r="H1006" s="1">
        <v>45655</v>
      </c>
      <c r="I1006" t="s">
        <v>1171</v>
      </c>
      <c r="J1006" t="s">
        <v>17</v>
      </c>
      <c r="K1006" t="s">
        <v>18</v>
      </c>
      <c r="L1006" s="2" t="s">
        <v>23</v>
      </c>
      <c r="M1006" t="str">
        <f>TEXT(Table13[[#This Row],[Order Date]],"MMM")</f>
        <v>Dec</v>
      </c>
      <c r="N1006">
        <f>YEAR(Table13[[#This Row],[Order Date]])</f>
        <v>2024</v>
      </c>
      <c r="O1006" t="str">
        <f>"Q"&amp;ROUNDUP(MONTH(Table13[[#This Row],[Order Date]])/3,0)</f>
        <v>Q4</v>
      </c>
      <c r="P1006" s="5">
        <f>Table13[[#This Row],[Profit]]/Table13[[#This Row],[Amount]]</f>
        <v>0.48719430001925668</v>
      </c>
      <c r="Q1006" s="6">
        <f>Table13[[#This Row],[Amount]]/Table13[[#This Row],[Quantity]]</f>
        <v>1038.5999999999999</v>
      </c>
    </row>
    <row r="1007" spans="1:17" x14ac:dyDescent="0.3">
      <c r="A1007" t="s">
        <v>1172</v>
      </c>
      <c r="B1007">
        <v>7493</v>
      </c>
      <c r="C1007">
        <v>96</v>
      </c>
      <c r="D1007">
        <v>3</v>
      </c>
      <c r="E1007" t="s">
        <v>13</v>
      </c>
      <c r="F1007" t="s">
        <v>14</v>
      </c>
      <c r="G1007" t="s">
        <v>15</v>
      </c>
      <c r="H1007" s="1">
        <v>44054</v>
      </c>
      <c r="I1007" t="s">
        <v>1173</v>
      </c>
      <c r="J1007" t="s">
        <v>98</v>
      </c>
      <c r="K1007" t="s">
        <v>117</v>
      </c>
      <c r="L1007" s="2" t="s">
        <v>185</v>
      </c>
      <c r="M1007" t="str">
        <f>TEXT(Table13[[#This Row],[Order Date]],"MMM")</f>
        <v>Aug</v>
      </c>
      <c r="N1007">
        <f>YEAR(Table13[[#This Row],[Order Date]])</f>
        <v>2020</v>
      </c>
      <c r="O1007" t="str">
        <f>"Q"&amp;ROUNDUP(MONTH(Table13[[#This Row],[Order Date]])/3,0)</f>
        <v>Q3</v>
      </c>
      <c r="P1007" s="5">
        <f>Table13[[#This Row],[Profit]]/Table13[[#This Row],[Amount]]</f>
        <v>1.2811957827305485E-2</v>
      </c>
      <c r="Q1007" s="6">
        <f>Table13[[#This Row],[Amount]]/Table13[[#This Row],[Quantity]]</f>
        <v>2497.6666666666665</v>
      </c>
    </row>
    <row r="1008" spans="1:17" x14ac:dyDescent="0.3">
      <c r="A1008" t="s">
        <v>1174</v>
      </c>
      <c r="B1008">
        <v>2062</v>
      </c>
      <c r="C1008">
        <v>848</v>
      </c>
      <c r="D1008">
        <v>6</v>
      </c>
      <c r="E1008" t="s">
        <v>30</v>
      </c>
      <c r="F1008" t="s">
        <v>57</v>
      </c>
      <c r="G1008" t="s">
        <v>47</v>
      </c>
      <c r="H1008" s="1">
        <v>45355</v>
      </c>
      <c r="I1008" t="s">
        <v>1175</v>
      </c>
      <c r="J1008" t="s">
        <v>17</v>
      </c>
      <c r="K1008" t="s">
        <v>150</v>
      </c>
      <c r="L1008" s="2" t="s">
        <v>338</v>
      </c>
      <c r="M1008" t="str">
        <f>TEXT(Table13[[#This Row],[Order Date]],"MMM")</f>
        <v>Mar</v>
      </c>
      <c r="N1008">
        <f>YEAR(Table13[[#This Row],[Order Date]])</f>
        <v>2024</v>
      </c>
      <c r="O1008" t="str">
        <f>"Q"&amp;ROUNDUP(MONTH(Table13[[#This Row],[Order Date]])/3,0)</f>
        <v>Q1</v>
      </c>
      <c r="P1008" s="5">
        <f>Table13[[#This Row],[Profit]]/Table13[[#This Row],[Amount]]</f>
        <v>0.41125121241513096</v>
      </c>
      <c r="Q1008" s="6">
        <f>Table13[[#This Row],[Amount]]/Table13[[#This Row],[Quantity]]</f>
        <v>343.66666666666669</v>
      </c>
    </row>
    <row r="1009" spans="1:17" x14ac:dyDescent="0.3">
      <c r="A1009" t="s">
        <v>1176</v>
      </c>
      <c r="B1009">
        <v>7163</v>
      </c>
      <c r="C1009">
        <v>1536</v>
      </c>
      <c r="D1009">
        <v>1</v>
      </c>
      <c r="E1009" t="s">
        <v>13</v>
      </c>
      <c r="F1009" t="s">
        <v>82</v>
      </c>
      <c r="G1009" t="s">
        <v>40</v>
      </c>
      <c r="H1009" s="1">
        <v>45216</v>
      </c>
      <c r="I1009" t="s">
        <v>1177</v>
      </c>
      <c r="J1009" t="s">
        <v>42</v>
      </c>
      <c r="K1009" t="s">
        <v>75</v>
      </c>
      <c r="L1009" s="2" t="s">
        <v>442</v>
      </c>
      <c r="M1009" t="str">
        <f>TEXT(Table13[[#This Row],[Order Date]],"MMM")</f>
        <v>Oct</v>
      </c>
      <c r="N1009">
        <f>YEAR(Table13[[#This Row],[Order Date]])</f>
        <v>2023</v>
      </c>
      <c r="O1009" t="str">
        <f>"Q"&amp;ROUNDUP(MONTH(Table13[[#This Row],[Order Date]])/3,0)</f>
        <v>Q4</v>
      </c>
      <c r="P1009" s="5">
        <f>Table13[[#This Row],[Profit]]/Table13[[#This Row],[Amount]]</f>
        <v>0.21443529247521989</v>
      </c>
      <c r="Q1009" s="6">
        <f>Table13[[#This Row],[Amount]]/Table13[[#This Row],[Quantity]]</f>
        <v>7163</v>
      </c>
    </row>
    <row r="1010" spans="1:17" x14ac:dyDescent="0.3">
      <c r="A1010" t="s">
        <v>1178</v>
      </c>
      <c r="B1010">
        <v>4026</v>
      </c>
      <c r="C1010">
        <v>163</v>
      </c>
      <c r="D1010">
        <v>6</v>
      </c>
      <c r="E1010" t="s">
        <v>13</v>
      </c>
      <c r="F1010" t="s">
        <v>82</v>
      </c>
      <c r="G1010" t="s">
        <v>65</v>
      </c>
      <c r="H1010" s="1">
        <v>45135</v>
      </c>
      <c r="I1010" t="s">
        <v>1179</v>
      </c>
      <c r="J1010" t="s">
        <v>25</v>
      </c>
      <c r="K1010" t="s">
        <v>51</v>
      </c>
      <c r="L1010" s="2" t="s">
        <v>105</v>
      </c>
      <c r="M1010" t="str">
        <f>TEXT(Table13[[#This Row],[Order Date]],"MMM")</f>
        <v>Jul</v>
      </c>
      <c r="N1010">
        <f>YEAR(Table13[[#This Row],[Order Date]])</f>
        <v>2023</v>
      </c>
      <c r="O1010" t="str">
        <f>"Q"&amp;ROUNDUP(MONTH(Table13[[#This Row],[Order Date]])/3,0)</f>
        <v>Q3</v>
      </c>
      <c r="P1010" s="5">
        <f>Table13[[#This Row],[Profit]]/Table13[[#This Row],[Amount]]</f>
        <v>4.0486835568802781E-2</v>
      </c>
      <c r="Q1010" s="6">
        <f>Table13[[#This Row],[Amount]]/Table13[[#This Row],[Quantity]]</f>
        <v>671</v>
      </c>
    </row>
    <row r="1011" spans="1:17" x14ac:dyDescent="0.3">
      <c r="A1011" t="s">
        <v>1180</v>
      </c>
      <c r="B1011">
        <v>1894</v>
      </c>
      <c r="C1011">
        <v>275</v>
      </c>
      <c r="D1011">
        <v>5</v>
      </c>
      <c r="E1011" t="s">
        <v>45</v>
      </c>
      <c r="F1011" t="s">
        <v>49</v>
      </c>
      <c r="G1011" t="s">
        <v>47</v>
      </c>
      <c r="H1011" s="1">
        <v>44527</v>
      </c>
      <c r="I1011" t="s">
        <v>1181</v>
      </c>
      <c r="J1011" t="s">
        <v>17</v>
      </c>
      <c r="K1011" t="s">
        <v>18</v>
      </c>
      <c r="L1011" s="2" t="s">
        <v>175</v>
      </c>
      <c r="M1011" t="str">
        <f>TEXT(Table13[[#This Row],[Order Date]],"MMM")</f>
        <v>Nov</v>
      </c>
      <c r="N1011">
        <f>YEAR(Table13[[#This Row],[Order Date]])</f>
        <v>2021</v>
      </c>
      <c r="O1011" t="str">
        <f>"Q"&amp;ROUNDUP(MONTH(Table13[[#This Row],[Order Date]])/3,0)</f>
        <v>Q4</v>
      </c>
      <c r="P1011" s="5">
        <f>Table13[[#This Row],[Profit]]/Table13[[#This Row],[Amount]]</f>
        <v>0.14519535374868003</v>
      </c>
      <c r="Q1011" s="6">
        <f>Table13[[#This Row],[Amount]]/Table13[[#This Row],[Quantity]]</f>
        <v>378.8</v>
      </c>
    </row>
    <row r="1012" spans="1:17" x14ac:dyDescent="0.3">
      <c r="A1012" t="s">
        <v>1180</v>
      </c>
      <c r="B1012">
        <v>7144</v>
      </c>
      <c r="C1012">
        <v>192</v>
      </c>
      <c r="D1012">
        <v>13</v>
      </c>
      <c r="E1012" t="s">
        <v>13</v>
      </c>
      <c r="F1012" t="s">
        <v>14</v>
      </c>
      <c r="G1012" t="s">
        <v>47</v>
      </c>
      <c r="H1012" s="1">
        <v>44527</v>
      </c>
      <c r="I1012" t="s">
        <v>1181</v>
      </c>
      <c r="J1012" t="s">
        <v>17</v>
      </c>
      <c r="K1012" t="s">
        <v>18</v>
      </c>
      <c r="L1012" s="2" t="s">
        <v>175</v>
      </c>
      <c r="M1012" t="str">
        <f>TEXT(Table13[[#This Row],[Order Date]],"MMM")</f>
        <v>Nov</v>
      </c>
      <c r="N1012">
        <f>YEAR(Table13[[#This Row],[Order Date]])</f>
        <v>2021</v>
      </c>
      <c r="O1012" t="str">
        <f>"Q"&amp;ROUNDUP(MONTH(Table13[[#This Row],[Order Date]])/3,0)</f>
        <v>Q4</v>
      </c>
      <c r="P1012" s="5">
        <f>Table13[[#This Row],[Profit]]/Table13[[#This Row],[Amount]]</f>
        <v>2.6875699888017916E-2</v>
      </c>
      <c r="Q1012" s="6">
        <f>Table13[[#This Row],[Amount]]/Table13[[#This Row],[Quantity]]</f>
        <v>549.53846153846155</v>
      </c>
    </row>
    <row r="1013" spans="1:17" x14ac:dyDescent="0.3">
      <c r="A1013" t="s">
        <v>1182</v>
      </c>
      <c r="B1013">
        <v>3482</v>
      </c>
      <c r="C1013">
        <v>1554</v>
      </c>
      <c r="D1013">
        <v>15</v>
      </c>
      <c r="E1013" t="s">
        <v>13</v>
      </c>
      <c r="F1013" t="s">
        <v>39</v>
      </c>
      <c r="G1013" t="s">
        <v>32</v>
      </c>
      <c r="H1013" s="1">
        <v>44083</v>
      </c>
      <c r="I1013" t="s">
        <v>1183</v>
      </c>
      <c r="J1013" t="s">
        <v>98</v>
      </c>
      <c r="K1013" t="s">
        <v>99</v>
      </c>
      <c r="L1013" s="2" t="s">
        <v>389</v>
      </c>
      <c r="M1013" t="str">
        <f>TEXT(Table13[[#This Row],[Order Date]],"MMM")</f>
        <v>Sep</v>
      </c>
      <c r="N1013">
        <f>YEAR(Table13[[#This Row],[Order Date]])</f>
        <v>2020</v>
      </c>
      <c r="O1013" t="str">
        <f>"Q"&amp;ROUNDUP(MONTH(Table13[[#This Row],[Order Date]])/3,0)</f>
        <v>Q3</v>
      </c>
      <c r="P1013" s="5">
        <f>Table13[[#This Row],[Profit]]/Table13[[#This Row],[Amount]]</f>
        <v>0.44629523262492821</v>
      </c>
      <c r="Q1013" s="6">
        <f>Table13[[#This Row],[Amount]]/Table13[[#This Row],[Quantity]]</f>
        <v>232.13333333333333</v>
      </c>
    </row>
    <row r="1014" spans="1:17" x14ac:dyDescent="0.3">
      <c r="A1014" t="s">
        <v>1184</v>
      </c>
      <c r="B1014">
        <v>4172</v>
      </c>
      <c r="C1014">
        <v>235</v>
      </c>
      <c r="D1014">
        <v>5</v>
      </c>
      <c r="E1014" t="s">
        <v>30</v>
      </c>
      <c r="F1014" t="s">
        <v>64</v>
      </c>
      <c r="G1014" t="s">
        <v>40</v>
      </c>
      <c r="H1014" s="1">
        <v>44349</v>
      </c>
      <c r="I1014" t="s">
        <v>1185</v>
      </c>
      <c r="J1014" t="s">
        <v>98</v>
      </c>
      <c r="K1014" t="s">
        <v>117</v>
      </c>
      <c r="L1014" s="2" t="s">
        <v>125</v>
      </c>
      <c r="M1014" t="str">
        <f>TEXT(Table13[[#This Row],[Order Date]],"MMM")</f>
        <v>Jun</v>
      </c>
      <c r="N1014">
        <f>YEAR(Table13[[#This Row],[Order Date]])</f>
        <v>2021</v>
      </c>
      <c r="O1014" t="str">
        <f>"Q"&amp;ROUNDUP(MONTH(Table13[[#This Row],[Order Date]])/3,0)</f>
        <v>Q2</v>
      </c>
      <c r="P1014" s="5">
        <f>Table13[[#This Row],[Profit]]/Table13[[#This Row],[Amount]]</f>
        <v>5.6327900287631828E-2</v>
      </c>
      <c r="Q1014" s="6">
        <f>Table13[[#This Row],[Amount]]/Table13[[#This Row],[Quantity]]</f>
        <v>834.4</v>
      </c>
    </row>
    <row r="1015" spans="1:17" x14ac:dyDescent="0.3">
      <c r="A1015" t="s">
        <v>1184</v>
      </c>
      <c r="B1015">
        <v>4172</v>
      </c>
      <c r="C1015">
        <v>235</v>
      </c>
      <c r="D1015">
        <v>5</v>
      </c>
      <c r="E1015" t="s">
        <v>30</v>
      </c>
      <c r="F1015" t="s">
        <v>64</v>
      </c>
      <c r="G1015" t="s">
        <v>40</v>
      </c>
      <c r="H1015" s="1">
        <v>44795</v>
      </c>
      <c r="I1015" t="s">
        <v>1186</v>
      </c>
      <c r="J1015" t="s">
        <v>17</v>
      </c>
      <c r="K1015" t="s">
        <v>34</v>
      </c>
      <c r="L1015" s="2" t="s">
        <v>209</v>
      </c>
      <c r="M1015" t="str">
        <f>TEXT(Table13[[#This Row],[Order Date]],"MMM")</f>
        <v>Aug</v>
      </c>
      <c r="N1015">
        <f>YEAR(Table13[[#This Row],[Order Date]])</f>
        <v>2022</v>
      </c>
      <c r="O1015" t="str">
        <f>"Q"&amp;ROUNDUP(MONTH(Table13[[#This Row],[Order Date]])/3,0)</f>
        <v>Q3</v>
      </c>
      <c r="P1015" s="5">
        <f>Table13[[#This Row],[Profit]]/Table13[[#This Row],[Amount]]</f>
        <v>5.6327900287631828E-2</v>
      </c>
      <c r="Q1015" s="6">
        <f>Table13[[#This Row],[Amount]]/Table13[[#This Row],[Quantity]]</f>
        <v>834.4</v>
      </c>
    </row>
    <row r="1016" spans="1:17" x14ac:dyDescent="0.3">
      <c r="A1016" t="s">
        <v>1184</v>
      </c>
      <c r="B1016">
        <v>4172</v>
      </c>
      <c r="C1016">
        <v>235</v>
      </c>
      <c r="D1016">
        <v>5</v>
      </c>
      <c r="E1016" t="s">
        <v>30</v>
      </c>
      <c r="F1016" t="s">
        <v>64</v>
      </c>
      <c r="G1016" t="s">
        <v>40</v>
      </c>
      <c r="H1016" s="1">
        <v>45398</v>
      </c>
      <c r="I1016" t="s">
        <v>1187</v>
      </c>
      <c r="J1016" t="s">
        <v>21</v>
      </c>
      <c r="K1016" t="s">
        <v>63</v>
      </c>
      <c r="L1016" s="2" t="s">
        <v>235</v>
      </c>
      <c r="M1016" t="str">
        <f>TEXT(Table13[[#This Row],[Order Date]],"MMM")</f>
        <v>Apr</v>
      </c>
      <c r="N1016">
        <f>YEAR(Table13[[#This Row],[Order Date]])</f>
        <v>2024</v>
      </c>
      <c r="O1016" t="str">
        <f>"Q"&amp;ROUNDUP(MONTH(Table13[[#This Row],[Order Date]])/3,0)</f>
        <v>Q2</v>
      </c>
      <c r="P1016" s="5">
        <f>Table13[[#This Row],[Profit]]/Table13[[#This Row],[Amount]]</f>
        <v>5.6327900287631828E-2</v>
      </c>
      <c r="Q1016" s="6">
        <f>Table13[[#This Row],[Amount]]/Table13[[#This Row],[Quantity]]</f>
        <v>834.4</v>
      </c>
    </row>
    <row r="1017" spans="1:17" x14ac:dyDescent="0.3">
      <c r="A1017" t="s">
        <v>1188</v>
      </c>
      <c r="B1017">
        <v>6265</v>
      </c>
      <c r="C1017">
        <v>155</v>
      </c>
      <c r="D1017">
        <v>8</v>
      </c>
      <c r="E1017" t="s">
        <v>45</v>
      </c>
      <c r="F1017" t="s">
        <v>60</v>
      </c>
      <c r="G1017" t="s">
        <v>65</v>
      </c>
      <c r="H1017" s="1">
        <v>44796</v>
      </c>
      <c r="I1017" t="s">
        <v>1189</v>
      </c>
      <c r="J1017" t="s">
        <v>98</v>
      </c>
      <c r="K1017" t="s">
        <v>107</v>
      </c>
      <c r="L1017" s="2" t="s">
        <v>209</v>
      </c>
      <c r="M1017" t="str">
        <f>TEXT(Table13[[#This Row],[Order Date]],"MMM")</f>
        <v>Aug</v>
      </c>
      <c r="N1017">
        <f>YEAR(Table13[[#This Row],[Order Date]])</f>
        <v>2022</v>
      </c>
      <c r="O1017" t="str">
        <f>"Q"&amp;ROUNDUP(MONTH(Table13[[#This Row],[Order Date]])/3,0)</f>
        <v>Q3</v>
      </c>
      <c r="P1017" s="5">
        <f>Table13[[#This Row],[Profit]]/Table13[[#This Row],[Amount]]</f>
        <v>2.4740622505985636E-2</v>
      </c>
      <c r="Q1017" s="6">
        <f>Table13[[#This Row],[Amount]]/Table13[[#This Row],[Quantity]]</f>
        <v>783.125</v>
      </c>
    </row>
    <row r="1018" spans="1:17" x14ac:dyDescent="0.3">
      <c r="A1018" t="s">
        <v>1188</v>
      </c>
      <c r="B1018">
        <v>6265</v>
      </c>
      <c r="C1018">
        <v>155</v>
      </c>
      <c r="D1018">
        <v>8</v>
      </c>
      <c r="E1018" t="s">
        <v>45</v>
      </c>
      <c r="F1018" t="s">
        <v>60</v>
      </c>
      <c r="G1018" t="s">
        <v>65</v>
      </c>
      <c r="H1018" s="1">
        <v>44267</v>
      </c>
      <c r="I1018" t="s">
        <v>1190</v>
      </c>
      <c r="J1018" t="s">
        <v>98</v>
      </c>
      <c r="K1018" t="s">
        <v>117</v>
      </c>
      <c r="L1018" s="2" t="s">
        <v>167</v>
      </c>
      <c r="M1018" t="str">
        <f>TEXT(Table13[[#This Row],[Order Date]],"MMM")</f>
        <v>Mar</v>
      </c>
      <c r="N1018">
        <f>YEAR(Table13[[#This Row],[Order Date]])</f>
        <v>2021</v>
      </c>
      <c r="O1018" t="str">
        <f>"Q"&amp;ROUNDUP(MONTH(Table13[[#This Row],[Order Date]])/3,0)</f>
        <v>Q1</v>
      </c>
      <c r="P1018" s="5">
        <f>Table13[[#This Row],[Profit]]/Table13[[#This Row],[Amount]]</f>
        <v>2.4740622505985636E-2</v>
      </c>
      <c r="Q1018" s="6">
        <f>Table13[[#This Row],[Amount]]/Table13[[#This Row],[Quantity]]</f>
        <v>783.125</v>
      </c>
    </row>
    <row r="1019" spans="1:17" x14ac:dyDescent="0.3">
      <c r="A1019" t="s">
        <v>1191</v>
      </c>
      <c r="B1019">
        <v>2931</v>
      </c>
      <c r="C1019">
        <v>212</v>
      </c>
      <c r="D1019">
        <v>7</v>
      </c>
      <c r="E1019" t="s">
        <v>13</v>
      </c>
      <c r="F1019" t="s">
        <v>14</v>
      </c>
      <c r="G1019" t="s">
        <v>47</v>
      </c>
      <c r="H1019" s="1">
        <v>45469</v>
      </c>
      <c r="I1019" t="s">
        <v>1192</v>
      </c>
      <c r="J1019" t="s">
        <v>21</v>
      </c>
      <c r="K1019" t="s">
        <v>172</v>
      </c>
      <c r="L1019" s="2" t="s">
        <v>262</v>
      </c>
      <c r="M1019" t="str">
        <f>TEXT(Table13[[#This Row],[Order Date]],"MMM")</f>
        <v>Jun</v>
      </c>
      <c r="N1019">
        <f>YEAR(Table13[[#This Row],[Order Date]])</f>
        <v>2024</v>
      </c>
      <c r="O1019" t="str">
        <f>"Q"&amp;ROUNDUP(MONTH(Table13[[#This Row],[Order Date]])/3,0)</f>
        <v>Q2</v>
      </c>
      <c r="P1019" s="5">
        <f>Table13[[#This Row],[Profit]]/Table13[[#This Row],[Amount]]</f>
        <v>7.2330262708973053E-2</v>
      </c>
      <c r="Q1019" s="6">
        <f>Table13[[#This Row],[Amount]]/Table13[[#This Row],[Quantity]]</f>
        <v>418.71428571428572</v>
      </c>
    </row>
    <row r="1020" spans="1:17" x14ac:dyDescent="0.3">
      <c r="A1020" t="s">
        <v>1191</v>
      </c>
      <c r="B1020">
        <v>2931</v>
      </c>
      <c r="C1020">
        <v>212</v>
      </c>
      <c r="D1020">
        <v>7</v>
      </c>
      <c r="E1020" t="s">
        <v>13</v>
      </c>
      <c r="F1020" t="s">
        <v>14</v>
      </c>
      <c r="G1020" t="s">
        <v>47</v>
      </c>
      <c r="H1020" s="1">
        <v>45268</v>
      </c>
      <c r="I1020" t="s">
        <v>1193</v>
      </c>
      <c r="J1020" t="s">
        <v>17</v>
      </c>
      <c r="K1020" t="s">
        <v>150</v>
      </c>
      <c r="L1020" s="2" t="s">
        <v>102</v>
      </c>
      <c r="M1020" t="str">
        <f>TEXT(Table13[[#This Row],[Order Date]],"MMM")</f>
        <v>Dec</v>
      </c>
      <c r="N1020">
        <f>YEAR(Table13[[#This Row],[Order Date]])</f>
        <v>2023</v>
      </c>
      <c r="O1020" t="str">
        <f>"Q"&amp;ROUNDUP(MONTH(Table13[[#This Row],[Order Date]])/3,0)</f>
        <v>Q4</v>
      </c>
      <c r="P1020" s="5">
        <f>Table13[[#This Row],[Profit]]/Table13[[#This Row],[Amount]]</f>
        <v>7.2330262708973053E-2</v>
      </c>
      <c r="Q1020" s="6">
        <f>Table13[[#This Row],[Amount]]/Table13[[#This Row],[Quantity]]</f>
        <v>418.71428571428572</v>
      </c>
    </row>
    <row r="1021" spans="1:17" x14ac:dyDescent="0.3">
      <c r="A1021" t="s">
        <v>1194</v>
      </c>
      <c r="B1021">
        <v>1146</v>
      </c>
      <c r="C1021">
        <v>188</v>
      </c>
      <c r="D1021">
        <v>9</v>
      </c>
      <c r="E1021" t="s">
        <v>45</v>
      </c>
      <c r="F1021" t="s">
        <v>49</v>
      </c>
      <c r="G1021" t="s">
        <v>32</v>
      </c>
      <c r="H1021" s="1">
        <v>45623</v>
      </c>
      <c r="I1021" t="s">
        <v>1195</v>
      </c>
      <c r="J1021" t="s">
        <v>17</v>
      </c>
      <c r="K1021" t="s">
        <v>150</v>
      </c>
      <c r="L1021" s="2" t="s">
        <v>255</v>
      </c>
      <c r="M1021" t="str">
        <f>TEXT(Table13[[#This Row],[Order Date]],"MMM")</f>
        <v>Nov</v>
      </c>
      <c r="N1021">
        <f>YEAR(Table13[[#This Row],[Order Date]])</f>
        <v>2024</v>
      </c>
      <c r="O1021" t="str">
        <f>"Q"&amp;ROUNDUP(MONTH(Table13[[#This Row],[Order Date]])/3,0)</f>
        <v>Q4</v>
      </c>
      <c r="P1021" s="5">
        <f>Table13[[#This Row],[Profit]]/Table13[[#This Row],[Amount]]</f>
        <v>0.16404886561954624</v>
      </c>
      <c r="Q1021" s="6">
        <f>Table13[[#This Row],[Amount]]/Table13[[#This Row],[Quantity]]</f>
        <v>127.33333333333333</v>
      </c>
    </row>
    <row r="1022" spans="1:17" x14ac:dyDescent="0.3">
      <c r="A1022" t="s">
        <v>1196</v>
      </c>
      <c r="B1022">
        <v>9215</v>
      </c>
      <c r="C1022">
        <v>767</v>
      </c>
      <c r="D1022">
        <v>13</v>
      </c>
      <c r="E1022" t="s">
        <v>13</v>
      </c>
      <c r="F1022" t="s">
        <v>28</v>
      </c>
      <c r="G1022" t="s">
        <v>65</v>
      </c>
      <c r="H1022" s="1">
        <v>44571</v>
      </c>
      <c r="I1022" t="s">
        <v>1197</v>
      </c>
      <c r="J1022" t="s">
        <v>17</v>
      </c>
      <c r="K1022" t="s">
        <v>150</v>
      </c>
      <c r="L1022" s="2" t="s">
        <v>87</v>
      </c>
      <c r="M1022" t="str">
        <f>TEXT(Table13[[#This Row],[Order Date]],"MMM")</f>
        <v>Jan</v>
      </c>
      <c r="N1022">
        <f>YEAR(Table13[[#This Row],[Order Date]])</f>
        <v>2022</v>
      </c>
      <c r="O1022" t="str">
        <f>"Q"&amp;ROUNDUP(MONTH(Table13[[#This Row],[Order Date]])/3,0)</f>
        <v>Q1</v>
      </c>
      <c r="P1022" s="5">
        <f>Table13[[#This Row],[Profit]]/Table13[[#This Row],[Amount]]</f>
        <v>8.3233857840477488E-2</v>
      </c>
      <c r="Q1022" s="6">
        <f>Table13[[#This Row],[Amount]]/Table13[[#This Row],[Quantity]]</f>
        <v>708.84615384615381</v>
      </c>
    </row>
    <row r="1023" spans="1:17" x14ac:dyDescent="0.3">
      <c r="A1023" t="s">
        <v>1196</v>
      </c>
      <c r="B1023">
        <v>9215</v>
      </c>
      <c r="C1023">
        <v>767</v>
      </c>
      <c r="D1023">
        <v>13</v>
      </c>
      <c r="E1023" t="s">
        <v>13</v>
      </c>
      <c r="F1023" t="s">
        <v>28</v>
      </c>
      <c r="G1023" t="s">
        <v>65</v>
      </c>
      <c r="H1023" s="1">
        <v>44501</v>
      </c>
      <c r="I1023" t="s">
        <v>1198</v>
      </c>
      <c r="J1023" t="s">
        <v>42</v>
      </c>
      <c r="K1023" t="s">
        <v>92</v>
      </c>
      <c r="L1023" s="2" t="s">
        <v>175</v>
      </c>
      <c r="M1023" t="str">
        <f>TEXT(Table13[[#This Row],[Order Date]],"MMM")</f>
        <v>Nov</v>
      </c>
      <c r="N1023">
        <f>YEAR(Table13[[#This Row],[Order Date]])</f>
        <v>2021</v>
      </c>
      <c r="O1023" t="str">
        <f>"Q"&amp;ROUNDUP(MONTH(Table13[[#This Row],[Order Date]])/3,0)</f>
        <v>Q4</v>
      </c>
      <c r="P1023" s="5">
        <f>Table13[[#This Row],[Profit]]/Table13[[#This Row],[Amount]]</f>
        <v>8.3233857840477488E-2</v>
      </c>
      <c r="Q1023" s="6">
        <f>Table13[[#This Row],[Amount]]/Table13[[#This Row],[Quantity]]</f>
        <v>708.84615384615381</v>
      </c>
    </row>
    <row r="1024" spans="1:17" x14ac:dyDescent="0.3">
      <c r="A1024" t="s">
        <v>1199</v>
      </c>
      <c r="B1024">
        <v>7895</v>
      </c>
      <c r="C1024">
        <v>1005</v>
      </c>
      <c r="D1024">
        <v>1</v>
      </c>
      <c r="E1024" t="s">
        <v>45</v>
      </c>
      <c r="F1024" t="s">
        <v>49</v>
      </c>
      <c r="G1024" t="s">
        <v>47</v>
      </c>
      <c r="H1024" s="1">
        <v>45227</v>
      </c>
      <c r="I1024" t="s">
        <v>1200</v>
      </c>
      <c r="J1024" t="s">
        <v>98</v>
      </c>
      <c r="K1024" t="s">
        <v>107</v>
      </c>
      <c r="L1024" s="2" t="s">
        <v>442</v>
      </c>
      <c r="M1024" t="str">
        <f>TEXT(Table13[[#This Row],[Order Date]],"MMM")</f>
        <v>Oct</v>
      </c>
      <c r="N1024">
        <f>YEAR(Table13[[#This Row],[Order Date]])</f>
        <v>2023</v>
      </c>
      <c r="O1024" t="str">
        <f>"Q"&amp;ROUNDUP(MONTH(Table13[[#This Row],[Order Date]])/3,0)</f>
        <v>Q4</v>
      </c>
      <c r="P1024" s="5">
        <f>Table13[[#This Row],[Profit]]/Table13[[#This Row],[Amount]]</f>
        <v>0.1272957568081064</v>
      </c>
      <c r="Q1024" s="6">
        <f>Table13[[#This Row],[Amount]]/Table13[[#This Row],[Quantity]]</f>
        <v>7895</v>
      </c>
    </row>
    <row r="1025" spans="1:17" x14ac:dyDescent="0.3">
      <c r="A1025" t="s">
        <v>1199</v>
      </c>
      <c r="B1025">
        <v>7895</v>
      </c>
      <c r="C1025">
        <v>1005</v>
      </c>
      <c r="D1025">
        <v>1</v>
      </c>
      <c r="E1025" t="s">
        <v>45</v>
      </c>
      <c r="F1025" t="s">
        <v>49</v>
      </c>
      <c r="G1025" t="s">
        <v>47</v>
      </c>
      <c r="H1025" s="1">
        <v>45717</v>
      </c>
      <c r="I1025" t="s">
        <v>1201</v>
      </c>
      <c r="J1025" t="s">
        <v>42</v>
      </c>
      <c r="K1025" t="s">
        <v>75</v>
      </c>
      <c r="L1025" s="2" t="s">
        <v>157</v>
      </c>
      <c r="M1025" t="str">
        <f>TEXT(Table13[[#This Row],[Order Date]],"MMM")</f>
        <v>Mar</v>
      </c>
      <c r="N1025">
        <f>YEAR(Table13[[#This Row],[Order Date]])</f>
        <v>2025</v>
      </c>
      <c r="O1025" t="str">
        <f>"Q"&amp;ROUNDUP(MONTH(Table13[[#This Row],[Order Date]])/3,0)</f>
        <v>Q1</v>
      </c>
      <c r="P1025" s="5">
        <f>Table13[[#This Row],[Profit]]/Table13[[#This Row],[Amount]]</f>
        <v>0.1272957568081064</v>
      </c>
      <c r="Q1025" s="6">
        <f>Table13[[#This Row],[Amount]]/Table13[[#This Row],[Quantity]]</f>
        <v>7895</v>
      </c>
    </row>
    <row r="1026" spans="1:17" x14ac:dyDescent="0.3">
      <c r="A1026" t="s">
        <v>1199</v>
      </c>
      <c r="B1026">
        <v>2740</v>
      </c>
      <c r="C1026">
        <v>558</v>
      </c>
      <c r="D1026">
        <v>8</v>
      </c>
      <c r="E1026" t="s">
        <v>30</v>
      </c>
      <c r="F1026" t="s">
        <v>31</v>
      </c>
      <c r="G1026" t="s">
        <v>15</v>
      </c>
      <c r="H1026" s="1">
        <v>45227</v>
      </c>
      <c r="I1026" t="s">
        <v>1200</v>
      </c>
      <c r="J1026" t="s">
        <v>98</v>
      </c>
      <c r="K1026" t="s">
        <v>107</v>
      </c>
      <c r="L1026" s="2" t="s">
        <v>442</v>
      </c>
      <c r="M1026" t="str">
        <f>TEXT(Table13[[#This Row],[Order Date]],"MMM")</f>
        <v>Oct</v>
      </c>
      <c r="N1026">
        <f>YEAR(Table13[[#This Row],[Order Date]])</f>
        <v>2023</v>
      </c>
      <c r="O1026" t="str">
        <f>"Q"&amp;ROUNDUP(MONTH(Table13[[#This Row],[Order Date]])/3,0)</f>
        <v>Q4</v>
      </c>
      <c r="P1026" s="5">
        <f>Table13[[#This Row],[Profit]]/Table13[[#This Row],[Amount]]</f>
        <v>0.20364963503649636</v>
      </c>
      <c r="Q1026" s="6">
        <f>Table13[[#This Row],[Amount]]/Table13[[#This Row],[Quantity]]</f>
        <v>342.5</v>
      </c>
    </row>
    <row r="1027" spans="1:17" x14ac:dyDescent="0.3">
      <c r="A1027" t="s">
        <v>1199</v>
      </c>
      <c r="B1027">
        <v>2740</v>
      </c>
      <c r="C1027">
        <v>558</v>
      </c>
      <c r="D1027">
        <v>8</v>
      </c>
      <c r="E1027" t="s">
        <v>30</v>
      </c>
      <c r="F1027" t="s">
        <v>31</v>
      </c>
      <c r="G1027" t="s">
        <v>15</v>
      </c>
      <c r="H1027" s="1">
        <v>45717</v>
      </c>
      <c r="I1027" t="s">
        <v>1201</v>
      </c>
      <c r="J1027" t="s">
        <v>42</v>
      </c>
      <c r="K1027" t="s">
        <v>75</v>
      </c>
      <c r="L1027" s="2" t="s">
        <v>157</v>
      </c>
      <c r="M1027" t="str">
        <f>TEXT(Table13[[#This Row],[Order Date]],"MMM")</f>
        <v>Mar</v>
      </c>
      <c r="N1027">
        <f>YEAR(Table13[[#This Row],[Order Date]])</f>
        <v>2025</v>
      </c>
      <c r="O1027" t="str">
        <f>"Q"&amp;ROUNDUP(MONTH(Table13[[#This Row],[Order Date]])/3,0)</f>
        <v>Q1</v>
      </c>
      <c r="P1027" s="5">
        <f>Table13[[#This Row],[Profit]]/Table13[[#This Row],[Amount]]</f>
        <v>0.20364963503649636</v>
      </c>
      <c r="Q1027" s="6">
        <f>Table13[[#This Row],[Amount]]/Table13[[#This Row],[Quantity]]</f>
        <v>342.5</v>
      </c>
    </row>
    <row r="1028" spans="1:17" x14ac:dyDescent="0.3">
      <c r="A1028" t="s">
        <v>1202</v>
      </c>
      <c r="B1028">
        <v>5338</v>
      </c>
      <c r="C1028">
        <v>1354</v>
      </c>
      <c r="D1028">
        <v>16</v>
      </c>
      <c r="E1028" t="s">
        <v>30</v>
      </c>
      <c r="F1028" t="s">
        <v>57</v>
      </c>
      <c r="G1028" t="s">
        <v>15</v>
      </c>
      <c r="H1028" s="1">
        <v>45505</v>
      </c>
      <c r="I1028" t="s">
        <v>1203</v>
      </c>
      <c r="J1028" t="s">
        <v>21</v>
      </c>
      <c r="K1028" t="s">
        <v>172</v>
      </c>
      <c r="L1028" s="2" t="s">
        <v>114</v>
      </c>
      <c r="M1028" t="str">
        <f>TEXT(Table13[[#This Row],[Order Date]],"MMM")</f>
        <v>Aug</v>
      </c>
      <c r="N1028">
        <f>YEAR(Table13[[#This Row],[Order Date]])</f>
        <v>2024</v>
      </c>
      <c r="O1028" t="str">
        <f>"Q"&amp;ROUNDUP(MONTH(Table13[[#This Row],[Order Date]])/3,0)</f>
        <v>Q3</v>
      </c>
      <c r="P1028" s="5">
        <f>Table13[[#This Row],[Profit]]/Table13[[#This Row],[Amount]]</f>
        <v>0.25365305357811913</v>
      </c>
      <c r="Q1028" s="6">
        <f>Table13[[#This Row],[Amount]]/Table13[[#This Row],[Quantity]]</f>
        <v>333.625</v>
      </c>
    </row>
    <row r="1029" spans="1:17" x14ac:dyDescent="0.3">
      <c r="A1029" t="s">
        <v>1202</v>
      </c>
      <c r="B1029">
        <v>5338</v>
      </c>
      <c r="C1029">
        <v>1354</v>
      </c>
      <c r="D1029">
        <v>16</v>
      </c>
      <c r="E1029" t="s">
        <v>30</v>
      </c>
      <c r="F1029" t="s">
        <v>57</v>
      </c>
      <c r="G1029" t="s">
        <v>15</v>
      </c>
      <c r="H1029" s="1">
        <v>45084</v>
      </c>
      <c r="I1029" t="s">
        <v>1204</v>
      </c>
      <c r="J1029" t="s">
        <v>25</v>
      </c>
      <c r="K1029" t="s">
        <v>26</v>
      </c>
      <c r="L1029" s="2" t="s">
        <v>19</v>
      </c>
      <c r="M1029" t="str">
        <f>TEXT(Table13[[#This Row],[Order Date]],"MMM")</f>
        <v>Jun</v>
      </c>
      <c r="N1029">
        <f>YEAR(Table13[[#This Row],[Order Date]])</f>
        <v>2023</v>
      </c>
      <c r="O1029" t="str">
        <f>"Q"&amp;ROUNDUP(MONTH(Table13[[#This Row],[Order Date]])/3,0)</f>
        <v>Q2</v>
      </c>
      <c r="P1029" s="5">
        <f>Table13[[#This Row],[Profit]]/Table13[[#This Row],[Amount]]</f>
        <v>0.25365305357811913</v>
      </c>
      <c r="Q1029" s="6">
        <f>Table13[[#This Row],[Amount]]/Table13[[#This Row],[Quantity]]</f>
        <v>333.625</v>
      </c>
    </row>
    <row r="1030" spans="1:17" x14ac:dyDescent="0.3">
      <c r="A1030" t="s">
        <v>1202</v>
      </c>
      <c r="B1030">
        <v>5338</v>
      </c>
      <c r="C1030">
        <v>1354</v>
      </c>
      <c r="D1030">
        <v>16</v>
      </c>
      <c r="E1030" t="s">
        <v>30</v>
      </c>
      <c r="F1030" t="s">
        <v>57</v>
      </c>
      <c r="G1030" t="s">
        <v>15</v>
      </c>
      <c r="H1030" s="1">
        <v>45586</v>
      </c>
      <c r="I1030" t="s">
        <v>1205</v>
      </c>
      <c r="J1030" t="s">
        <v>17</v>
      </c>
      <c r="K1030" t="s">
        <v>34</v>
      </c>
      <c r="L1030" s="2" t="s">
        <v>360</v>
      </c>
      <c r="M1030" t="str">
        <f>TEXT(Table13[[#This Row],[Order Date]],"MMM")</f>
        <v>Oct</v>
      </c>
      <c r="N1030">
        <f>YEAR(Table13[[#This Row],[Order Date]])</f>
        <v>2024</v>
      </c>
      <c r="O1030" t="str">
        <f>"Q"&amp;ROUNDUP(MONTH(Table13[[#This Row],[Order Date]])/3,0)</f>
        <v>Q4</v>
      </c>
      <c r="P1030" s="5">
        <f>Table13[[#This Row],[Profit]]/Table13[[#This Row],[Amount]]</f>
        <v>0.25365305357811913</v>
      </c>
      <c r="Q1030" s="6">
        <f>Table13[[#This Row],[Amount]]/Table13[[#This Row],[Quantity]]</f>
        <v>333.625</v>
      </c>
    </row>
    <row r="1031" spans="1:17" x14ac:dyDescent="0.3">
      <c r="A1031" t="s">
        <v>1202</v>
      </c>
      <c r="B1031">
        <v>5338</v>
      </c>
      <c r="C1031">
        <v>1354</v>
      </c>
      <c r="D1031">
        <v>16</v>
      </c>
      <c r="E1031" t="s">
        <v>30</v>
      </c>
      <c r="F1031" t="s">
        <v>57</v>
      </c>
      <c r="G1031" t="s">
        <v>15</v>
      </c>
      <c r="H1031" s="1">
        <v>44200</v>
      </c>
      <c r="I1031" t="s">
        <v>1206</v>
      </c>
      <c r="J1031" t="s">
        <v>25</v>
      </c>
      <c r="K1031" t="s">
        <v>26</v>
      </c>
      <c r="L1031" s="2" t="s">
        <v>276</v>
      </c>
      <c r="M1031" t="str">
        <f>TEXT(Table13[[#This Row],[Order Date]],"MMM")</f>
        <v>Jan</v>
      </c>
      <c r="N1031">
        <f>YEAR(Table13[[#This Row],[Order Date]])</f>
        <v>2021</v>
      </c>
      <c r="O1031" t="str">
        <f>"Q"&amp;ROUNDUP(MONTH(Table13[[#This Row],[Order Date]])/3,0)</f>
        <v>Q1</v>
      </c>
      <c r="P1031" s="5">
        <f>Table13[[#This Row],[Profit]]/Table13[[#This Row],[Amount]]</f>
        <v>0.25365305357811913</v>
      </c>
      <c r="Q1031" s="6">
        <f>Table13[[#This Row],[Amount]]/Table13[[#This Row],[Quantity]]</f>
        <v>333.625</v>
      </c>
    </row>
    <row r="1032" spans="1:17" x14ac:dyDescent="0.3">
      <c r="A1032" t="s">
        <v>1207</v>
      </c>
      <c r="B1032">
        <v>3095</v>
      </c>
      <c r="C1032">
        <v>941</v>
      </c>
      <c r="D1032">
        <v>2</v>
      </c>
      <c r="E1032" t="s">
        <v>30</v>
      </c>
      <c r="F1032" t="s">
        <v>31</v>
      </c>
      <c r="G1032" t="s">
        <v>40</v>
      </c>
      <c r="H1032" s="1">
        <v>44670</v>
      </c>
      <c r="I1032" t="s">
        <v>1208</v>
      </c>
      <c r="J1032" t="s">
        <v>98</v>
      </c>
      <c r="K1032" t="s">
        <v>117</v>
      </c>
      <c r="L1032" s="2" t="s">
        <v>187</v>
      </c>
      <c r="M1032" t="str">
        <f>TEXT(Table13[[#This Row],[Order Date]],"MMM")</f>
        <v>Apr</v>
      </c>
      <c r="N1032">
        <f>YEAR(Table13[[#This Row],[Order Date]])</f>
        <v>2022</v>
      </c>
      <c r="O1032" t="str">
        <f>"Q"&amp;ROUNDUP(MONTH(Table13[[#This Row],[Order Date]])/3,0)</f>
        <v>Q2</v>
      </c>
      <c r="P1032" s="5">
        <f>Table13[[#This Row],[Profit]]/Table13[[#This Row],[Amount]]</f>
        <v>0.30403877221324715</v>
      </c>
      <c r="Q1032" s="6">
        <f>Table13[[#This Row],[Amount]]/Table13[[#This Row],[Quantity]]</f>
        <v>1547.5</v>
      </c>
    </row>
    <row r="1033" spans="1:17" x14ac:dyDescent="0.3">
      <c r="A1033" t="s">
        <v>1207</v>
      </c>
      <c r="B1033">
        <v>3095</v>
      </c>
      <c r="C1033">
        <v>941</v>
      </c>
      <c r="D1033">
        <v>2</v>
      </c>
      <c r="E1033" t="s">
        <v>30</v>
      </c>
      <c r="F1033" t="s">
        <v>31</v>
      </c>
      <c r="G1033" t="s">
        <v>40</v>
      </c>
      <c r="H1033" s="1">
        <v>44784</v>
      </c>
      <c r="I1033" t="s">
        <v>1209</v>
      </c>
      <c r="J1033" t="s">
        <v>71</v>
      </c>
      <c r="K1033" t="s">
        <v>86</v>
      </c>
      <c r="L1033" s="2" t="s">
        <v>209</v>
      </c>
      <c r="M1033" t="str">
        <f>TEXT(Table13[[#This Row],[Order Date]],"MMM")</f>
        <v>Aug</v>
      </c>
      <c r="N1033">
        <f>YEAR(Table13[[#This Row],[Order Date]])</f>
        <v>2022</v>
      </c>
      <c r="O1033" t="str">
        <f>"Q"&amp;ROUNDUP(MONTH(Table13[[#This Row],[Order Date]])/3,0)</f>
        <v>Q3</v>
      </c>
      <c r="P1033" s="5">
        <f>Table13[[#This Row],[Profit]]/Table13[[#This Row],[Amount]]</f>
        <v>0.30403877221324715</v>
      </c>
      <c r="Q1033" s="6">
        <f>Table13[[#This Row],[Amount]]/Table13[[#This Row],[Quantity]]</f>
        <v>1547.5</v>
      </c>
    </row>
    <row r="1034" spans="1:17" x14ac:dyDescent="0.3">
      <c r="A1034" t="s">
        <v>1210</v>
      </c>
      <c r="B1034">
        <v>6017</v>
      </c>
      <c r="C1034">
        <v>2230</v>
      </c>
      <c r="D1034">
        <v>13</v>
      </c>
      <c r="E1034" t="s">
        <v>13</v>
      </c>
      <c r="F1034" t="s">
        <v>28</v>
      </c>
      <c r="G1034" t="s">
        <v>32</v>
      </c>
      <c r="H1034" s="1">
        <v>45142</v>
      </c>
      <c r="I1034" t="s">
        <v>1211</v>
      </c>
      <c r="J1034" t="s">
        <v>21</v>
      </c>
      <c r="K1034" t="s">
        <v>172</v>
      </c>
      <c r="L1034" s="2" t="s">
        <v>121</v>
      </c>
      <c r="M1034" t="str">
        <f>TEXT(Table13[[#This Row],[Order Date]],"MMM")</f>
        <v>Aug</v>
      </c>
      <c r="N1034">
        <f>YEAR(Table13[[#This Row],[Order Date]])</f>
        <v>2023</v>
      </c>
      <c r="O1034" t="str">
        <f>"Q"&amp;ROUNDUP(MONTH(Table13[[#This Row],[Order Date]])/3,0)</f>
        <v>Q3</v>
      </c>
      <c r="P1034" s="5">
        <f>Table13[[#This Row],[Profit]]/Table13[[#This Row],[Amount]]</f>
        <v>0.37061658633870698</v>
      </c>
      <c r="Q1034" s="6">
        <f>Table13[[#This Row],[Amount]]/Table13[[#This Row],[Quantity]]</f>
        <v>462.84615384615387</v>
      </c>
    </row>
    <row r="1035" spans="1:17" x14ac:dyDescent="0.3">
      <c r="A1035" t="s">
        <v>1212</v>
      </c>
      <c r="B1035">
        <v>4904</v>
      </c>
      <c r="C1035">
        <v>469</v>
      </c>
      <c r="D1035">
        <v>2</v>
      </c>
      <c r="E1035" t="s">
        <v>30</v>
      </c>
      <c r="F1035" t="s">
        <v>31</v>
      </c>
      <c r="G1035" t="s">
        <v>32</v>
      </c>
      <c r="H1035" s="1">
        <v>43946</v>
      </c>
      <c r="I1035" t="s">
        <v>1213</v>
      </c>
      <c r="J1035" t="s">
        <v>71</v>
      </c>
      <c r="K1035" t="s">
        <v>72</v>
      </c>
      <c r="L1035" s="2" t="s">
        <v>162</v>
      </c>
      <c r="M1035" t="str">
        <f>TEXT(Table13[[#This Row],[Order Date]],"MMM")</f>
        <v>Apr</v>
      </c>
      <c r="N1035">
        <f>YEAR(Table13[[#This Row],[Order Date]])</f>
        <v>2020</v>
      </c>
      <c r="O1035" t="str">
        <f>"Q"&amp;ROUNDUP(MONTH(Table13[[#This Row],[Order Date]])/3,0)</f>
        <v>Q2</v>
      </c>
      <c r="P1035" s="5">
        <f>Table13[[#This Row],[Profit]]/Table13[[#This Row],[Amount]]</f>
        <v>9.5636215334420877E-2</v>
      </c>
      <c r="Q1035" s="6">
        <f>Table13[[#This Row],[Amount]]/Table13[[#This Row],[Quantity]]</f>
        <v>2452</v>
      </c>
    </row>
    <row r="1036" spans="1:17" x14ac:dyDescent="0.3">
      <c r="A1036" t="s">
        <v>1212</v>
      </c>
      <c r="B1036">
        <v>3080</v>
      </c>
      <c r="C1036">
        <v>737</v>
      </c>
      <c r="D1036">
        <v>6</v>
      </c>
      <c r="E1036" t="s">
        <v>30</v>
      </c>
      <c r="F1036" t="s">
        <v>78</v>
      </c>
      <c r="G1036" t="s">
        <v>15</v>
      </c>
      <c r="H1036" s="1">
        <v>43946</v>
      </c>
      <c r="I1036" t="s">
        <v>1213</v>
      </c>
      <c r="J1036" t="s">
        <v>71</v>
      </c>
      <c r="K1036" t="s">
        <v>72</v>
      </c>
      <c r="L1036" s="2" t="s">
        <v>162</v>
      </c>
      <c r="M1036" t="str">
        <f>TEXT(Table13[[#This Row],[Order Date]],"MMM")</f>
        <v>Apr</v>
      </c>
      <c r="N1036">
        <f>YEAR(Table13[[#This Row],[Order Date]])</f>
        <v>2020</v>
      </c>
      <c r="O1036" t="str">
        <f>"Q"&amp;ROUNDUP(MONTH(Table13[[#This Row],[Order Date]])/3,0)</f>
        <v>Q2</v>
      </c>
      <c r="P1036" s="5">
        <f>Table13[[#This Row],[Profit]]/Table13[[#This Row],[Amount]]</f>
        <v>0.2392857142857143</v>
      </c>
      <c r="Q1036" s="6">
        <f>Table13[[#This Row],[Amount]]/Table13[[#This Row],[Quantity]]</f>
        <v>513.33333333333337</v>
      </c>
    </row>
    <row r="1037" spans="1:17" x14ac:dyDescent="0.3">
      <c r="A1037" t="s">
        <v>1214</v>
      </c>
      <c r="B1037">
        <v>1992</v>
      </c>
      <c r="C1037">
        <v>355</v>
      </c>
      <c r="D1037">
        <v>2</v>
      </c>
      <c r="E1037" t="s">
        <v>13</v>
      </c>
      <c r="F1037" t="s">
        <v>82</v>
      </c>
      <c r="G1037" t="s">
        <v>65</v>
      </c>
      <c r="H1037" s="1">
        <v>45640</v>
      </c>
      <c r="I1037" t="s">
        <v>1215</v>
      </c>
      <c r="J1037" t="s">
        <v>17</v>
      </c>
      <c r="K1037" t="s">
        <v>150</v>
      </c>
      <c r="L1037" s="2" t="s">
        <v>23</v>
      </c>
      <c r="M1037" t="str">
        <f>TEXT(Table13[[#This Row],[Order Date]],"MMM")</f>
        <v>Dec</v>
      </c>
      <c r="N1037">
        <f>YEAR(Table13[[#This Row],[Order Date]])</f>
        <v>2024</v>
      </c>
      <c r="O1037" t="str">
        <f>"Q"&amp;ROUNDUP(MONTH(Table13[[#This Row],[Order Date]])/3,0)</f>
        <v>Q4</v>
      </c>
      <c r="P1037" s="5">
        <f>Table13[[#This Row],[Profit]]/Table13[[#This Row],[Amount]]</f>
        <v>0.17821285140562249</v>
      </c>
      <c r="Q1037" s="6">
        <f>Table13[[#This Row],[Amount]]/Table13[[#This Row],[Quantity]]</f>
        <v>996</v>
      </c>
    </row>
    <row r="1038" spans="1:17" x14ac:dyDescent="0.3">
      <c r="A1038" t="s">
        <v>1216</v>
      </c>
      <c r="B1038">
        <v>5346</v>
      </c>
      <c r="C1038">
        <v>1246</v>
      </c>
      <c r="D1038">
        <v>17</v>
      </c>
      <c r="E1038" t="s">
        <v>45</v>
      </c>
      <c r="F1038" t="s">
        <v>60</v>
      </c>
      <c r="G1038" t="s">
        <v>40</v>
      </c>
      <c r="H1038" s="1">
        <v>44767</v>
      </c>
      <c r="I1038" t="s">
        <v>1217</v>
      </c>
      <c r="J1038" t="s">
        <v>17</v>
      </c>
      <c r="K1038" t="s">
        <v>34</v>
      </c>
      <c r="L1038" s="2" t="s">
        <v>418</v>
      </c>
      <c r="M1038" t="str">
        <f>TEXT(Table13[[#This Row],[Order Date]],"MMM")</f>
        <v>Jul</v>
      </c>
      <c r="N1038">
        <f>YEAR(Table13[[#This Row],[Order Date]])</f>
        <v>2022</v>
      </c>
      <c r="O1038" t="str">
        <f>"Q"&amp;ROUNDUP(MONTH(Table13[[#This Row],[Order Date]])/3,0)</f>
        <v>Q3</v>
      </c>
      <c r="P1038" s="5">
        <f>Table13[[#This Row],[Profit]]/Table13[[#This Row],[Amount]]</f>
        <v>0.23307145529367751</v>
      </c>
      <c r="Q1038" s="6">
        <f>Table13[[#This Row],[Amount]]/Table13[[#This Row],[Quantity]]</f>
        <v>314.47058823529414</v>
      </c>
    </row>
    <row r="1039" spans="1:17" x14ac:dyDescent="0.3">
      <c r="A1039" t="s">
        <v>1216</v>
      </c>
      <c r="B1039">
        <v>5346</v>
      </c>
      <c r="C1039">
        <v>1246</v>
      </c>
      <c r="D1039">
        <v>17</v>
      </c>
      <c r="E1039" t="s">
        <v>45</v>
      </c>
      <c r="F1039" t="s">
        <v>60</v>
      </c>
      <c r="G1039" t="s">
        <v>40</v>
      </c>
      <c r="H1039" s="1">
        <v>44688</v>
      </c>
      <c r="I1039" t="s">
        <v>1218</v>
      </c>
      <c r="J1039" t="s">
        <v>17</v>
      </c>
      <c r="K1039" t="s">
        <v>18</v>
      </c>
      <c r="L1039" s="2" t="s">
        <v>180</v>
      </c>
      <c r="M1039" t="str">
        <f>TEXT(Table13[[#This Row],[Order Date]],"MMM")</f>
        <v>May</v>
      </c>
      <c r="N1039">
        <f>YEAR(Table13[[#This Row],[Order Date]])</f>
        <v>2022</v>
      </c>
      <c r="O1039" t="str">
        <f>"Q"&amp;ROUNDUP(MONTH(Table13[[#This Row],[Order Date]])/3,0)</f>
        <v>Q2</v>
      </c>
      <c r="P1039" s="5">
        <f>Table13[[#This Row],[Profit]]/Table13[[#This Row],[Amount]]</f>
        <v>0.23307145529367751</v>
      </c>
      <c r="Q1039" s="6">
        <f>Table13[[#This Row],[Amount]]/Table13[[#This Row],[Quantity]]</f>
        <v>314.47058823529414</v>
      </c>
    </row>
    <row r="1040" spans="1:17" x14ac:dyDescent="0.3">
      <c r="A1040" t="s">
        <v>1219</v>
      </c>
      <c r="B1040">
        <v>8422</v>
      </c>
      <c r="C1040">
        <v>893</v>
      </c>
      <c r="D1040">
        <v>18</v>
      </c>
      <c r="E1040" t="s">
        <v>13</v>
      </c>
      <c r="F1040" t="s">
        <v>28</v>
      </c>
      <c r="G1040" t="s">
        <v>32</v>
      </c>
      <c r="H1040" s="1">
        <v>44784</v>
      </c>
      <c r="I1040" t="s">
        <v>1220</v>
      </c>
      <c r="J1040" t="s">
        <v>42</v>
      </c>
      <c r="K1040" t="s">
        <v>92</v>
      </c>
      <c r="L1040" s="2" t="s">
        <v>209</v>
      </c>
      <c r="M1040" t="str">
        <f>TEXT(Table13[[#This Row],[Order Date]],"MMM")</f>
        <v>Aug</v>
      </c>
      <c r="N1040">
        <f>YEAR(Table13[[#This Row],[Order Date]])</f>
        <v>2022</v>
      </c>
      <c r="O1040" t="str">
        <f>"Q"&amp;ROUNDUP(MONTH(Table13[[#This Row],[Order Date]])/3,0)</f>
        <v>Q3</v>
      </c>
      <c r="P1040" s="5">
        <f>Table13[[#This Row],[Profit]]/Table13[[#This Row],[Amount]]</f>
        <v>0.10603182142009024</v>
      </c>
      <c r="Q1040" s="6">
        <f>Table13[[#This Row],[Amount]]/Table13[[#This Row],[Quantity]]</f>
        <v>467.88888888888891</v>
      </c>
    </row>
    <row r="1041" spans="1:17" x14ac:dyDescent="0.3">
      <c r="A1041" t="s">
        <v>1219</v>
      </c>
      <c r="B1041">
        <v>8422</v>
      </c>
      <c r="C1041">
        <v>893</v>
      </c>
      <c r="D1041">
        <v>18</v>
      </c>
      <c r="E1041" t="s">
        <v>13</v>
      </c>
      <c r="F1041" t="s">
        <v>28</v>
      </c>
      <c r="G1041" t="s">
        <v>32</v>
      </c>
      <c r="H1041" s="1">
        <v>44785</v>
      </c>
      <c r="I1041" t="s">
        <v>1221</v>
      </c>
      <c r="J1041" t="s">
        <v>98</v>
      </c>
      <c r="K1041" t="s">
        <v>99</v>
      </c>
      <c r="L1041" s="2" t="s">
        <v>209</v>
      </c>
      <c r="M1041" t="str">
        <f>TEXT(Table13[[#This Row],[Order Date]],"MMM")</f>
        <v>Aug</v>
      </c>
      <c r="N1041">
        <f>YEAR(Table13[[#This Row],[Order Date]])</f>
        <v>2022</v>
      </c>
      <c r="O1041" t="str">
        <f>"Q"&amp;ROUNDUP(MONTH(Table13[[#This Row],[Order Date]])/3,0)</f>
        <v>Q3</v>
      </c>
      <c r="P1041" s="5">
        <f>Table13[[#This Row],[Profit]]/Table13[[#This Row],[Amount]]</f>
        <v>0.10603182142009024</v>
      </c>
      <c r="Q1041" s="6">
        <f>Table13[[#This Row],[Amount]]/Table13[[#This Row],[Quantity]]</f>
        <v>467.88888888888891</v>
      </c>
    </row>
    <row r="1042" spans="1:17" x14ac:dyDescent="0.3">
      <c r="A1042" t="s">
        <v>1219</v>
      </c>
      <c r="B1042">
        <v>6105</v>
      </c>
      <c r="C1042">
        <v>1447</v>
      </c>
      <c r="D1042">
        <v>8</v>
      </c>
      <c r="E1042" t="s">
        <v>45</v>
      </c>
      <c r="F1042" t="s">
        <v>109</v>
      </c>
      <c r="G1042" t="s">
        <v>47</v>
      </c>
      <c r="H1042" s="1">
        <v>44784</v>
      </c>
      <c r="I1042" t="s">
        <v>1220</v>
      </c>
      <c r="J1042" t="s">
        <v>42</v>
      </c>
      <c r="K1042" t="s">
        <v>92</v>
      </c>
      <c r="L1042" s="2" t="s">
        <v>209</v>
      </c>
      <c r="M1042" t="str">
        <f>TEXT(Table13[[#This Row],[Order Date]],"MMM")</f>
        <v>Aug</v>
      </c>
      <c r="N1042">
        <f>YEAR(Table13[[#This Row],[Order Date]])</f>
        <v>2022</v>
      </c>
      <c r="O1042" t="str">
        <f>"Q"&amp;ROUNDUP(MONTH(Table13[[#This Row],[Order Date]])/3,0)</f>
        <v>Q3</v>
      </c>
      <c r="P1042" s="5">
        <f>Table13[[#This Row],[Profit]]/Table13[[#This Row],[Amount]]</f>
        <v>0.23701883701883703</v>
      </c>
      <c r="Q1042" s="6">
        <f>Table13[[#This Row],[Amount]]/Table13[[#This Row],[Quantity]]</f>
        <v>763.125</v>
      </c>
    </row>
    <row r="1043" spans="1:17" x14ac:dyDescent="0.3">
      <c r="A1043" t="s">
        <v>1219</v>
      </c>
      <c r="B1043">
        <v>6105</v>
      </c>
      <c r="C1043">
        <v>1447</v>
      </c>
      <c r="D1043">
        <v>8</v>
      </c>
      <c r="E1043" t="s">
        <v>45</v>
      </c>
      <c r="F1043" t="s">
        <v>109</v>
      </c>
      <c r="G1043" t="s">
        <v>47</v>
      </c>
      <c r="H1043" s="1">
        <v>44785</v>
      </c>
      <c r="I1043" t="s">
        <v>1221</v>
      </c>
      <c r="J1043" t="s">
        <v>98</v>
      </c>
      <c r="K1043" t="s">
        <v>99</v>
      </c>
      <c r="L1043" s="2" t="s">
        <v>209</v>
      </c>
      <c r="M1043" t="str">
        <f>TEXT(Table13[[#This Row],[Order Date]],"MMM")</f>
        <v>Aug</v>
      </c>
      <c r="N1043">
        <f>YEAR(Table13[[#This Row],[Order Date]])</f>
        <v>2022</v>
      </c>
      <c r="O1043" t="str">
        <f>"Q"&amp;ROUNDUP(MONTH(Table13[[#This Row],[Order Date]])/3,0)</f>
        <v>Q3</v>
      </c>
      <c r="P1043" s="5">
        <f>Table13[[#This Row],[Profit]]/Table13[[#This Row],[Amount]]</f>
        <v>0.23701883701883703</v>
      </c>
      <c r="Q1043" s="6">
        <f>Table13[[#This Row],[Amount]]/Table13[[#This Row],[Quantity]]</f>
        <v>763.125</v>
      </c>
    </row>
    <row r="1044" spans="1:17" x14ac:dyDescent="0.3">
      <c r="A1044" t="s">
        <v>1222</v>
      </c>
      <c r="B1044">
        <v>670</v>
      </c>
      <c r="C1044">
        <v>85</v>
      </c>
      <c r="D1044">
        <v>9</v>
      </c>
      <c r="E1044" t="s">
        <v>30</v>
      </c>
      <c r="F1044" t="s">
        <v>31</v>
      </c>
      <c r="G1044" t="s">
        <v>40</v>
      </c>
      <c r="H1044" s="1">
        <v>45159</v>
      </c>
      <c r="I1044" t="s">
        <v>1223</v>
      </c>
      <c r="J1044" t="s">
        <v>71</v>
      </c>
      <c r="K1044" t="s">
        <v>138</v>
      </c>
      <c r="L1044" s="2" t="s">
        <v>121</v>
      </c>
      <c r="M1044" t="str">
        <f>TEXT(Table13[[#This Row],[Order Date]],"MMM")</f>
        <v>Aug</v>
      </c>
      <c r="N1044">
        <f>YEAR(Table13[[#This Row],[Order Date]])</f>
        <v>2023</v>
      </c>
      <c r="O1044" t="str">
        <f>"Q"&amp;ROUNDUP(MONTH(Table13[[#This Row],[Order Date]])/3,0)</f>
        <v>Q3</v>
      </c>
      <c r="P1044" s="5">
        <f>Table13[[#This Row],[Profit]]/Table13[[#This Row],[Amount]]</f>
        <v>0.12686567164179105</v>
      </c>
      <c r="Q1044" s="6">
        <f>Table13[[#This Row],[Amount]]/Table13[[#This Row],[Quantity]]</f>
        <v>74.444444444444443</v>
      </c>
    </row>
    <row r="1045" spans="1:17" x14ac:dyDescent="0.3">
      <c r="A1045" t="s">
        <v>1224</v>
      </c>
      <c r="B1045">
        <v>4057</v>
      </c>
      <c r="C1045">
        <v>1012</v>
      </c>
      <c r="D1045">
        <v>6</v>
      </c>
      <c r="E1045" t="s">
        <v>13</v>
      </c>
      <c r="F1045" t="s">
        <v>39</v>
      </c>
      <c r="G1045" t="s">
        <v>47</v>
      </c>
      <c r="H1045" s="1">
        <v>44816</v>
      </c>
      <c r="I1045" t="s">
        <v>1225</v>
      </c>
      <c r="J1045" t="s">
        <v>42</v>
      </c>
      <c r="K1045" t="s">
        <v>75</v>
      </c>
      <c r="L1045" s="2" t="s">
        <v>131</v>
      </c>
      <c r="M1045" t="str">
        <f>TEXT(Table13[[#This Row],[Order Date]],"MMM")</f>
        <v>Sep</v>
      </c>
      <c r="N1045">
        <f>YEAR(Table13[[#This Row],[Order Date]])</f>
        <v>2022</v>
      </c>
      <c r="O1045" t="str">
        <f>"Q"&amp;ROUNDUP(MONTH(Table13[[#This Row],[Order Date]])/3,0)</f>
        <v>Q3</v>
      </c>
      <c r="P1045" s="5">
        <f>Table13[[#This Row],[Profit]]/Table13[[#This Row],[Amount]]</f>
        <v>0.24944540300714813</v>
      </c>
      <c r="Q1045" s="6">
        <f>Table13[[#This Row],[Amount]]/Table13[[#This Row],[Quantity]]</f>
        <v>676.16666666666663</v>
      </c>
    </row>
    <row r="1046" spans="1:17" x14ac:dyDescent="0.3">
      <c r="A1046" t="s">
        <v>1226</v>
      </c>
      <c r="B1046">
        <v>8178</v>
      </c>
      <c r="C1046">
        <v>2462</v>
      </c>
      <c r="D1046">
        <v>10</v>
      </c>
      <c r="E1046" t="s">
        <v>30</v>
      </c>
      <c r="F1046" t="s">
        <v>31</v>
      </c>
      <c r="G1046" t="s">
        <v>15</v>
      </c>
      <c r="H1046" s="1">
        <v>45158</v>
      </c>
      <c r="I1046" t="s">
        <v>1227</v>
      </c>
      <c r="J1046" t="s">
        <v>42</v>
      </c>
      <c r="K1046" t="s">
        <v>43</v>
      </c>
      <c r="L1046" s="2" t="s">
        <v>121</v>
      </c>
      <c r="M1046" t="str">
        <f>TEXT(Table13[[#This Row],[Order Date]],"MMM")</f>
        <v>Aug</v>
      </c>
      <c r="N1046">
        <f>YEAR(Table13[[#This Row],[Order Date]])</f>
        <v>2023</v>
      </c>
      <c r="O1046" t="str">
        <f>"Q"&amp;ROUNDUP(MONTH(Table13[[#This Row],[Order Date]])/3,0)</f>
        <v>Q3</v>
      </c>
      <c r="P1046" s="5">
        <f>Table13[[#This Row],[Profit]]/Table13[[#This Row],[Amount]]</f>
        <v>0.30105160185864516</v>
      </c>
      <c r="Q1046" s="6">
        <f>Table13[[#This Row],[Amount]]/Table13[[#This Row],[Quantity]]</f>
        <v>817.8</v>
      </c>
    </row>
    <row r="1047" spans="1:17" x14ac:dyDescent="0.3">
      <c r="A1047" t="s">
        <v>1228</v>
      </c>
      <c r="B1047">
        <v>8752</v>
      </c>
      <c r="C1047">
        <v>1686</v>
      </c>
      <c r="D1047">
        <v>9</v>
      </c>
      <c r="E1047" t="s">
        <v>45</v>
      </c>
      <c r="F1047" t="s">
        <v>46</v>
      </c>
      <c r="G1047" t="s">
        <v>32</v>
      </c>
      <c r="H1047" s="1">
        <v>44192</v>
      </c>
      <c r="I1047" t="s">
        <v>1229</v>
      </c>
      <c r="J1047" t="s">
        <v>98</v>
      </c>
      <c r="K1047" t="s">
        <v>107</v>
      </c>
      <c r="L1047" s="2" t="s">
        <v>287</v>
      </c>
      <c r="M1047" t="str">
        <f>TEXT(Table13[[#This Row],[Order Date]],"MMM")</f>
        <v>Dec</v>
      </c>
      <c r="N1047">
        <f>YEAR(Table13[[#This Row],[Order Date]])</f>
        <v>2020</v>
      </c>
      <c r="O1047" t="str">
        <f>"Q"&amp;ROUNDUP(MONTH(Table13[[#This Row],[Order Date]])/3,0)</f>
        <v>Q4</v>
      </c>
      <c r="P1047" s="5">
        <f>Table13[[#This Row],[Profit]]/Table13[[#This Row],[Amount]]</f>
        <v>0.1926416819012797</v>
      </c>
      <c r="Q1047" s="6">
        <f>Table13[[#This Row],[Amount]]/Table13[[#This Row],[Quantity]]</f>
        <v>972.44444444444446</v>
      </c>
    </row>
    <row r="1048" spans="1:17" x14ac:dyDescent="0.3">
      <c r="A1048" t="s">
        <v>1228</v>
      </c>
      <c r="B1048">
        <v>8752</v>
      </c>
      <c r="C1048">
        <v>1686</v>
      </c>
      <c r="D1048">
        <v>9</v>
      </c>
      <c r="E1048" t="s">
        <v>45</v>
      </c>
      <c r="F1048" t="s">
        <v>46</v>
      </c>
      <c r="G1048" t="s">
        <v>32</v>
      </c>
      <c r="H1048" s="1">
        <v>45173</v>
      </c>
      <c r="I1048" t="s">
        <v>1230</v>
      </c>
      <c r="J1048" t="s">
        <v>21</v>
      </c>
      <c r="K1048" t="s">
        <v>172</v>
      </c>
      <c r="L1048" s="2" t="s">
        <v>273</v>
      </c>
      <c r="M1048" t="str">
        <f>TEXT(Table13[[#This Row],[Order Date]],"MMM")</f>
        <v>Sep</v>
      </c>
      <c r="N1048">
        <f>YEAR(Table13[[#This Row],[Order Date]])</f>
        <v>2023</v>
      </c>
      <c r="O1048" t="str">
        <f>"Q"&amp;ROUNDUP(MONTH(Table13[[#This Row],[Order Date]])/3,0)</f>
        <v>Q3</v>
      </c>
      <c r="P1048" s="5">
        <f>Table13[[#This Row],[Profit]]/Table13[[#This Row],[Amount]]</f>
        <v>0.1926416819012797</v>
      </c>
      <c r="Q1048" s="6">
        <f>Table13[[#This Row],[Amount]]/Table13[[#This Row],[Quantity]]</f>
        <v>972.44444444444446</v>
      </c>
    </row>
    <row r="1049" spans="1:17" x14ac:dyDescent="0.3">
      <c r="A1049" t="s">
        <v>1228</v>
      </c>
      <c r="B1049">
        <v>8752</v>
      </c>
      <c r="C1049">
        <v>1686</v>
      </c>
      <c r="D1049">
        <v>9</v>
      </c>
      <c r="E1049" t="s">
        <v>45</v>
      </c>
      <c r="F1049" t="s">
        <v>46</v>
      </c>
      <c r="G1049" t="s">
        <v>32</v>
      </c>
      <c r="H1049" s="1">
        <v>44569</v>
      </c>
      <c r="I1049" t="s">
        <v>1231</v>
      </c>
      <c r="J1049" t="s">
        <v>21</v>
      </c>
      <c r="K1049" t="s">
        <v>22</v>
      </c>
      <c r="L1049" s="2" t="s">
        <v>87</v>
      </c>
      <c r="M1049" t="str">
        <f>TEXT(Table13[[#This Row],[Order Date]],"MMM")</f>
        <v>Jan</v>
      </c>
      <c r="N1049">
        <f>YEAR(Table13[[#This Row],[Order Date]])</f>
        <v>2022</v>
      </c>
      <c r="O1049" t="str">
        <f>"Q"&amp;ROUNDUP(MONTH(Table13[[#This Row],[Order Date]])/3,0)</f>
        <v>Q1</v>
      </c>
      <c r="P1049" s="5">
        <f>Table13[[#This Row],[Profit]]/Table13[[#This Row],[Amount]]</f>
        <v>0.1926416819012797</v>
      </c>
      <c r="Q1049" s="6">
        <f>Table13[[#This Row],[Amount]]/Table13[[#This Row],[Quantity]]</f>
        <v>972.44444444444446</v>
      </c>
    </row>
    <row r="1050" spans="1:17" x14ac:dyDescent="0.3">
      <c r="A1050" t="s">
        <v>1232</v>
      </c>
      <c r="B1050">
        <v>8974</v>
      </c>
      <c r="C1050">
        <v>4441</v>
      </c>
      <c r="D1050">
        <v>16</v>
      </c>
      <c r="E1050" t="s">
        <v>13</v>
      </c>
      <c r="F1050" t="s">
        <v>28</v>
      </c>
      <c r="G1050" t="s">
        <v>40</v>
      </c>
      <c r="H1050" s="1">
        <v>45082</v>
      </c>
      <c r="I1050" t="s">
        <v>1233</v>
      </c>
      <c r="J1050" t="s">
        <v>25</v>
      </c>
      <c r="K1050" t="s">
        <v>51</v>
      </c>
      <c r="L1050" s="2" t="s">
        <v>19</v>
      </c>
      <c r="M1050" t="str">
        <f>TEXT(Table13[[#This Row],[Order Date]],"MMM")</f>
        <v>Jun</v>
      </c>
      <c r="N1050">
        <f>YEAR(Table13[[#This Row],[Order Date]])</f>
        <v>2023</v>
      </c>
      <c r="O1050" t="str">
        <f>"Q"&amp;ROUNDUP(MONTH(Table13[[#This Row],[Order Date]])/3,0)</f>
        <v>Q2</v>
      </c>
      <c r="P1050" s="5">
        <f>Table13[[#This Row],[Profit]]/Table13[[#This Row],[Amount]]</f>
        <v>0.49487408067751282</v>
      </c>
      <c r="Q1050" s="6">
        <f>Table13[[#This Row],[Amount]]/Table13[[#This Row],[Quantity]]</f>
        <v>560.875</v>
      </c>
    </row>
    <row r="1051" spans="1:17" x14ac:dyDescent="0.3">
      <c r="A1051" t="s">
        <v>1234</v>
      </c>
      <c r="B1051">
        <v>9090</v>
      </c>
      <c r="C1051">
        <v>3098</v>
      </c>
      <c r="D1051">
        <v>16</v>
      </c>
      <c r="E1051" t="s">
        <v>13</v>
      </c>
      <c r="F1051" t="s">
        <v>82</v>
      </c>
      <c r="G1051" t="s">
        <v>47</v>
      </c>
      <c r="H1051" s="1">
        <v>44287</v>
      </c>
      <c r="I1051" t="s">
        <v>1235</v>
      </c>
      <c r="J1051" t="s">
        <v>71</v>
      </c>
      <c r="K1051" t="s">
        <v>72</v>
      </c>
      <c r="L1051" s="2" t="s">
        <v>139</v>
      </c>
      <c r="M1051" t="str">
        <f>TEXT(Table13[[#This Row],[Order Date]],"MMM")</f>
        <v>Apr</v>
      </c>
      <c r="N1051">
        <f>YEAR(Table13[[#This Row],[Order Date]])</f>
        <v>2021</v>
      </c>
      <c r="O1051" t="str">
        <f>"Q"&amp;ROUNDUP(MONTH(Table13[[#This Row],[Order Date]])/3,0)</f>
        <v>Q2</v>
      </c>
      <c r="P1051" s="5">
        <f>Table13[[#This Row],[Profit]]/Table13[[#This Row],[Amount]]</f>
        <v>0.34081408140814079</v>
      </c>
      <c r="Q1051" s="6">
        <f>Table13[[#This Row],[Amount]]/Table13[[#This Row],[Quantity]]</f>
        <v>568.125</v>
      </c>
    </row>
    <row r="1052" spans="1:17" x14ac:dyDescent="0.3">
      <c r="A1052" t="s">
        <v>1234</v>
      </c>
      <c r="B1052">
        <v>9090</v>
      </c>
      <c r="C1052">
        <v>3098</v>
      </c>
      <c r="D1052">
        <v>16</v>
      </c>
      <c r="E1052" t="s">
        <v>13</v>
      </c>
      <c r="F1052" t="s">
        <v>82</v>
      </c>
      <c r="G1052" t="s">
        <v>47</v>
      </c>
      <c r="H1052" s="1">
        <v>45440</v>
      </c>
      <c r="I1052" t="s">
        <v>1236</v>
      </c>
      <c r="J1052" t="s">
        <v>21</v>
      </c>
      <c r="K1052" t="s">
        <v>63</v>
      </c>
      <c r="L1052" s="2" t="s">
        <v>35</v>
      </c>
      <c r="M1052" t="str">
        <f>TEXT(Table13[[#This Row],[Order Date]],"MMM")</f>
        <v>May</v>
      </c>
      <c r="N1052">
        <f>YEAR(Table13[[#This Row],[Order Date]])</f>
        <v>2024</v>
      </c>
      <c r="O1052" t="str">
        <f>"Q"&amp;ROUNDUP(MONTH(Table13[[#This Row],[Order Date]])/3,0)</f>
        <v>Q2</v>
      </c>
      <c r="P1052" s="5">
        <f>Table13[[#This Row],[Profit]]/Table13[[#This Row],[Amount]]</f>
        <v>0.34081408140814079</v>
      </c>
      <c r="Q1052" s="6">
        <f>Table13[[#This Row],[Amount]]/Table13[[#This Row],[Quantity]]</f>
        <v>568.125</v>
      </c>
    </row>
    <row r="1053" spans="1:17" x14ac:dyDescent="0.3">
      <c r="A1053" t="s">
        <v>1234</v>
      </c>
      <c r="B1053">
        <v>851</v>
      </c>
      <c r="C1053">
        <v>356</v>
      </c>
      <c r="D1053">
        <v>11</v>
      </c>
      <c r="E1053" t="s">
        <v>13</v>
      </c>
      <c r="F1053" t="s">
        <v>14</v>
      </c>
      <c r="G1053" t="s">
        <v>47</v>
      </c>
      <c r="H1053" s="1">
        <v>44287</v>
      </c>
      <c r="I1053" t="s">
        <v>1235</v>
      </c>
      <c r="J1053" t="s">
        <v>71</v>
      </c>
      <c r="K1053" t="s">
        <v>72</v>
      </c>
      <c r="L1053" s="2" t="s">
        <v>139</v>
      </c>
      <c r="M1053" t="str">
        <f>TEXT(Table13[[#This Row],[Order Date]],"MMM")</f>
        <v>Apr</v>
      </c>
      <c r="N1053">
        <f>YEAR(Table13[[#This Row],[Order Date]])</f>
        <v>2021</v>
      </c>
      <c r="O1053" t="str">
        <f>"Q"&amp;ROUNDUP(MONTH(Table13[[#This Row],[Order Date]])/3,0)</f>
        <v>Q2</v>
      </c>
      <c r="P1053" s="5">
        <f>Table13[[#This Row],[Profit]]/Table13[[#This Row],[Amount]]</f>
        <v>0.418331374853114</v>
      </c>
      <c r="Q1053" s="6">
        <f>Table13[[#This Row],[Amount]]/Table13[[#This Row],[Quantity]]</f>
        <v>77.36363636363636</v>
      </c>
    </row>
    <row r="1054" spans="1:17" x14ac:dyDescent="0.3">
      <c r="A1054" t="s">
        <v>1234</v>
      </c>
      <c r="B1054">
        <v>851</v>
      </c>
      <c r="C1054">
        <v>356</v>
      </c>
      <c r="D1054">
        <v>11</v>
      </c>
      <c r="E1054" t="s">
        <v>13</v>
      </c>
      <c r="F1054" t="s">
        <v>14</v>
      </c>
      <c r="G1054" t="s">
        <v>47</v>
      </c>
      <c r="H1054" s="1">
        <v>45440</v>
      </c>
      <c r="I1054" t="s">
        <v>1236</v>
      </c>
      <c r="J1054" t="s">
        <v>21</v>
      </c>
      <c r="K1054" t="s">
        <v>63</v>
      </c>
      <c r="L1054" s="2" t="s">
        <v>35</v>
      </c>
      <c r="M1054" t="str">
        <f>TEXT(Table13[[#This Row],[Order Date]],"MMM")</f>
        <v>May</v>
      </c>
      <c r="N1054">
        <f>YEAR(Table13[[#This Row],[Order Date]])</f>
        <v>2024</v>
      </c>
      <c r="O1054" t="str">
        <f>"Q"&amp;ROUNDUP(MONTH(Table13[[#This Row],[Order Date]])/3,0)</f>
        <v>Q2</v>
      </c>
      <c r="P1054" s="5">
        <f>Table13[[#This Row],[Profit]]/Table13[[#This Row],[Amount]]</f>
        <v>0.418331374853114</v>
      </c>
      <c r="Q1054" s="6">
        <f>Table13[[#This Row],[Amount]]/Table13[[#This Row],[Quantity]]</f>
        <v>77.36363636363636</v>
      </c>
    </row>
    <row r="1055" spans="1:17" x14ac:dyDescent="0.3">
      <c r="A1055" t="s">
        <v>1237</v>
      </c>
      <c r="B1055">
        <v>5427</v>
      </c>
      <c r="C1055">
        <v>728</v>
      </c>
      <c r="D1055">
        <v>3</v>
      </c>
      <c r="E1055" t="s">
        <v>13</v>
      </c>
      <c r="F1055" t="s">
        <v>82</v>
      </c>
      <c r="G1055" t="s">
        <v>15</v>
      </c>
      <c r="H1055" s="1">
        <v>44994</v>
      </c>
      <c r="I1055" t="s">
        <v>1238</v>
      </c>
      <c r="J1055" t="s">
        <v>17</v>
      </c>
      <c r="K1055" t="s">
        <v>18</v>
      </c>
      <c r="L1055" s="2" t="s">
        <v>245</v>
      </c>
      <c r="M1055" t="str">
        <f>TEXT(Table13[[#This Row],[Order Date]],"MMM")</f>
        <v>Mar</v>
      </c>
      <c r="N1055">
        <f>YEAR(Table13[[#This Row],[Order Date]])</f>
        <v>2023</v>
      </c>
      <c r="O1055" t="str">
        <f>"Q"&amp;ROUNDUP(MONTH(Table13[[#This Row],[Order Date]])/3,0)</f>
        <v>Q1</v>
      </c>
      <c r="P1055" s="5">
        <f>Table13[[#This Row],[Profit]]/Table13[[#This Row],[Amount]]</f>
        <v>0.13414409434309932</v>
      </c>
      <c r="Q1055" s="6">
        <f>Table13[[#This Row],[Amount]]/Table13[[#This Row],[Quantity]]</f>
        <v>1809</v>
      </c>
    </row>
    <row r="1056" spans="1:17" x14ac:dyDescent="0.3">
      <c r="A1056" t="s">
        <v>1239</v>
      </c>
      <c r="B1056">
        <v>2695</v>
      </c>
      <c r="C1056">
        <v>914</v>
      </c>
      <c r="D1056">
        <v>15</v>
      </c>
      <c r="E1056" t="s">
        <v>45</v>
      </c>
      <c r="F1056" t="s">
        <v>109</v>
      </c>
      <c r="G1056" t="s">
        <v>32</v>
      </c>
      <c r="H1056" s="1">
        <v>44770</v>
      </c>
      <c r="I1056" t="s">
        <v>1240</v>
      </c>
      <c r="J1056" t="s">
        <v>21</v>
      </c>
      <c r="K1056" t="s">
        <v>172</v>
      </c>
      <c r="L1056" s="2" t="s">
        <v>418</v>
      </c>
      <c r="M1056" t="str">
        <f>TEXT(Table13[[#This Row],[Order Date]],"MMM")</f>
        <v>Jul</v>
      </c>
      <c r="N1056">
        <f>YEAR(Table13[[#This Row],[Order Date]])</f>
        <v>2022</v>
      </c>
      <c r="O1056" t="str">
        <f>"Q"&amp;ROUNDUP(MONTH(Table13[[#This Row],[Order Date]])/3,0)</f>
        <v>Q3</v>
      </c>
      <c r="P1056" s="5">
        <f>Table13[[#This Row],[Profit]]/Table13[[#This Row],[Amount]]</f>
        <v>0.33914656771799628</v>
      </c>
      <c r="Q1056" s="6">
        <f>Table13[[#This Row],[Amount]]/Table13[[#This Row],[Quantity]]</f>
        <v>179.66666666666666</v>
      </c>
    </row>
    <row r="1057" spans="1:17" x14ac:dyDescent="0.3">
      <c r="A1057" t="s">
        <v>1239</v>
      </c>
      <c r="B1057">
        <v>2695</v>
      </c>
      <c r="C1057">
        <v>914</v>
      </c>
      <c r="D1057">
        <v>15</v>
      </c>
      <c r="E1057" t="s">
        <v>45</v>
      </c>
      <c r="F1057" t="s">
        <v>109</v>
      </c>
      <c r="G1057" t="s">
        <v>32</v>
      </c>
      <c r="H1057" s="1">
        <v>44364</v>
      </c>
      <c r="I1057" t="s">
        <v>1241</v>
      </c>
      <c r="J1057" t="s">
        <v>42</v>
      </c>
      <c r="K1057" t="s">
        <v>43</v>
      </c>
      <c r="L1057" s="2" t="s">
        <v>125</v>
      </c>
      <c r="M1057" t="str">
        <f>TEXT(Table13[[#This Row],[Order Date]],"MMM")</f>
        <v>Jun</v>
      </c>
      <c r="N1057">
        <f>YEAR(Table13[[#This Row],[Order Date]])</f>
        <v>2021</v>
      </c>
      <c r="O1057" t="str">
        <f>"Q"&amp;ROUNDUP(MONTH(Table13[[#This Row],[Order Date]])/3,0)</f>
        <v>Q2</v>
      </c>
      <c r="P1057" s="5">
        <f>Table13[[#This Row],[Profit]]/Table13[[#This Row],[Amount]]</f>
        <v>0.33914656771799628</v>
      </c>
      <c r="Q1057" s="6">
        <f>Table13[[#This Row],[Amount]]/Table13[[#This Row],[Quantity]]</f>
        <v>179.66666666666666</v>
      </c>
    </row>
    <row r="1058" spans="1:17" x14ac:dyDescent="0.3">
      <c r="A1058" t="s">
        <v>1242</v>
      </c>
      <c r="B1058">
        <v>2386</v>
      </c>
      <c r="C1058">
        <v>999</v>
      </c>
      <c r="D1058">
        <v>3</v>
      </c>
      <c r="E1058" t="s">
        <v>30</v>
      </c>
      <c r="F1058" t="s">
        <v>31</v>
      </c>
      <c r="G1058" t="s">
        <v>65</v>
      </c>
      <c r="H1058" s="1">
        <v>45335</v>
      </c>
      <c r="I1058" t="s">
        <v>1243</v>
      </c>
      <c r="J1058" t="s">
        <v>17</v>
      </c>
      <c r="K1058" t="s">
        <v>18</v>
      </c>
      <c r="L1058" s="2" t="s">
        <v>218</v>
      </c>
      <c r="M1058" t="str">
        <f>TEXT(Table13[[#This Row],[Order Date]],"MMM")</f>
        <v>Feb</v>
      </c>
      <c r="N1058">
        <f>YEAR(Table13[[#This Row],[Order Date]])</f>
        <v>2024</v>
      </c>
      <c r="O1058" t="str">
        <f>"Q"&amp;ROUNDUP(MONTH(Table13[[#This Row],[Order Date]])/3,0)</f>
        <v>Q1</v>
      </c>
      <c r="P1058" s="5">
        <f>Table13[[#This Row],[Profit]]/Table13[[#This Row],[Amount]]</f>
        <v>0.41869237217099747</v>
      </c>
      <c r="Q1058" s="6">
        <f>Table13[[#This Row],[Amount]]/Table13[[#This Row],[Quantity]]</f>
        <v>795.33333333333337</v>
      </c>
    </row>
    <row r="1059" spans="1:17" x14ac:dyDescent="0.3">
      <c r="A1059" t="s">
        <v>1244</v>
      </c>
      <c r="B1059">
        <v>2284</v>
      </c>
      <c r="C1059">
        <v>149</v>
      </c>
      <c r="D1059">
        <v>20</v>
      </c>
      <c r="E1059" t="s">
        <v>30</v>
      </c>
      <c r="F1059" t="s">
        <v>31</v>
      </c>
      <c r="G1059" t="s">
        <v>32</v>
      </c>
      <c r="H1059" s="1">
        <v>44414</v>
      </c>
      <c r="I1059" t="s">
        <v>1245</v>
      </c>
      <c r="J1059" t="s">
        <v>25</v>
      </c>
      <c r="K1059" t="s">
        <v>68</v>
      </c>
      <c r="L1059" s="2" t="s">
        <v>178</v>
      </c>
      <c r="M1059" t="str">
        <f>TEXT(Table13[[#This Row],[Order Date]],"MMM")</f>
        <v>Aug</v>
      </c>
      <c r="N1059">
        <f>YEAR(Table13[[#This Row],[Order Date]])</f>
        <v>2021</v>
      </c>
      <c r="O1059" t="str">
        <f>"Q"&amp;ROUNDUP(MONTH(Table13[[#This Row],[Order Date]])/3,0)</f>
        <v>Q3</v>
      </c>
      <c r="P1059" s="5">
        <f>Table13[[#This Row],[Profit]]/Table13[[#This Row],[Amount]]</f>
        <v>6.523642732049037E-2</v>
      </c>
      <c r="Q1059" s="6">
        <f>Table13[[#This Row],[Amount]]/Table13[[#This Row],[Quantity]]</f>
        <v>114.2</v>
      </c>
    </row>
    <row r="1060" spans="1:17" x14ac:dyDescent="0.3">
      <c r="A1060" t="s">
        <v>1246</v>
      </c>
      <c r="B1060">
        <v>6034</v>
      </c>
      <c r="C1060">
        <v>608</v>
      </c>
      <c r="D1060">
        <v>8</v>
      </c>
      <c r="E1060" t="s">
        <v>13</v>
      </c>
      <c r="F1060" t="s">
        <v>82</v>
      </c>
      <c r="G1060" t="s">
        <v>40</v>
      </c>
      <c r="H1060" s="1">
        <v>44682</v>
      </c>
      <c r="I1060" t="s">
        <v>1247</v>
      </c>
      <c r="J1060" t="s">
        <v>71</v>
      </c>
      <c r="K1060" t="s">
        <v>138</v>
      </c>
      <c r="L1060" s="2" t="s">
        <v>180</v>
      </c>
      <c r="M1060" t="str">
        <f>TEXT(Table13[[#This Row],[Order Date]],"MMM")</f>
        <v>May</v>
      </c>
      <c r="N1060">
        <f>YEAR(Table13[[#This Row],[Order Date]])</f>
        <v>2022</v>
      </c>
      <c r="O1060" t="str">
        <f>"Q"&amp;ROUNDUP(MONTH(Table13[[#This Row],[Order Date]])/3,0)</f>
        <v>Q2</v>
      </c>
      <c r="P1060" s="5">
        <f>Table13[[#This Row],[Profit]]/Table13[[#This Row],[Amount]]</f>
        <v>0.10076234670202187</v>
      </c>
      <c r="Q1060" s="6">
        <f>Table13[[#This Row],[Amount]]/Table13[[#This Row],[Quantity]]</f>
        <v>754.25</v>
      </c>
    </row>
    <row r="1061" spans="1:17" x14ac:dyDescent="0.3">
      <c r="A1061" t="s">
        <v>1246</v>
      </c>
      <c r="B1061">
        <v>8956</v>
      </c>
      <c r="C1061">
        <v>3359</v>
      </c>
      <c r="D1061">
        <v>13</v>
      </c>
      <c r="E1061" t="s">
        <v>45</v>
      </c>
      <c r="F1061" t="s">
        <v>109</v>
      </c>
      <c r="G1061" t="s">
        <v>47</v>
      </c>
      <c r="H1061" s="1">
        <v>44682</v>
      </c>
      <c r="I1061" t="s">
        <v>1247</v>
      </c>
      <c r="J1061" t="s">
        <v>71</v>
      </c>
      <c r="K1061" t="s">
        <v>138</v>
      </c>
      <c r="L1061" s="2" t="s">
        <v>180</v>
      </c>
      <c r="M1061" t="str">
        <f>TEXT(Table13[[#This Row],[Order Date]],"MMM")</f>
        <v>May</v>
      </c>
      <c r="N1061">
        <f>YEAR(Table13[[#This Row],[Order Date]])</f>
        <v>2022</v>
      </c>
      <c r="O1061" t="str">
        <f>"Q"&amp;ROUNDUP(MONTH(Table13[[#This Row],[Order Date]])/3,0)</f>
        <v>Q2</v>
      </c>
      <c r="P1061" s="5">
        <f>Table13[[#This Row],[Profit]]/Table13[[#This Row],[Amount]]</f>
        <v>0.3750558284948638</v>
      </c>
      <c r="Q1061" s="6">
        <f>Table13[[#This Row],[Amount]]/Table13[[#This Row],[Quantity]]</f>
        <v>688.92307692307691</v>
      </c>
    </row>
    <row r="1062" spans="1:17" x14ac:dyDescent="0.3">
      <c r="A1062" t="s">
        <v>1248</v>
      </c>
      <c r="B1062">
        <v>7122</v>
      </c>
      <c r="C1062">
        <v>1982</v>
      </c>
      <c r="D1062">
        <v>7</v>
      </c>
      <c r="E1062" t="s">
        <v>30</v>
      </c>
      <c r="F1062" t="s">
        <v>57</v>
      </c>
      <c r="G1062" t="s">
        <v>40</v>
      </c>
      <c r="H1062" s="1">
        <v>45362</v>
      </c>
      <c r="I1062" t="s">
        <v>1249</v>
      </c>
      <c r="J1062" t="s">
        <v>21</v>
      </c>
      <c r="K1062" t="s">
        <v>172</v>
      </c>
      <c r="L1062" s="2" t="s">
        <v>338</v>
      </c>
      <c r="M1062" t="str">
        <f>TEXT(Table13[[#This Row],[Order Date]],"MMM")</f>
        <v>Mar</v>
      </c>
      <c r="N1062">
        <f>YEAR(Table13[[#This Row],[Order Date]])</f>
        <v>2024</v>
      </c>
      <c r="O1062" t="str">
        <f>"Q"&amp;ROUNDUP(MONTH(Table13[[#This Row],[Order Date]])/3,0)</f>
        <v>Q1</v>
      </c>
      <c r="P1062" s="5">
        <f>Table13[[#This Row],[Profit]]/Table13[[#This Row],[Amount]]</f>
        <v>0.27829261443414771</v>
      </c>
      <c r="Q1062" s="6">
        <f>Table13[[#This Row],[Amount]]/Table13[[#This Row],[Quantity]]</f>
        <v>1017.4285714285714</v>
      </c>
    </row>
    <row r="1063" spans="1:17" x14ac:dyDescent="0.3">
      <c r="A1063" t="s">
        <v>1250</v>
      </c>
      <c r="B1063">
        <v>9775</v>
      </c>
      <c r="C1063">
        <v>4507</v>
      </c>
      <c r="D1063">
        <v>5</v>
      </c>
      <c r="E1063" t="s">
        <v>30</v>
      </c>
      <c r="F1063" t="s">
        <v>57</v>
      </c>
      <c r="G1063" t="s">
        <v>15</v>
      </c>
      <c r="H1063" s="1">
        <v>44018</v>
      </c>
      <c r="I1063" t="s">
        <v>1251</v>
      </c>
      <c r="J1063" t="s">
        <v>98</v>
      </c>
      <c r="K1063" t="s">
        <v>107</v>
      </c>
      <c r="L1063" s="2" t="s">
        <v>462</v>
      </c>
      <c r="M1063" t="str">
        <f>TEXT(Table13[[#This Row],[Order Date]],"MMM")</f>
        <v>Jul</v>
      </c>
      <c r="N1063">
        <f>YEAR(Table13[[#This Row],[Order Date]])</f>
        <v>2020</v>
      </c>
      <c r="O1063" t="str">
        <f>"Q"&amp;ROUNDUP(MONTH(Table13[[#This Row],[Order Date]])/3,0)</f>
        <v>Q3</v>
      </c>
      <c r="P1063" s="5">
        <f>Table13[[#This Row],[Profit]]/Table13[[#This Row],[Amount]]</f>
        <v>0.46107416879795399</v>
      </c>
      <c r="Q1063" s="6">
        <f>Table13[[#This Row],[Amount]]/Table13[[#This Row],[Quantity]]</f>
        <v>1955</v>
      </c>
    </row>
    <row r="1064" spans="1:17" x14ac:dyDescent="0.3">
      <c r="A1064" t="s">
        <v>1252</v>
      </c>
      <c r="B1064">
        <v>3309</v>
      </c>
      <c r="C1064">
        <v>177</v>
      </c>
      <c r="D1064">
        <v>13</v>
      </c>
      <c r="E1064" t="s">
        <v>45</v>
      </c>
      <c r="F1064" t="s">
        <v>109</v>
      </c>
      <c r="G1064" t="s">
        <v>40</v>
      </c>
      <c r="H1064" s="1">
        <v>44182</v>
      </c>
      <c r="I1064" t="s">
        <v>1253</v>
      </c>
      <c r="J1064" t="s">
        <v>98</v>
      </c>
      <c r="K1064" t="s">
        <v>117</v>
      </c>
      <c r="L1064" s="2" t="s">
        <v>287</v>
      </c>
      <c r="M1064" t="str">
        <f>TEXT(Table13[[#This Row],[Order Date]],"MMM")</f>
        <v>Dec</v>
      </c>
      <c r="N1064">
        <f>YEAR(Table13[[#This Row],[Order Date]])</f>
        <v>2020</v>
      </c>
      <c r="O1064" t="str">
        <f>"Q"&amp;ROUNDUP(MONTH(Table13[[#This Row],[Order Date]])/3,0)</f>
        <v>Q4</v>
      </c>
      <c r="P1064" s="5">
        <f>Table13[[#This Row],[Profit]]/Table13[[#This Row],[Amount]]</f>
        <v>5.3490480507706259E-2</v>
      </c>
      <c r="Q1064" s="6">
        <f>Table13[[#This Row],[Amount]]/Table13[[#This Row],[Quantity]]</f>
        <v>254.53846153846155</v>
      </c>
    </row>
    <row r="1065" spans="1:17" x14ac:dyDescent="0.3">
      <c r="A1065" t="s">
        <v>1254</v>
      </c>
      <c r="B1065">
        <v>4163</v>
      </c>
      <c r="C1065">
        <v>897</v>
      </c>
      <c r="D1065">
        <v>14</v>
      </c>
      <c r="E1065" t="s">
        <v>13</v>
      </c>
      <c r="F1065" t="s">
        <v>14</v>
      </c>
      <c r="G1065" t="s">
        <v>65</v>
      </c>
      <c r="H1065" s="1">
        <v>44803</v>
      </c>
      <c r="I1065" t="s">
        <v>1255</v>
      </c>
      <c r="J1065" t="s">
        <v>21</v>
      </c>
      <c r="K1065" t="s">
        <v>63</v>
      </c>
      <c r="L1065" s="2" t="s">
        <v>209</v>
      </c>
      <c r="M1065" t="str">
        <f>TEXT(Table13[[#This Row],[Order Date]],"MMM")</f>
        <v>Aug</v>
      </c>
      <c r="N1065">
        <f>YEAR(Table13[[#This Row],[Order Date]])</f>
        <v>2022</v>
      </c>
      <c r="O1065" t="str">
        <f>"Q"&amp;ROUNDUP(MONTH(Table13[[#This Row],[Order Date]])/3,0)</f>
        <v>Q3</v>
      </c>
      <c r="P1065" s="5">
        <f>Table13[[#This Row],[Profit]]/Table13[[#This Row],[Amount]]</f>
        <v>0.21546961325966851</v>
      </c>
      <c r="Q1065" s="6">
        <f>Table13[[#This Row],[Amount]]/Table13[[#This Row],[Quantity]]</f>
        <v>297.35714285714283</v>
      </c>
    </row>
    <row r="1066" spans="1:17" x14ac:dyDescent="0.3">
      <c r="A1066" t="s">
        <v>1254</v>
      </c>
      <c r="B1066">
        <v>4163</v>
      </c>
      <c r="C1066">
        <v>897</v>
      </c>
      <c r="D1066">
        <v>14</v>
      </c>
      <c r="E1066" t="s">
        <v>13</v>
      </c>
      <c r="F1066" t="s">
        <v>14</v>
      </c>
      <c r="G1066" t="s">
        <v>65</v>
      </c>
      <c r="H1066" s="1">
        <v>45715</v>
      </c>
      <c r="I1066" t="s">
        <v>1256</v>
      </c>
      <c r="J1066" t="s">
        <v>98</v>
      </c>
      <c r="K1066" t="s">
        <v>117</v>
      </c>
      <c r="L1066" s="2" t="s">
        <v>73</v>
      </c>
      <c r="M1066" t="str">
        <f>TEXT(Table13[[#This Row],[Order Date]],"MMM")</f>
        <v>Feb</v>
      </c>
      <c r="N1066">
        <f>YEAR(Table13[[#This Row],[Order Date]])</f>
        <v>2025</v>
      </c>
      <c r="O1066" t="str">
        <f>"Q"&amp;ROUNDUP(MONTH(Table13[[#This Row],[Order Date]])/3,0)</f>
        <v>Q1</v>
      </c>
      <c r="P1066" s="5">
        <f>Table13[[#This Row],[Profit]]/Table13[[#This Row],[Amount]]</f>
        <v>0.21546961325966851</v>
      </c>
      <c r="Q1066" s="6">
        <f>Table13[[#This Row],[Amount]]/Table13[[#This Row],[Quantity]]</f>
        <v>297.35714285714283</v>
      </c>
    </row>
    <row r="1067" spans="1:17" x14ac:dyDescent="0.3">
      <c r="A1067" t="s">
        <v>1254</v>
      </c>
      <c r="B1067">
        <v>4163</v>
      </c>
      <c r="C1067">
        <v>897</v>
      </c>
      <c r="D1067">
        <v>14</v>
      </c>
      <c r="E1067" t="s">
        <v>13</v>
      </c>
      <c r="F1067" t="s">
        <v>14</v>
      </c>
      <c r="G1067" t="s">
        <v>65</v>
      </c>
      <c r="H1067" s="1">
        <v>44352</v>
      </c>
      <c r="I1067" t="s">
        <v>1257</v>
      </c>
      <c r="J1067" t="s">
        <v>17</v>
      </c>
      <c r="K1067" t="s">
        <v>34</v>
      </c>
      <c r="L1067" s="2" t="s">
        <v>125</v>
      </c>
      <c r="M1067" t="str">
        <f>TEXT(Table13[[#This Row],[Order Date]],"MMM")</f>
        <v>Jun</v>
      </c>
      <c r="N1067">
        <f>YEAR(Table13[[#This Row],[Order Date]])</f>
        <v>2021</v>
      </c>
      <c r="O1067" t="str">
        <f>"Q"&amp;ROUNDUP(MONTH(Table13[[#This Row],[Order Date]])/3,0)</f>
        <v>Q2</v>
      </c>
      <c r="P1067" s="5">
        <f>Table13[[#This Row],[Profit]]/Table13[[#This Row],[Amount]]</f>
        <v>0.21546961325966851</v>
      </c>
      <c r="Q1067" s="6">
        <f>Table13[[#This Row],[Amount]]/Table13[[#This Row],[Quantity]]</f>
        <v>297.35714285714283</v>
      </c>
    </row>
    <row r="1068" spans="1:17" x14ac:dyDescent="0.3">
      <c r="A1068" t="s">
        <v>1258</v>
      </c>
      <c r="B1068">
        <v>5518</v>
      </c>
      <c r="C1068">
        <v>867</v>
      </c>
      <c r="D1068">
        <v>7</v>
      </c>
      <c r="E1068" t="s">
        <v>45</v>
      </c>
      <c r="F1068" t="s">
        <v>60</v>
      </c>
      <c r="G1068" t="s">
        <v>15</v>
      </c>
      <c r="H1068" s="1">
        <v>44917</v>
      </c>
      <c r="I1068" t="s">
        <v>1259</v>
      </c>
      <c r="J1068" t="s">
        <v>71</v>
      </c>
      <c r="K1068" t="s">
        <v>138</v>
      </c>
      <c r="L1068" s="2" t="s">
        <v>152</v>
      </c>
      <c r="M1068" t="str">
        <f>TEXT(Table13[[#This Row],[Order Date]],"MMM")</f>
        <v>Dec</v>
      </c>
      <c r="N1068">
        <f>YEAR(Table13[[#This Row],[Order Date]])</f>
        <v>2022</v>
      </c>
      <c r="O1068" t="str">
        <f>"Q"&amp;ROUNDUP(MONTH(Table13[[#This Row],[Order Date]])/3,0)</f>
        <v>Q4</v>
      </c>
      <c r="P1068" s="5">
        <f>Table13[[#This Row],[Profit]]/Table13[[#This Row],[Amount]]</f>
        <v>0.15712214570496558</v>
      </c>
      <c r="Q1068" s="6">
        <f>Table13[[#This Row],[Amount]]/Table13[[#This Row],[Quantity]]</f>
        <v>788.28571428571433</v>
      </c>
    </row>
    <row r="1069" spans="1:17" x14ac:dyDescent="0.3">
      <c r="A1069" t="s">
        <v>1260</v>
      </c>
      <c r="B1069">
        <v>7566</v>
      </c>
      <c r="C1069">
        <v>606</v>
      </c>
      <c r="D1069">
        <v>6</v>
      </c>
      <c r="E1069" t="s">
        <v>13</v>
      </c>
      <c r="F1069" t="s">
        <v>82</v>
      </c>
      <c r="G1069" t="s">
        <v>32</v>
      </c>
      <c r="H1069" s="1">
        <v>45682</v>
      </c>
      <c r="I1069" t="s">
        <v>1261</v>
      </c>
      <c r="J1069" t="s">
        <v>98</v>
      </c>
      <c r="K1069" t="s">
        <v>99</v>
      </c>
      <c r="L1069" s="2" t="s">
        <v>308</v>
      </c>
      <c r="M1069" t="str">
        <f>TEXT(Table13[[#This Row],[Order Date]],"MMM")</f>
        <v>Jan</v>
      </c>
      <c r="N1069">
        <f>YEAR(Table13[[#This Row],[Order Date]])</f>
        <v>2025</v>
      </c>
      <c r="O1069" t="str">
        <f>"Q"&amp;ROUNDUP(MONTH(Table13[[#This Row],[Order Date]])/3,0)</f>
        <v>Q1</v>
      </c>
      <c r="P1069" s="5">
        <f>Table13[[#This Row],[Profit]]/Table13[[#This Row],[Amount]]</f>
        <v>8.009516256938938E-2</v>
      </c>
      <c r="Q1069" s="6">
        <f>Table13[[#This Row],[Amount]]/Table13[[#This Row],[Quantity]]</f>
        <v>1261</v>
      </c>
    </row>
    <row r="1070" spans="1:17" x14ac:dyDescent="0.3">
      <c r="A1070" t="s">
        <v>1260</v>
      </c>
      <c r="B1070">
        <v>7566</v>
      </c>
      <c r="C1070">
        <v>606</v>
      </c>
      <c r="D1070">
        <v>6</v>
      </c>
      <c r="E1070" t="s">
        <v>13</v>
      </c>
      <c r="F1070" t="s">
        <v>82</v>
      </c>
      <c r="G1070" t="s">
        <v>32</v>
      </c>
      <c r="H1070" s="1">
        <v>45702</v>
      </c>
      <c r="I1070" t="s">
        <v>1262</v>
      </c>
      <c r="J1070" t="s">
        <v>42</v>
      </c>
      <c r="K1070" t="s">
        <v>75</v>
      </c>
      <c r="L1070" s="2" t="s">
        <v>73</v>
      </c>
      <c r="M1070" t="str">
        <f>TEXT(Table13[[#This Row],[Order Date]],"MMM")</f>
        <v>Feb</v>
      </c>
      <c r="N1070">
        <f>YEAR(Table13[[#This Row],[Order Date]])</f>
        <v>2025</v>
      </c>
      <c r="O1070" t="str">
        <f>"Q"&amp;ROUNDUP(MONTH(Table13[[#This Row],[Order Date]])/3,0)</f>
        <v>Q1</v>
      </c>
      <c r="P1070" s="5">
        <f>Table13[[#This Row],[Profit]]/Table13[[#This Row],[Amount]]</f>
        <v>8.009516256938938E-2</v>
      </c>
      <c r="Q1070" s="6">
        <f>Table13[[#This Row],[Amount]]/Table13[[#This Row],[Quantity]]</f>
        <v>1261</v>
      </c>
    </row>
    <row r="1071" spans="1:17" x14ac:dyDescent="0.3">
      <c r="A1071" t="s">
        <v>1263</v>
      </c>
      <c r="B1071">
        <v>762</v>
      </c>
      <c r="C1071">
        <v>92</v>
      </c>
      <c r="D1071">
        <v>11</v>
      </c>
      <c r="E1071" t="s">
        <v>13</v>
      </c>
      <c r="F1071" t="s">
        <v>28</v>
      </c>
      <c r="G1071" t="s">
        <v>65</v>
      </c>
      <c r="H1071" s="1">
        <v>44932</v>
      </c>
      <c r="I1071" t="s">
        <v>1264</v>
      </c>
      <c r="J1071" t="s">
        <v>21</v>
      </c>
      <c r="K1071" t="s">
        <v>63</v>
      </c>
      <c r="L1071" s="2" t="s">
        <v>333</v>
      </c>
      <c r="M1071" t="str">
        <f>TEXT(Table13[[#This Row],[Order Date]],"MMM")</f>
        <v>Jan</v>
      </c>
      <c r="N1071">
        <f>YEAR(Table13[[#This Row],[Order Date]])</f>
        <v>2023</v>
      </c>
      <c r="O1071" t="str">
        <f>"Q"&amp;ROUNDUP(MONTH(Table13[[#This Row],[Order Date]])/3,0)</f>
        <v>Q1</v>
      </c>
      <c r="P1071" s="5">
        <f>Table13[[#This Row],[Profit]]/Table13[[#This Row],[Amount]]</f>
        <v>0.12073490813648294</v>
      </c>
      <c r="Q1071" s="6">
        <f>Table13[[#This Row],[Amount]]/Table13[[#This Row],[Quantity]]</f>
        <v>69.272727272727266</v>
      </c>
    </row>
    <row r="1072" spans="1:17" x14ac:dyDescent="0.3">
      <c r="A1072" t="s">
        <v>1265</v>
      </c>
      <c r="B1072">
        <v>3316</v>
      </c>
      <c r="C1072">
        <v>126</v>
      </c>
      <c r="D1072">
        <v>6</v>
      </c>
      <c r="E1072" t="s">
        <v>13</v>
      </c>
      <c r="F1072" t="s">
        <v>39</v>
      </c>
      <c r="G1072" t="s">
        <v>65</v>
      </c>
      <c r="H1072" s="1">
        <v>44115</v>
      </c>
      <c r="I1072" t="s">
        <v>1266</v>
      </c>
      <c r="J1072" t="s">
        <v>98</v>
      </c>
      <c r="K1072" t="s">
        <v>107</v>
      </c>
      <c r="L1072" s="2" t="s">
        <v>119</v>
      </c>
      <c r="M1072" t="str">
        <f>TEXT(Table13[[#This Row],[Order Date]],"MMM")</f>
        <v>Oct</v>
      </c>
      <c r="N1072">
        <f>YEAR(Table13[[#This Row],[Order Date]])</f>
        <v>2020</v>
      </c>
      <c r="O1072" t="str">
        <f>"Q"&amp;ROUNDUP(MONTH(Table13[[#This Row],[Order Date]])/3,0)</f>
        <v>Q4</v>
      </c>
      <c r="P1072" s="5">
        <f>Table13[[#This Row],[Profit]]/Table13[[#This Row],[Amount]]</f>
        <v>3.7997587454764774E-2</v>
      </c>
      <c r="Q1072" s="6">
        <f>Table13[[#This Row],[Amount]]/Table13[[#This Row],[Quantity]]</f>
        <v>552.66666666666663</v>
      </c>
    </row>
    <row r="1073" spans="1:17" x14ac:dyDescent="0.3">
      <c r="A1073" t="s">
        <v>1267</v>
      </c>
      <c r="B1073">
        <v>5994</v>
      </c>
      <c r="C1073">
        <v>2826</v>
      </c>
      <c r="D1073">
        <v>9</v>
      </c>
      <c r="E1073" t="s">
        <v>45</v>
      </c>
      <c r="F1073" t="s">
        <v>109</v>
      </c>
      <c r="G1073" t="s">
        <v>40</v>
      </c>
      <c r="H1073" s="1">
        <v>45070</v>
      </c>
      <c r="I1073" t="s">
        <v>1268</v>
      </c>
      <c r="J1073" t="s">
        <v>42</v>
      </c>
      <c r="K1073" t="s">
        <v>92</v>
      </c>
      <c r="L1073" s="2" t="s">
        <v>127</v>
      </c>
      <c r="M1073" t="str">
        <f>TEXT(Table13[[#This Row],[Order Date]],"MMM")</f>
        <v>May</v>
      </c>
      <c r="N1073">
        <f>YEAR(Table13[[#This Row],[Order Date]])</f>
        <v>2023</v>
      </c>
      <c r="O1073" t="str">
        <f>"Q"&amp;ROUNDUP(MONTH(Table13[[#This Row],[Order Date]])/3,0)</f>
        <v>Q2</v>
      </c>
      <c r="P1073" s="5">
        <f>Table13[[#This Row],[Profit]]/Table13[[#This Row],[Amount]]</f>
        <v>0.47147147147147145</v>
      </c>
      <c r="Q1073" s="6">
        <f>Table13[[#This Row],[Amount]]/Table13[[#This Row],[Quantity]]</f>
        <v>666</v>
      </c>
    </row>
    <row r="1074" spans="1:17" x14ac:dyDescent="0.3">
      <c r="A1074" t="s">
        <v>1267</v>
      </c>
      <c r="B1074">
        <v>5994</v>
      </c>
      <c r="C1074">
        <v>2826</v>
      </c>
      <c r="D1074">
        <v>9</v>
      </c>
      <c r="E1074" t="s">
        <v>45</v>
      </c>
      <c r="F1074" t="s">
        <v>109</v>
      </c>
      <c r="G1074" t="s">
        <v>40</v>
      </c>
      <c r="H1074" s="1">
        <v>45363</v>
      </c>
      <c r="I1074" t="s">
        <v>1269</v>
      </c>
      <c r="J1074" t="s">
        <v>42</v>
      </c>
      <c r="K1074" t="s">
        <v>43</v>
      </c>
      <c r="L1074" s="2" t="s">
        <v>338</v>
      </c>
      <c r="M1074" t="str">
        <f>TEXT(Table13[[#This Row],[Order Date]],"MMM")</f>
        <v>Mar</v>
      </c>
      <c r="N1074">
        <f>YEAR(Table13[[#This Row],[Order Date]])</f>
        <v>2024</v>
      </c>
      <c r="O1074" t="str">
        <f>"Q"&amp;ROUNDUP(MONTH(Table13[[#This Row],[Order Date]])/3,0)</f>
        <v>Q1</v>
      </c>
      <c r="P1074" s="5">
        <f>Table13[[#This Row],[Profit]]/Table13[[#This Row],[Amount]]</f>
        <v>0.47147147147147145</v>
      </c>
      <c r="Q1074" s="6">
        <f>Table13[[#This Row],[Amount]]/Table13[[#This Row],[Quantity]]</f>
        <v>666</v>
      </c>
    </row>
    <row r="1075" spans="1:17" x14ac:dyDescent="0.3">
      <c r="A1075" t="s">
        <v>1267</v>
      </c>
      <c r="B1075">
        <v>5994</v>
      </c>
      <c r="C1075">
        <v>2826</v>
      </c>
      <c r="D1075">
        <v>9</v>
      </c>
      <c r="E1075" t="s">
        <v>45</v>
      </c>
      <c r="F1075" t="s">
        <v>109</v>
      </c>
      <c r="G1075" t="s">
        <v>40</v>
      </c>
      <c r="H1075" s="1">
        <v>45368</v>
      </c>
      <c r="I1075" t="s">
        <v>1270</v>
      </c>
      <c r="J1075" t="s">
        <v>25</v>
      </c>
      <c r="K1075" t="s">
        <v>51</v>
      </c>
      <c r="L1075" s="2" t="s">
        <v>338</v>
      </c>
      <c r="M1075" t="str">
        <f>TEXT(Table13[[#This Row],[Order Date]],"MMM")</f>
        <v>Mar</v>
      </c>
      <c r="N1075">
        <f>YEAR(Table13[[#This Row],[Order Date]])</f>
        <v>2024</v>
      </c>
      <c r="O1075" t="str">
        <f>"Q"&amp;ROUNDUP(MONTH(Table13[[#This Row],[Order Date]])/3,0)</f>
        <v>Q1</v>
      </c>
      <c r="P1075" s="5">
        <f>Table13[[#This Row],[Profit]]/Table13[[#This Row],[Amount]]</f>
        <v>0.47147147147147145</v>
      </c>
      <c r="Q1075" s="6">
        <f>Table13[[#This Row],[Amount]]/Table13[[#This Row],[Quantity]]</f>
        <v>666</v>
      </c>
    </row>
    <row r="1076" spans="1:17" x14ac:dyDescent="0.3">
      <c r="A1076" t="s">
        <v>1271</v>
      </c>
      <c r="B1076">
        <v>3854</v>
      </c>
      <c r="C1076">
        <v>245</v>
      </c>
      <c r="D1076">
        <v>19</v>
      </c>
      <c r="E1076" t="s">
        <v>13</v>
      </c>
      <c r="F1076" t="s">
        <v>39</v>
      </c>
      <c r="G1076" t="s">
        <v>65</v>
      </c>
      <c r="H1076" s="1">
        <v>44698</v>
      </c>
      <c r="I1076" t="s">
        <v>1272</v>
      </c>
      <c r="J1076" t="s">
        <v>98</v>
      </c>
      <c r="K1076" t="s">
        <v>99</v>
      </c>
      <c r="L1076" s="2" t="s">
        <v>180</v>
      </c>
      <c r="M1076" t="str">
        <f>TEXT(Table13[[#This Row],[Order Date]],"MMM")</f>
        <v>May</v>
      </c>
      <c r="N1076">
        <f>YEAR(Table13[[#This Row],[Order Date]])</f>
        <v>2022</v>
      </c>
      <c r="O1076" t="str">
        <f>"Q"&amp;ROUNDUP(MONTH(Table13[[#This Row],[Order Date]])/3,0)</f>
        <v>Q2</v>
      </c>
      <c r="P1076" s="5">
        <f>Table13[[#This Row],[Profit]]/Table13[[#This Row],[Amount]]</f>
        <v>6.3570316554229372E-2</v>
      </c>
      <c r="Q1076" s="6">
        <f>Table13[[#This Row],[Amount]]/Table13[[#This Row],[Quantity]]</f>
        <v>202.84210526315789</v>
      </c>
    </row>
    <row r="1077" spans="1:17" x14ac:dyDescent="0.3">
      <c r="A1077" t="s">
        <v>1273</v>
      </c>
      <c r="B1077">
        <v>7019</v>
      </c>
      <c r="C1077">
        <v>2677</v>
      </c>
      <c r="D1077">
        <v>15</v>
      </c>
      <c r="E1077" t="s">
        <v>30</v>
      </c>
      <c r="F1077" t="s">
        <v>57</v>
      </c>
      <c r="G1077" t="s">
        <v>15</v>
      </c>
      <c r="H1077" s="1">
        <v>44186</v>
      </c>
      <c r="I1077" t="s">
        <v>1274</v>
      </c>
      <c r="J1077" t="s">
        <v>17</v>
      </c>
      <c r="K1077" t="s">
        <v>18</v>
      </c>
      <c r="L1077" s="2" t="s">
        <v>287</v>
      </c>
      <c r="M1077" t="str">
        <f>TEXT(Table13[[#This Row],[Order Date]],"MMM")</f>
        <v>Dec</v>
      </c>
      <c r="N1077">
        <f>YEAR(Table13[[#This Row],[Order Date]])</f>
        <v>2020</v>
      </c>
      <c r="O1077" t="str">
        <f>"Q"&amp;ROUNDUP(MONTH(Table13[[#This Row],[Order Date]])/3,0)</f>
        <v>Q4</v>
      </c>
      <c r="P1077" s="5">
        <f>Table13[[#This Row],[Profit]]/Table13[[#This Row],[Amount]]</f>
        <v>0.38139336087761788</v>
      </c>
      <c r="Q1077" s="6">
        <f>Table13[[#This Row],[Amount]]/Table13[[#This Row],[Quantity]]</f>
        <v>467.93333333333334</v>
      </c>
    </row>
    <row r="1078" spans="1:17" x14ac:dyDescent="0.3">
      <c r="A1078" t="s">
        <v>1275</v>
      </c>
      <c r="B1078">
        <v>5954</v>
      </c>
      <c r="C1078">
        <v>2640</v>
      </c>
      <c r="D1078">
        <v>14</v>
      </c>
      <c r="E1078" t="s">
        <v>13</v>
      </c>
      <c r="F1078" t="s">
        <v>39</v>
      </c>
      <c r="G1078" t="s">
        <v>47</v>
      </c>
      <c r="H1078" s="1">
        <v>44432</v>
      </c>
      <c r="I1078" t="s">
        <v>1276</v>
      </c>
      <c r="J1078" t="s">
        <v>25</v>
      </c>
      <c r="K1078" t="s">
        <v>51</v>
      </c>
      <c r="L1078" s="2" t="s">
        <v>178</v>
      </c>
      <c r="M1078" t="str">
        <f>TEXT(Table13[[#This Row],[Order Date]],"MMM")</f>
        <v>Aug</v>
      </c>
      <c r="N1078">
        <f>YEAR(Table13[[#This Row],[Order Date]])</f>
        <v>2021</v>
      </c>
      <c r="O1078" t="str">
        <f>"Q"&amp;ROUNDUP(MONTH(Table13[[#This Row],[Order Date]])/3,0)</f>
        <v>Q3</v>
      </c>
      <c r="P1078" s="5">
        <f>Table13[[#This Row],[Profit]]/Table13[[#This Row],[Amount]]</f>
        <v>0.44339939536446088</v>
      </c>
      <c r="Q1078" s="6">
        <f>Table13[[#This Row],[Amount]]/Table13[[#This Row],[Quantity]]</f>
        <v>425.28571428571428</v>
      </c>
    </row>
    <row r="1079" spans="1:17" x14ac:dyDescent="0.3">
      <c r="A1079" t="s">
        <v>1275</v>
      </c>
      <c r="B1079">
        <v>5954</v>
      </c>
      <c r="C1079">
        <v>2640</v>
      </c>
      <c r="D1079">
        <v>14</v>
      </c>
      <c r="E1079" t="s">
        <v>13</v>
      </c>
      <c r="F1079" t="s">
        <v>39</v>
      </c>
      <c r="G1079" t="s">
        <v>47</v>
      </c>
      <c r="H1079" s="1">
        <v>44856</v>
      </c>
      <c r="I1079" t="s">
        <v>1277</v>
      </c>
      <c r="J1079" t="s">
        <v>71</v>
      </c>
      <c r="K1079" t="s">
        <v>72</v>
      </c>
      <c r="L1079" s="2" t="s">
        <v>96</v>
      </c>
      <c r="M1079" t="str">
        <f>TEXT(Table13[[#This Row],[Order Date]],"MMM")</f>
        <v>Oct</v>
      </c>
      <c r="N1079">
        <f>YEAR(Table13[[#This Row],[Order Date]])</f>
        <v>2022</v>
      </c>
      <c r="O1079" t="str">
        <f>"Q"&amp;ROUNDUP(MONTH(Table13[[#This Row],[Order Date]])/3,0)</f>
        <v>Q4</v>
      </c>
      <c r="P1079" s="5">
        <f>Table13[[#This Row],[Profit]]/Table13[[#This Row],[Amount]]</f>
        <v>0.44339939536446088</v>
      </c>
      <c r="Q1079" s="6">
        <f>Table13[[#This Row],[Amount]]/Table13[[#This Row],[Quantity]]</f>
        <v>425.28571428571428</v>
      </c>
    </row>
    <row r="1080" spans="1:17" x14ac:dyDescent="0.3">
      <c r="A1080" t="s">
        <v>1278</v>
      </c>
      <c r="B1080">
        <v>9752</v>
      </c>
      <c r="C1080">
        <v>3618</v>
      </c>
      <c r="D1080">
        <v>5</v>
      </c>
      <c r="E1080" t="s">
        <v>45</v>
      </c>
      <c r="F1080" t="s">
        <v>109</v>
      </c>
      <c r="G1080" t="s">
        <v>32</v>
      </c>
      <c r="H1080" s="1">
        <v>45343</v>
      </c>
      <c r="I1080" t="s">
        <v>1279</v>
      </c>
      <c r="J1080" t="s">
        <v>25</v>
      </c>
      <c r="K1080" t="s">
        <v>68</v>
      </c>
      <c r="L1080" s="2" t="s">
        <v>218</v>
      </c>
      <c r="M1080" t="str">
        <f>TEXT(Table13[[#This Row],[Order Date]],"MMM")</f>
        <v>Feb</v>
      </c>
      <c r="N1080">
        <f>YEAR(Table13[[#This Row],[Order Date]])</f>
        <v>2024</v>
      </c>
      <c r="O1080" t="str">
        <f>"Q"&amp;ROUNDUP(MONTH(Table13[[#This Row],[Order Date]])/3,0)</f>
        <v>Q1</v>
      </c>
      <c r="P1080" s="5">
        <f>Table13[[#This Row],[Profit]]/Table13[[#This Row],[Amount]]</f>
        <v>0.37100082034454474</v>
      </c>
      <c r="Q1080" s="6">
        <f>Table13[[#This Row],[Amount]]/Table13[[#This Row],[Quantity]]</f>
        <v>1950.4</v>
      </c>
    </row>
    <row r="1081" spans="1:17" x14ac:dyDescent="0.3">
      <c r="A1081" t="s">
        <v>1278</v>
      </c>
      <c r="B1081">
        <v>9752</v>
      </c>
      <c r="C1081">
        <v>3618</v>
      </c>
      <c r="D1081">
        <v>5</v>
      </c>
      <c r="E1081" t="s">
        <v>45</v>
      </c>
      <c r="F1081" t="s">
        <v>109</v>
      </c>
      <c r="G1081" t="s">
        <v>32</v>
      </c>
      <c r="H1081" s="1">
        <v>44865</v>
      </c>
      <c r="I1081" t="s">
        <v>1280</v>
      </c>
      <c r="J1081" t="s">
        <v>21</v>
      </c>
      <c r="K1081" t="s">
        <v>172</v>
      </c>
      <c r="L1081" s="2" t="s">
        <v>96</v>
      </c>
      <c r="M1081" t="str">
        <f>TEXT(Table13[[#This Row],[Order Date]],"MMM")</f>
        <v>Oct</v>
      </c>
      <c r="N1081">
        <f>YEAR(Table13[[#This Row],[Order Date]])</f>
        <v>2022</v>
      </c>
      <c r="O1081" t="str">
        <f>"Q"&amp;ROUNDUP(MONTH(Table13[[#This Row],[Order Date]])/3,0)</f>
        <v>Q4</v>
      </c>
      <c r="P1081" s="5">
        <f>Table13[[#This Row],[Profit]]/Table13[[#This Row],[Amount]]</f>
        <v>0.37100082034454474</v>
      </c>
      <c r="Q1081" s="6">
        <f>Table13[[#This Row],[Amount]]/Table13[[#This Row],[Quantity]]</f>
        <v>1950.4</v>
      </c>
    </row>
    <row r="1082" spans="1:17" x14ac:dyDescent="0.3">
      <c r="A1082" t="s">
        <v>1281</v>
      </c>
      <c r="B1082">
        <v>5335</v>
      </c>
      <c r="C1082">
        <v>322</v>
      </c>
      <c r="D1082">
        <v>15</v>
      </c>
      <c r="E1082" t="s">
        <v>13</v>
      </c>
      <c r="F1082" t="s">
        <v>14</v>
      </c>
      <c r="G1082" t="s">
        <v>65</v>
      </c>
      <c r="H1082" s="1">
        <v>44696</v>
      </c>
      <c r="I1082" t="s">
        <v>1282</v>
      </c>
      <c r="J1082" t="s">
        <v>25</v>
      </c>
      <c r="K1082" t="s">
        <v>51</v>
      </c>
      <c r="L1082" s="2" t="s">
        <v>180</v>
      </c>
      <c r="M1082" t="str">
        <f>TEXT(Table13[[#This Row],[Order Date]],"MMM")</f>
        <v>May</v>
      </c>
      <c r="N1082">
        <f>YEAR(Table13[[#This Row],[Order Date]])</f>
        <v>2022</v>
      </c>
      <c r="O1082" t="str">
        <f>"Q"&amp;ROUNDUP(MONTH(Table13[[#This Row],[Order Date]])/3,0)</f>
        <v>Q2</v>
      </c>
      <c r="P1082" s="5">
        <f>Table13[[#This Row],[Profit]]/Table13[[#This Row],[Amount]]</f>
        <v>6.0356138706654169E-2</v>
      </c>
      <c r="Q1082" s="6">
        <f>Table13[[#This Row],[Amount]]/Table13[[#This Row],[Quantity]]</f>
        <v>355.66666666666669</v>
      </c>
    </row>
    <row r="1083" spans="1:17" x14ac:dyDescent="0.3">
      <c r="A1083" t="s">
        <v>1283</v>
      </c>
      <c r="B1083">
        <v>1454</v>
      </c>
      <c r="C1083">
        <v>80</v>
      </c>
      <c r="D1083">
        <v>20</v>
      </c>
      <c r="E1083" t="s">
        <v>13</v>
      </c>
      <c r="F1083" t="s">
        <v>14</v>
      </c>
      <c r="G1083" t="s">
        <v>47</v>
      </c>
      <c r="H1083" s="1">
        <v>44764</v>
      </c>
      <c r="I1083" t="s">
        <v>1284</v>
      </c>
      <c r="J1083" t="s">
        <v>25</v>
      </c>
      <c r="K1083" t="s">
        <v>68</v>
      </c>
      <c r="L1083" s="2" t="s">
        <v>418</v>
      </c>
      <c r="M1083" t="str">
        <f>TEXT(Table13[[#This Row],[Order Date]],"MMM")</f>
        <v>Jul</v>
      </c>
      <c r="N1083">
        <f>YEAR(Table13[[#This Row],[Order Date]])</f>
        <v>2022</v>
      </c>
      <c r="O1083" t="str">
        <f>"Q"&amp;ROUNDUP(MONTH(Table13[[#This Row],[Order Date]])/3,0)</f>
        <v>Q3</v>
      </c>
      <c r="P1083" s="5">
        <f>Table13[[#This Row],[Profit]]/Table13[[#This Row],[Amount]]</f>
        <v>5.5020632737276476E-2</v>
      </c>
      <c r="Q1083" s="6">
        <f>Table13[[#This Row],[Amount]]/Table13[[#This Row],[Quantity]]</f>
        <v>72.7</v>
      </c>
    </row>
    <row r="1084" spans="1:17" x14ac:dyDescent="0.3">
      <c r="A1084" t="s">
        <v>1285</v>
      </c>
      <c r="B1084">
        <v>6724</v>
      </c>
      <c r="C1084">
        <v>1539</v>
      </c>
      <c r="D1084">
        <v>19</v>
      </c>
      <c r="E1084" t="s">
        <v>45</v>
      </c>
      <c r="F1084" t="s">
        <v>109</v>
      </c>
      <c r="G1084" t="s">
        <v>65</v>
      </c>
      <c r="H1084" s="1">
        <v>44543</v>
      </c>
      <c r="I1084" t="s">
        <v>1286</v>
      </c>
      <c r="J1084" t="s">
        <v>42</v>
      </c>
      <c r="K1084" t="s">
        <v>92</v>
      </c>
      <c r="L1084" s="2" t="s">
        <v>90</v>
      </c>
      <c r="M1084" t="str">
        <f>TEXT(Table13[[#This Row],[Order Date]],"MMM")</f>
        <v>Dec</v>
      </c>
      <c r="N1084">
        <f>YEAR(Table13[[#This Row],[Order Date]])</f>
        <v>2021</v>
      </c>
      <c r="O1084" t="str">
        <f>"Q"&amp;ROUNDUP(MONTH(Table13[[#This Row],[Order Date]])/3,0)</f>
        <v>Q4</v>
      </c>
      <c r="P1084" s="5">
        <f>Table13[[#This Row],[Profit]]/Table13[[#This Row],[Amount]]</f>
        <v>0.22888161808447352</v>
      </c>
      <c r="Q1084" s="6">
        <f>Table13[[#This Row],[Amount]]/Table13[[#This Row],[Quantity]]</f>
        <v>353.89473684210526</v>
      </c>
    </row>
    <row r="1085" spans="1:17" x14ac:dyDescent="0.3">
      <c r="A1085" t="s">
        <v>1285</v>
      </c>
      <c r="B1085">
        <v>6724</v>
      </c>
      <c r="C1085">
        <v>1539</v>
      </c>
      <c r="D1085">
        <v>19</v>
      </c>
      <c r="E1085" t="s">
        <v>45</v>
      </c>
      <c r="F1085" t="s">
        <v>109</v>
      </c>
      <c r="G1085" t="s">
        <v>65</v>
      </c>
      <c r="H1085" s="1">
        <v>44350</v>
      </c>
      <c r="I1085" t="s">
        <v>1287</v>
      </c>
      <c r="J1085" t="s">
        <v>71</v>
      </c>
      <c r="K1085" t="s">
        <v>72</v>
      </c>
      <c r="L1085" s="2" t="s">
        <v>125</v>
      </c>
      <c r="M1085" t="str">
        <f>TEXT(Table13[[#This Row],[Order Date]],"MMM")</f>
        <v>Jun</v>
      </c>
      <c r="N1085">
        <f>YEAR(Table13[[#This Row],[Order Date]])</f>
        <v>2021</v>
      </c>
      <c r="O1085" t="str">
        <f>"Q"&amp;ROUNDUP(MONTH(Table13[[#This Row],[Order Date]])/3,0)</f>
        <v>Q2</v>
      </c>
      <c r="P1085" s="5">
        <f>Table13[[#This Row],[Profit]]/Table13[[#This Row],[Amount]]</f>
        <v>0.22888161808447352</v>
      </c>
      <c r="Q1085" s="6">
        <f>Table13[[#This Row],[Amount]]/Table13[[#This Row],[Quantity]]</f>
        <v>353.89473684210526</v>
      </c>
    </row>
    <row r="1086" spans="1:17" x14ac:dyDescent="0.3">
      <c r="A1086" t="s">
        <v>1288</v>
      </c>
      <c r="B1086">
        <v>9874</v>
      </c>
      <c r="C1086">
        <v>3895</v>
      </c>
      <c r="D1086">
        <v>4</v>
      </c>
      <c r="E1086" t="s">
        <v>30</v>
      </c>
      <c r="F1086" t="s">
        <v>78</v>
      </c>
      <c r="G1086" t="s">
        <v>40</v>
      </c>
      <c r="H1086" s="1">
        <v>45712</v>
      </c>
      <c r="I1086" t="s">
        <v>1289</v>
      </c>
      <c r="J1086" t="s">
        <v>98</v>
      </c>
      <c r="K1086" t="s">
        <v>117</v>
      </c>
      <c r="L1086" s="2" t="s">
        <v>73</v>
      </c>
      <c r="M1086" t="str">
        <f>TEXT(Table13[[#This Row],[Order Date]],"MMM")</f>
        <v>Feb</v>
      </c>
      <c r="N1086">
        <f>YEAR(Table13[[#This Row],[Order Date]])</f>
        <v>2025</v>
      </c>
      <c r="O1086" t="str">
        <f>"Q"&amp;ROUNDUP(MONTH(Table13[[#This Row],[Order Date]])/3,0)</f>
        <v>Q1</v>
      </c>
      <c r="P1086" s="5">
        <f>Table13[[#This Row],[Profit]]/Table13[[#This Row],[Amount]]</f>
        <v>0.39447032610897304</v>
      </c>
      <c r="Q1086" s="6">
        <f>Table13[[#This Row],[Amount]]/Table13[[#This Row],[Quantity]]</f>
        <v>2468.5</v>
      </c>
    </row>
    <row r="1087" spans="1:17" x14ac:dyDescent="0.3">
      <c r="A1087" t="s">
        <v>1290</v>
      </c>
      <c r="B1087">
        <v>4918</v>
      </c>
      <c r="C1087">
        <v>1485</v>
      </c>
      <c r="D1087">
        <v>7</v>
      </c>
      <c r="E1087" t="s">
        <v>13</v>
      </c>
      <c r="F1087" t="s">
        <v>82</v>
      </c>
      <c r="G1087" t="s">
        <v>15</v>
      </c>
      <c r="H1087" s="1">
        <v>44959</v>
      </c>
      <c r="I1087" t="s">
        <v>1291</v>
      </c>
      <c r="J1087" t="s">
        <v>17</v>
      </c>
      <c r="K1087" t="s">
        <v>150</v>
      </c>
      <c r="L1087" s="2" t="s">
        <v>93</v>
      </c>
      <c r="M1087" t="str">
        <f>TEXT(Table13[[#This Row],[Order Date]],"MMM")</f>
        <v>Feb</v>
      </c>
      <c r="N1087">
        <f>YEAR(Table13[[#This Row],[Order Date]])</f>
        <v>2023</v>
      </c>
      <c r="O1087" t="str">
        <f>"Q"&amp;ROUNDUP(MONTH(Table13[[#This Row],[Order Date]])/3,0)</f>
        <v>Q1</v>
      </c>
      <c r="P1087" s="5">
        <f>Table13[[#This Row],[Profit]]/Table13[[#This Row],[Amount]]</f>
        <v>0.30195201301342006</v>
      </c>
      <c r="Q1087" s="6">
        <f>Table13[[#This Row],[Amount]]/Table13[[#This Row],[Quantity]]</f>
        <v>702.57142857142856</v>
      </c>
    </row>
    <row r="1088" spans="1:17" x14ac:dyDescent="0.3">
      <c r="A1088" t="s">
        <v>1292</v>
      </c>
      <c r="B1088">
        <v>3189</v>
      </c>
      <c r="C1088">
        <v>1180</v>
      </c>
      <c r="D1088">
        <v>19</v>
      </c>
      <c r="E1088" t="s">
        <v>30</v>
      </c>
      <c r="F1088" t="s">
        <v>64</v>
      </c>
      <c r="G1088" t="s">
        <v>47</v>
      </c>
      <c r="H1088" s="1">
        <v>44561</v>
      </c>
      <c r="I1088" t="s">
        <v>1293</v>
      </c>
      <c r="J1088" t="s">
        <v>25</v>
      </c>
      <c r="K1088" t="s">
        <v>51</v>
      </c>
      <c r="L1088" s="2" t="s">
        <v>90</v>
      </c>
      <c r="M1088" t="str">
        <f>TEXT(Table13[[#This Row],[Order Date]],"MMM")</f>
        <v>Dec</v>
      </c>
      <c r="N1088">
        <f>YEAR(Table13[[#This Row],[Order Date]])</f>
        <v>2021</v>
      </c>
      <c r="O1088" t="str">
        <f>"Q"&amp;ROUNDUP(MONTH(Table13[[#This Row],[Order Date]])/3,0)</f>
        <v>Q4</v>
      </c>
      <c r="P1088" s="5">
        <f>Table13[[#This Row],[Profit]]/Table13[[#This Row],[Amount]]</f>
        <v>0.370021950454688</v>
      </c>
      <c r="Q1088" s="6">
        <f>Table13[[#This Row],[Amount]]/Table13[[#This Row],[Quantity]]</f>
        <v>167.84210526315789</v>
      </c>
    </row>
    <row r="1089" spans="1:17" x14ac:dyDescent="0.3">
      <c r="A1089" t="s">
        <v>1294</v>
      </c>
      <c r="B1089">
        <v>2684</v>
      </c>
      <c r="C1089">
        <v>713</v>
      </c>
      <c r="D1089">
        <v>2</v>
      </c>
      <c r="E1089" t="s">
        <v>13</v>
      </c>
      <c r="F1089" t="s">
        <v>14</v>
      </c>
      <c r="G1089" t="s">
        <v>15</v>
      </c>
      <c r="H1089" s="1">
        <v>45458</v>
      </c>
      <c r="I1089" t="s">
        <v>1295</v>
      </c>
      <c r="J1089" t="s">
        <v>25</v>
      </c>
      <c r="K1089" t="s">
        <v>51</v>
      </c>
      <c r="L1089" s="2" t="s">
        <v>262</v>
      </c>
      <c r="M1089" t="str">
        <f>TEXT(Table13[[#This Row],[Order Date]],"MMM")</f>
        <v>Jun</v>
      </c>
      <c r="N1089">
        <f>YEAR(Table13[[#This Row],[Order Date]])</f>
        <v>2024</v>
      </c>
      <c r="O1089" t="str">
        <f>"Q"&amp;ROUNDUP(MONTH(Table13[[#This Row],[Order Date]])/3,0)</f>
        <v>Q2</v>
      </c>
      <c r="P1089" s="5">
        <f>Table13[[#This Row],[Profit]]/Table13[[#This Row],[Amount]]</f>
        <v>0.2656482861400894</v>
      </c>
      <c r="Q1089" s="6">
        <f>Table13[[#This Row],[Amount]]/Table13[[#This Row],[Quantity]]</f>
        <v>1342</v>
      </c>
    </row>
    <row r="1090" spans="1:17" x14ac:dyDescent="0.3">
      <c r="A1090" t="s">
        <v>1294</v>
      </c>
      <c r="B1090">
        <v>2684</v>
      </c>
      <c r="C1090">
        <v>713</v>
      </c>
      <c r="D1090">
        <v>2</v>
      </c>
      <c r="E1090" t="s">
        <v>13</v>
      </c>
      <c r="F1090" t="s">
        <v>14</v>
      </c>
      <c r="G1090" t="s">
        <v>15</v>
      </c>
      <c r="H1090" s="1">
        <v>44717</v>
      </c>
      <c r="I1090" t="s">
        <v>1296</v>
      </c>
      <c r="J1090" t="s">
        <v>25</v>
      </c>
      <c r="K1090" t="s">
        <v>26</v>
      </c>
      <c r="L1090" s="2" t="s">
        <v>165</v>
      </c>
      <c r="M1090" t="str">
        <f>TEXT(Table13[[#This Row],[Order Date]],"MMM")</f>
        <v>Jun</v>
      </c>
      <c r="N1090">
        <f>YEAR(Table13[[#This Row],[Order Date]])</f>
        <v>2022</v>
      </c>
      <c r="O1090" t="str">
        <f>"Q"&amp;ROUNDUP(MONTH(Table13[[#This Row],[Order Date]])/3,0)</f>
        <v>Q2</v>
      </c>
      <c r="P1090" s="5">
        <f>Table13[[#This Row],[Profit]]/Table13[[#This Row],[Amount]]</f>
        <v>0.2656482861400894</v>
      </c>
      <c r="Q1090" s="6">
        <f>Table13[[#This Row],[Amount]]/Table13[[#This Row],[Quantity]]</f>
        <v>1342</v>
      </c>
    </row>
    <row r="1091" spans="1:17" x14ac:dyDescent="0.3">
      <c r="A1091" t="s">
        <v>1294</v>
      </c>
      <c r="B1091">
        <v>2684</v>
      </c>
      <c r="C1091">
        <v>713</v>
      </c>
      <c r="D1091">
        <v>2</v>
      </c>
      <c r="E1091" t="s">
        <v>13</v>
      </c>
      <c r="F1091" t="s">
        <v>14</v>
      </c>
      <c r="G1091" t="s">
        <v>15</v>
      </c>
      <c r="H1091" s="1">
        <v>43962</v>
      </c>
      <c r="I1091" t="s">
        <v>1297</v>
      </c>
      <c r="J1091" t="s">
        <v>71</v>
      </c>
      <c r="K1091" t="s">
        <v>72</v>
      </c>
      <c r="L1091" s="2" t="s">
        <v>59</v>
      </c>
      <c r="M1091" t="str">
        <f>TEXT(Table13[[#This Row],[Order Date]],"MMM")</f>
        <v>May</v>
      </c>
      <c r="N1091">
        <f>YEAR(Table13[[#This Row],[Order Date]])</f>
        <v>2020</v>
      </c>
      <c r="O1091" t="str">
        <f>"Q"&amp;ROUNDUP(MONTH(Table13[[#This Row],[Order Date]])/3,0)</f>
        <v>Q2</v>
      </c>
      <c r="P1091" s="5">
        <f>Table13[[#This Row],[Profit]]/Table13[[#This Row],[Amount]]</f>
        <v>0.2656482861400894</v>
      </c>
      <c r="Q1091" s="6">
        <f>Table13[[#This Row],[Amount]]/Table13[[#This Row],[Quantity]]</f>
        <v>1342</v>
      </c>
    </row>
    <row r="1092" spans="1:17" x14ac:dyDescent="0.3">
      <c r="A1092" t="s">
        <v>1298</v>
      </c>
      <c r="B1092">
        <v>7626</v>
      </c>
      <c r="C1092">
        <v>229</v>
      </c>
      <c r="D1092">
        <v>5</v>
      </c>
      <c r="E1092" t="s">
        <v>30</v>
      </c>
      <c r="F1092" t="s">
        <v>31</v>
      </c>
      <c r="G1092" t="s">
        <v>40</v>
      </c>
      <c r="H1092" s="1">
        <v>45333</v>
      </c>
      <c r="I1092" t="s">
        <v>1299</v>
      </c>
      <c r="J1092" t="s">
        <v>21</v>
      </c>
      <c r="K1092" t="s">
        <v>63</v>
      </c>
      <c r="L1092" s="2" t="s">
        <v>218</v>
      </c>
      <c r="M1092" t="str">
        <f>TEXT(Table13[[#This Row],[Order Date]],"MMM")</f>
        <v>Feb</v>
      </c>
      <c r="N1092">
        <f>YEAR(Table13[[#This Row],[Order Date]])</f>
        <v>2024</v>
      </c>
      <c r="O1092" t="str">
        <f>"Q"&amp;ROUNDUP(MONTH(Table13[[#This Row],[Order Date]])/3,0)</f>
        <v>Q1</v>
      </c>
      <c r="P1092" s="5">
        <f>Table13[[#This Row],[Profit]]/Table13[[#This Row],[Amount]]</f>
        <v>3.002884867558353E-2</v>
      </c>
      <c r="Q1092" s="6">
        <f>Table13[[#This Row],[Amount]]/Table13[[#This Row],[Quantity]]</f>
        <v>1525.2</v>
      </c>
    </row>
    <row r="1093" spans="1:17" x14ac:dyDescent="0.3">
      <c r="A1093" t="s">
        <v>1298</v>
      </c>
      <c r="B1093">
        <v>7626</v>
      </c>
      <c r="C1093">
        <v>229</v>
      </c>
      <c r="D1093">
        <v>5</v>
      </c>
      <c r="E1093" t="s">
        <v>30</v>
      </c>
      <c r="F1093" t="s">
        <v>31</v>
      </c>
      <c r="G1093" t="s">
        <v>40</v>
      </c>
      <c r="H1093" s="1">
        <v>44160</v>
      </c>
      <c r="I1093" t="s">
        <v>1300</v>
      </c>
      <c r="J1093" t="s">
        <v>98</v>
      </c>
      <c r="K1093" t="s">
        <v>99</v>
      </c>
      <c r="L1093" s="2" t="s">
        <v>80</v>
      </c>
      <c r="M1093" t="str">
        <f>TEXT(Table13[[#This Row],[Order Date]],"MMM")</f>
        <v>Nov</v>
      </c>
      <c r="N1093">
        <f>YEAR(Table13[[#This Row],[Order Date]])</f>
        <v>2020</v>
      </c>
      <c r="O1093" t="str">
        <f>"Q"&amp;ROUNDUP(MONTH(Table13[[#This Row],[Order Date]])/3,0)</f>
        <v>Q4</v>
      </c>
      <c r="P1093" s="5">
        <f>Table13[[#This Row],[Profit]]/Table13[[#This Row],[Amount]]</f>
        <v>3.002884867558353E-2</v>
      </c>
      <c r="Q1093" s="6">
        <f>Table13[[#This Row],[Amount]]/Table13[[#This Row],[Quantity]]</f>
        <v>1525.2</v>
      </c>
    </row>
    <row r="1094" spans="1:17" x14ac:dyDescent="0.3">
      <c r="A1094" t="s">
        <v>1301</v>
      </c>
      <c r="B1094">
        <v>6669</v>
      </c>
      <c r="C1094">
        <v>3063</v>
      </c>
      <c r="D1094">
        <v>19</v>
      </c>
      <c r="E1094" t="s">
        <v>13</v>
      </c>
      <c r="F1094" t="s">
        <v>28</v>
      </c>
      <c r="G1094" t="s">
        <v>15</v>
      </c>
      <c r="H1094" s="1">
        <v>45150</v>
      </c>
      <c r="I1094" t="s">
        <v>1302</v>
      </c>
      <c r="J1094" t="s">
        <v>98</v>
      </c>
      <c r="K1094" t="s">
        <v>107</v>
      </c>
      <c r="L1094" s="2" t="s">
        <v>121</v>
      </c>
      <c r="M1094" t="str">
        <f>TEXT(Table13[[#This Row],[Order Date]],"MMM")</f>
        <v>Aug</v>
      </c>
      <c r="N1094">
        <f>YEAR(Table13[[#This Row],[Order Date]])</f>
        <v>2023</v>
      </c>
      <c r="O1094" t="str">
        <f>"Q"&amp;ROUNDUP(MONTH(Table13[[#This Row],[Order Date]])/3,0)</f>
        <v>Q3</v>
      </c>
      <c r="P1094" s="5">
        <f>Table13[[#This Row],[Profit]]/Table13[[#This Row],[Amount]]</f>
        <v>0.45928924876293298</v>
      </c>
      <c r="Q1094" s="6">
        <f>Table13[[#This Row],[Amount]]/Table13[[#This Row],[Quantity]]</f>
        <v>351</v>
      </c>
    </row>
    <row r="1095" spans="1:17" x14ac:dyDescent="0.3">
      <c r="A1095" t="s">
        <v>1303</v>
      </c>
      <c r="B1095">
        <v>6123</v>
      </c>
      <c r="C1095">
        <v>1686</v>
      </c>
      <c r="D1095">
        <v>3</v>
      </c>
      <c r="E1095" t="s">
        <v>30</v>
      </c>
      <c r="F1095" t="s">
        <v>57</v>
      </c>
      <c r="G1095" t="s">
        <v>47</v>
      </c>
      <c r="H1095" s="1">
        <v>44687</v>
      </c>
      <c r="I1095" t="s">
        <v>1304</v>
      </c>
      <c r="J1095" t="s">
        <v>98</v>
      </c>
      <c r="K1095" t="s">
        <v>107</v>
      </c>
      <c r="L1095" s="2" t="s">
        <v>180</v>
      </c>
      <c r="M1095" t="str">
        <f>TEXT(Table13[[#This Row],[Order Date]],"MMM")</f>
        <v>May</v>
      </c>
      <c r="N1095">
        <f>YEAR(Table13[[#This Row],[Order Date]])</f>
        <v>2022</v>
      </c>
      <c r="O1095" t="str">
        <f>"Q"&amp;ROUNDUP(MONTH(Table13[[#This Row],[Order Date]])/3,0)</f>
        <v>Q2</v>
      </c>
      <c r="P1095" s="5">
        <f>Table13[[#This Row],[Profit]]/Table13[[#This Row],[Amount]]</f>
        <v>0.27535521803037727</v>
      </c>
      <c r="Q1095" s="6">
        <f>Table13[[#This Row],[Amount]]/Table13[[#This Row],[Quantity]]</f>
        <v>2041</v>
      </c>
    </row>
    <row r="1096" spans="1:17" x14ac:dyDescent="0.3">
      <c r="A1096" t="s">
        <v>1305</v>
      </c>
      <c r="B1096">
        <v>3265</v>
      </c>
      <c r="C1096">
        <v>1390</v>
      </c>
      <c r="D1096">
        <v>16</v>
      </c>
      <c r="E1096" t="s">
        <v>30</v>
      </c>
      <c r="F1096" t="s">
        <v>64</v>
      </c>
      <c r="G1096" t="s">
        <v>47</v>
      </c>
      <c r="H1096" s="1">
        <v>45308</v>
      </c>
      <c r="I1096" t="s">
        <v>1306</v>
      </c>
      <c r="J1096" t="s">
        <v>42</v>
      </c>
      <c r="K1096" t="s">
        <v>43</v>
      </c>
      <c r="L1096" s="2" t="s">
        <v>76</v>
      </c>
      <c r="M1096" t="str">
        <f>TEXT(Table13[[#This Row],[Order Date]],"MMM")</f>
        <v>Jan</v>
      </c>
      <c r="N1096">
        <f>YEAR(Table13[[#This Row],[Order Date]])</f>
        <v>2024</v>
      </c>
      <c r="O1096" t="str">
        <f>"Q"&amp;ROUNDUP(MONTH(Table13[[#This Row],[Order Date]])/3,0)</f>
        <v>Q1</v>
      </c>
      <c r="P1096" s="5">
        <f>Table13[[#This Row],[Profit]]/Table13[[#This Row],[Amount]]</f>
        <v>0.42572741194486985</v>
      </c>
      <c r="Q1096" s="6">
        <f>Table13[[#This Row],[Amount]]/Table13[[#This Row],[Quantity]]</f>
        <v>204.0625</v>
      </c>
    </row>
    <row r="1097" spans="1:17" x14ac:dyDescent="0.3">
      <c r="A1097" t="s">
        <v>1307</v>
      </c>
      <c r="B1097">
        <v>8104</v>
      </c>
      <c r="C1097">
        <v>1039</v>
      </c>
      <c r="D1097">
        <v>6</v>
      </c>
      <c r="E1097" t="s">
        <v>30</v>
      </c>
      <c r="F1097" t="s">
        <v>57</v>
      </c>
      <c r="G1097" t="s">
        <v>65</v>
      </c>
      <c r="H1097" s="1">
        <v>44524</v>
      </c>
      <c r="I1097" t="s">
        <v>1308</v>
      </c>
      <c r="J1097" t="s">
        <v>17</v>
      </c>
      <c r="K1097" t="s">
        <v>34</v>
      </c>
      <c r="L1097" s="2" t="s">
        <v>175</v>
      </c>
      <c r="M1097" t="str">
        <f>TEXT(Table13[[#This Row],[Order Date]],"MMM")</f>
        <v>Nov</v>
      </c>
      <c r="N1097">
        <f>YEAR(Table13[[#This Row],[Order Date]])</f>
        <v>2021</v>
      </c>
      <c r="O1097" t="str">
        <f>"Q"&amp;ROUNDUP(MONTH(Table13[[#This Row],[Order Date]])/3,0)</f>
        <v>Q4</v>
      </c>
      <c r="P1097" s="5">
        <f>Table13[[#This Row],[Profit]]/Table13[[#This Row],[Amount]]</f>
        <v>0.12820829220138202</v>
      </c>
      <c r="Q1097" s="6">
        <f>Table13[[#This Row],[Amount]]/Table13[[#This Row],[Quantity]]</f>
        <v>1350.6666666666667</v>
      </c>
    </row>
    <row r="1098" spans="1:17" x14ac:dyDescent="0.3">
      <c r="A1098" t="s">
        <v>1307</v>
      </c>
      <c r="B1098">
        <v>8104</v>
      </c>
      <c r="C1098">
        <v>1039</v>
      </c>
      <c r="D1098">
        <v>6</v>
      </c>
      <c r="E1098" t="s">
        <v>30</v>
      </c>
      <c r="F1098" t="s">
        <v>57</v>
      </c>
      <c r="G1098" t="s">
        <v>65</v>
      </c>
      <c r="H1098" s="1">
        <v>44475</v>
      </c>
      <c r="I1098" t="s">
        <v>1309</v>
      </c>
      <c r="J1098" t="s">
        <v>17</v>
      </c>
      <c r="K1098" t="s">
        <v>18</v>
      </c>
      <c r="L1098" s="2" t="s">
        <v>37</v>
      </c>
      <c r="M1098" t="str">
        <f>TEXT(Table13[[#This Row],[Order Date]],"MMM")</f>
        <v>Oct</v>
      </c>
      <c r="N1098">
        <f>YEAR(Table13[[#This Row],[Order Date]])</f>
        <v>2021</v>
      </c>
      <c r="O1098" t="str">
        <f>"Q"&amp;ROUNDUP(MONTH(Table13[[#This Row],[Order Date]])/3,0)</f>
        <v>Q4</v>
      </c>
      <c r="P1098" s="5">
        <f>Table13[[#This Row],[Profit]]/Table13[[#This Row],[Amount]]</f>
        <v>0.12820829220138202</v>
      </c>
      <c r="Q1098" s="6">
        <f>Table13[[#This Row],[Amount]]/Table13[[#This Row],[Quantity]]</f>
        <v>1350.6666666666667</v>
      </c>
    </row>
    <row r="1099" spans="1:17" x14ac:dyDescent="0.3">
      <c r="A1099" t="s">
        <v>1307</v>
      </c>
      <c r="B1099">
        <v>8104</v>
      </c>
      <c r="C1099">
        <v>1039</v>
      </c>
      <c r="D1099">
        <v>6</v>
      </c>
      <c r="E1099" t="s">
        <v>30</v>
      </c>
      <c r="F1099" t="s">
        <v>57</v>
      </c>
      <c r="G1099" t="s">
        <v>65</v>
      </c>
      <c r="H1099" s="1">
        <v>45684</v>
      </c>
      <c r="I1099" t="s">
        <v>1310</v>
      </c>
      <c r="J1099" t="s">
        <v>42</v>
      </c>
      <c r="K1099" t="s">
        <v>92</v>
      </c>
      <c r="L1099" s="2" t="s">
        <v>308</v>
      </c>
      <c r="M1099" t="str">
        <f>TEXT(Table13[[#This Row],[Order Date]],"MMM")</f>
        <v>Jan</v>
      </c>
      <c r="N1099">
        <f>YEAR(Table13[[#This Row],[Order Date]])</f>
        <v>2025</v>
      </c>
      <c r="O1099" t="str">
        <f>"Q"&amp;ROUNDUP(MONTH(Table13[[#This Row],[Order Date]])/3,0)</f>
        <v>Q1</v>
      </c>
      <c r="P1099" s="5">
        <f>Table13[[#This Row],[Profit]]/Table13[[#This Row],[Amount]]</f>
        <v>0.12820829220138202</v>
      </c>
      <c r="Q1099" s="6">
        <f>Table13[[#This Row],[Amount]]/Table13[[#This Row],[Quantity]]</f>
        <v>1350.6666666666667</v>
      </c>
    </row>
    <row r="1100" spans="1:17" x14ac:dyDescent="0.3">
      <c r="A1100" t="s">
        <v>1311</v>
      </c>
      <c r="B1100">
        <v>847</v>
      </c>
      <c r="C1100">
        <v>355</v>
      </c>
      <c r="D1100">
        <v>17</v>
      </c>
      <c r="E1100" t="s">
        <v>45</v>
      </c>
      <c r="F1100" t="s">
        <v>46</v>
      </c>
      <c r="G1100" t="s">
        <v>65</v>
      </c>
      <c r="H1100" s="1">
        <v>44704</v>
      </c>
      <c r="I1100" t="s">
        <v>1312</v>
      </c>
      <c r="J1100" t="s">
        <v>25</v>
      </c>
      <c r="K1100" t="s">
        <v>26</v>
      </c>
      <c r="L1100" s="2" t="s">
        <v>180</v>
      </c>
      <c r="M1100" t="str">
        <f>TEXT(Table13[[#This Row],[Order Date]],"MMM")</f>
        <v>May</v>
      </c>
      <c r="N1100">
        <f>YEAR(Table13[[#This Row],[Order Date]])</f>
        <v>2022</v>
      </c>
      <c r="O1100" t="str">
        <f>"Q"&amp;ROUNDUP(MONTH(Table13[[#This Row],[Order Date]])/3,0)</f>
        <v>Q2</v>
      </c>
      <c r="P1100" s="5">
        <f>Table13[[#This Row],[Profit]]/Table13[[#This Row],[Amount]]</f>
        <v>0.41912632821723733</v>
      </c>
      <c r="Q1100" s="6">
        <f>Table13[[#This Row],[Amount]]/Table13[[#This Row],[Quantity]]</f>
        <v>49.823529411764703</v>
      </c>
    </row>
    <row r="1101" spans="1:17" x14ac:dyDescent="0.3">
      <c r="A1101" t="s">
        <v>1311</v>
      </c>
      <c r="B1101">
        <v>847</v>
      </c>
      <c r="C1101">
        <v>355</v>
      </c>
      <c r="D1101">
        <v>17</v>
      </c>
      <c r="E1101" t="s">
        <v>45</v>
      </c>
      <c r="F1101" t="s">
        <v>46</v>
      </c>
      <c r="G1101" t="s">
        <v>65</v>
      </c>
      <c r="H1101" s="1">
        <v>45258</v>
      </c>
      <c r="I1101" t="s">
        <v>1313</v>
      </c>
      <c r="J1101" t="s">
        <v>71</v>
      </c>
      <c r="K1101" t="s">
        <v>86</v>
      </c>
      <c r="L1101" s="2" t="s">
        <v>52</v>
      </c>
      <c r="M1101" t="str">
        <f>TEXT(Table13[[#This Row],[Order Date]],"MMM")</f>
        <v>Nov</v>
      </c>
      <c r="N1101">
        <f>YEAR(Table13[[#This Row],[Order Date]])</f>
        <v>2023</v>
      </c>
      <c r="O1101" t="str">
        <f>"Q"&amp;ROUNDUP(MONTH(Table13[[#This Row],[Order Date]])/3,0)</f>
        <v>Q4</v>
      </c>
      <c r="P1101" s="5">
        <f>Table13[[#This Row],[Profit]]/Table13[[#This Row],[Amount]]</f>
        <v>0.41912632821723733</v>
      </c>
      <c r="Q1101" s="6">
        <f>Table13[[#This Row],[Amount]]/Table13[[#This Row],[Quantity]]</f>
        <v>49.823529411764703</v>
      </c>
    </row>
    <row r="1102" spans="1:17" x14ac:dyDescent="0.3">
      <c r="A1102" t="s">
        <v>1311</v>
      </c>
      <c r="B1102">
        <v>847</v>
      </c>
      <c r="C1102">
        <v>355</v>
      </c>
      <c r="D1102">
        <v>17</v>
      </c>
      <c r="E1102" t="s">
        <v>45</v>
      </c>
      <c r="F1102" t="s">
        <v>46</v>
      </c>
      <c r="G1102" t="s">
        <v>65</v>
      </c>
      <c r="H1102" s="1">
        <v>44944</v>
      </c>
      <c r="I1102" t="s">
        <v>1314</v>
      </c>
      <c r="J1102" t="s">
        <v>42</v>
      </c>
      <c r="K1102" t="s">
        <v>92</v>
      </c>
      <c r="L1102" s="2" t="s">
        <v>333</v>
      </c>
      <c r="M1102" t="str">
        <f>TEXT(Table13[[#This Row],[Order Date]],"MMM")</f>
        <v>Jan</v>
      </c>
      <c r="N1102">
        <f>YEAR(Table13[[#This Row],[Order Date]])</f>
        <v>2023</v>
      </c>
      <c r="O1102" t="str">
        <f>"Q"&amp;ROUNDUP(MONTH(Table13[[#This Row],[Order Date]])/3,0)</f>
        <v>Q1</v>
      </c>
      <c r="P1102" s="5">
        <f>Table13[[#This Row],[Profit]]/Table13[[#This Row],[Amount]]</f>
        <v>0.41912632821723733</v>
      </c>
      <c r="Q1102" s="6">
        <f>Table13[[#This Row],[Amount]]/Table13[[#This Row],[Quantity]]</f>
        <v>49.823529411764703</v>
      </c>
    </row>
    <row r="1103" spans="1:17" x14ac:dyDescent="0.3">
      <c r="A1103" t="s">
        <v>1315</v>
      </c>
      <c r="B1103">
        <v>3129</v>
      </c>
      <c r="C1103">
        <v>55</v>
      </c>
      <c r="D1103">
        <v>9</v>
      </c>
      <c r="E1103" t="s">
        <v>45</v>
      </c>
      <c r="F1103" t="s">
        <v>109</v>
      </c>
      <c r="G1103" t="s">
        <v>32</v>
      </c>
      <c r="H1103" s="1">
        <v>44445</v>
      </c>
      <c r="I1103" t="s">
        <v>1316</v>
      </c>
      <c r="J1103" t="s">
        <v>21</v>
      </c>
      <c r="K1103" t="s">
        <v>172</v>
      </c>
      <c r="L1103" s="2" t="s">
        <v>224</v>
      </c>
      <c r="M1103" t="str">
        <f>TEXT(Table13[[#This Row],[Order Date]],"MMM")</f>
        <v>Sep</v>
      </c>
      <c r="N1103">
        <f>YEAR(Table13[[#This Row],[Order Date]])</f>
        <v>2021</v>
      </c>
      <c r="O1103" t="str">
        <f>"Q"&amp;ROUNDUP(MONTH(Table13[[#This Row],[Order Date]])/3,0)</f>
        <v>Q3</v>
      </c>
      <c r="P1103" s="5">
        <f>Table13[[#This Row],[Profit]]/Table13[[#This Row],[Amount]]</f>
        <v>1.7577500798977311E-2</v>
      </c>
      <c r="Q1103" s="6">
        <f>Table13[[#This Row],[Amount]]/Table13[[#This Row],[Quantity]]</f>
        <v>347.66666666666669</v>
      </c>
    </row>
    <row r="1104" spans="1:17" x14ac:dyDescent="0.3">
      <c r="A1104" t="s">
        <v>1315</v>
      </c>
      <c r="B1104">
        <v>7821</v>
      </c>
      <c r="C1104">
        <v>3821</v>
      </c>
      <c r="D1104">
        <v>13</v>
      </c>
      <c r="E1104" t="s">
        <v>13</v>
      </c>
      <c r="F1104" t="s">
        <v>39</v>
      </c>
      <c r="G1104" t="s">
        <v>40</v>
      </c>
      <c r="H1104" s="1">
        <v>44445</v>
      </c>
      <c r="I1104" t="s">
        <v>1316</v>
      </c>
      <c r="J1104" t="s">
        <v>21</v>
      </c>
      <c r="K1104" t="s">
        <v>172</v>
      </c>
      <c r="L1104" s="2" t="s">
        <v>224</v>
      </c>
      <c r="M1104" t="str">
        <f>TEXT(Table13[[#This Row],[Order Date]],"MMM")</f>
        <v>Sep</v>
      </c>
      <c r="N1104">
        <f>YEAR(Table13[[#This Row],[Order Date]])</f>
        <v>2021</v>
      </c>
      <c r="O1104" t="str">
        <f>"Q"&amp;ROUNDUP(MONTH(Table13[[#This Row],[Order Date]])/3,0)</f>
        <v>Q3</v>
      </c>
      <c r="P1104" s="5">
        <f>Table13[[#This Row],[Profit]]/Table13[[#This Row],[Amount]]</f>
        <v>0.48855645058176705</v>
      </c>
      <c r="Q1104" s="6">
        <f>Table13[[#This Row],[Amount]]/Table13[[#This Row],[Quantity]]</f>
        <v>601.61538461538464</v>
      </c>
    </row>
    <row r="1105" spans="1:17" x14ac:dyDescent="0.3">
      <c r="A1105" t="s">
        <v>1317</v>
      </c>
      <c r="B1105">
        <v>9498</v>
      </c>
      <c r="C1105">
        <v>256</v>
      </c>
      <c r="D1105">
        <v>12</v>
      </c>
      <c r="E1105" t="s">
        <v>13</v>
      </c>
      <c r="F1105" t="s">
        <v>82</v>
      </c>
      <c r="G1105" t="s">
        <v>65</v>
      </c>
      <c r="H1105" s="1">
        <v>44249</v>
      </c>
      <c r="I1105" t="s">
        <v>1318</v>
      </c>
      <c r="J1105" t="s">
        <v>21</v>
      </c>
      <c r="K1105" t="s">
        <v>172</v>
      </c>
      <c r="L1105" s="2" t="s">
        <v>292</v>
      </c>
      <c r="M1105" t="str">
        <f>TEXT(Table13[[#This Row],[Order Date]],"MMM")</f>
        <v>Feb</v>
      </c>
      <c r="N1105">
        <f>YEAR(Table13[[#This Row],[Order Date]])</f>
        <v>2021</v>
      </c>
      <c r="O1105" t="str">
        <f>"Q"&amp;ROUNDUP(MONTH(Table13[[#This Row],[Order Date]])/3,0)</f>
        <v>Q1</v>
      </c>
      <c r="P1105" s="5">
        <f>Table13[[#This Row],[Profit]]/Table13[[#This Row],[Amount]]</f>
        <v>2.6953042745841229E-2</v>
      </c>
      <c r="Q1105" s="6">
        <f>Table13[[#This Row],[Amount]]/Table13[[#This Row],[Quantity]]</f>
        <v>791.5</v>
      </c>
    </row>
    <row r="1106" spans="1:17" x14ac:dyDescent="0.3">
      <c r="A1106" t="s">
        <v>1317</v>
      </c>
      <c r="B1106">
        <v>9498</v>
      </c>
      <c r="C1106">
        <v>256</v>
      </c>
      <c r="D1106">
        <v>12</v>
      </c>
      <c r="E1106" t="s">
        <v>13</v>
      </c>
      <c r="F1106" t="s">
        <v>82</v>
      </c>
      <c r="G1106" t="s">
        <v>65</v>
      </c>
      <c r="H1106" s="1">
        <v>44475</v>
      </c>
      <c r="I1106" t="s">
        <v>1319</v>
      </c>
      <c r="J1106" t="s">
        <v>25</v>
      </c>
      <c r="K1106" t="s">
        <v>51</v>
      </c>
      <c r="L1106" s="2" t="s">
        <v>37</v>
      </c>
      <c r="M1106" t="str">
        <f>TEXT(Table13[[#This Row],[Order Date]],"MMM")</f>
        <v>Oct</v>
      </c>
      <c r="N1106">
        <f>YEAR(Table13[[#This Row],[Order Date]])</f>
        <v>2021</v>
      </c>
      <c r="O1106" t="str">
        <f>"Q"&amp;ROUNDUP(MONTH(Table13[[#This Row],[Order Date]])/3,0)</f>
        <v>Q4</v>
      </c>
      <c r="P1106" s="5">
        <f>Table13[[#This Row],[Profit]]/Table13[[#This Row],[Amount]]</f>
        <v>2.6953042745841229E-2</v>
      </c>
      <c r="Q1106" s="6">
        <f>Table13[[#This Row],[Amount]]/Table13[[#This Row],[Quantity]]</f>
        <v>791.5</v>
      </c>
    </row>
    <row r="1107" spans="1:17" x14ac:dyDescent="0.3">
      <c r="A1107" t="s">
        <v>1320</v>
      </c>
      <c r="B1107">
        <v>5461</v>
      </c>
      <c r="C1107">
        <v>1214</v>
      </c>
      <c r="D1107">
        <v>7</v>
      </c>
      <c r="E1107" t="s">
        <v>45</v>
      </c>
      <c r="F1107" t="s">
        <v>60</v>
      </c>
      <c r="G1107" t="s">
        <v>47</v>
      </c>
      <c r="H1107" s="1">
        <v>43989</v>
      </c>
      <c r="I1107" t="s">
        <v>1321</v>
      </c>
      <c r="J1107" t="s">
        <v>25</v>
      </c>
      <c r="K1107" t="s">
        <v>68</v>
      </c>
      <c r="L1107" s="2" t="s">
        <v>313</v>
      </c>
      <c r="M1107" t="str">
        <f>TEXT(Table13[[#This Row],[Order Date]],"MMM")</f>
        <v>Jun</v>
      </c>
      <c r="N1107">
        <f>YEAR(Table13[[#This Row],[Order Date]])</f>
        <v>2020</v>
      </c>
      <c r="O1107" t="str">
        <f>"Q"&amp;ROUNDUP(MONTH(Table13[[#This Row],[Order Date]])/3,0)</f>
        <v>Q2</v>
      </c>
      <c r="P1107" s="5">
        <f>Table13[[#This Row],[Profit]]/Table13[[#This Row],[Amount]]</f>
        <v>0.22230360739791247</v>
      </c>
      <c r="Q1107" s="6">
        <f>Table13[[#This Row],[Amount]]/Table13[[#This Row],[Quantity]]</f>
        <v>780.14285714285711</v>
      </c>
    </row>
    <row r="1108" spans="1:17" x14ac:dyDescent="0.3">
      <c r="A1108" t="s">
        <v>1322</v>
      </c>
      <c r="B1108">
        <v>3084</v>
      </c>
      <c r="C1108">
        <v>611</v>
      </c>
      <c r="D1108">
        <v>19</v>
      </c>
      <c r="E1108" t="s">
        <v>45</v>
      </c>
      <c r="F1108" t="s">
        <v>109</v>
      </c>
      <c r="G1108" t="s">
        <v>15</v>
      </c>
      <c r="H1108" s="1">
        <v>45433</v>
      </c>
      <c r="I1108" t="s">
        <v>1323</v>
      </c>
      <c r="J1108" t="s">
        <v>71</v>
      </c>
      <c r="K1108" t="s">
        <v>72</v>
      </c>
      <c r="L1108" s="2" t="s">
        <v>35</v>
      </c>
      <c r="M1108" t="str">
        <f>TEXT(Table13[[#This Row],[Order Date]],"MMM")</f>
        <v>May</v>
      </c>
      <c r="N1108">
        <f>YEAR(Table13[[#This Row],[Order Date]])</f>
        <v>2024</v>
      </c>
      <c r="O1108" t="str">
        <f>"Q"&amp;ROUNDUP(MONTH(Table13[[#This Row],[Order Date]])/3,0)</f>
        <v>Q2</v>
      </c>
      <c r="P1108" s="5">
        <f>Table13[[#This Row],[Profit]]/Table13[[#This Row],[Amount]]</f>
        <v>0.19811932555123216</v>
      </c>
      <c r="Q1108" s="6">
        <f>Table13[[#This Row],[Amount]]/Table13[[#This Row],[Quantity]]</f>
        <v>162.31578947368422</v>
      </c>
    </row>
    <row r="1109" spans="1:17" x14ac:dyDescent="0.3">
      <c r="A1109" t="s">
        <v>1324</v>
      </c>
      <c r="B1109">
        <v>6087</v>
      </c>
      <c r="C1109">
        <v>3043</v>
      </c>
      <c r="D1109">
        <v>1</v>
      </c>
      <c r="E1109" t="s">
        <v>45</v>
      </c>
      <c r="F1109" t="s">
        <v>60</v>
      </c>
      <c r="G1109" t="s">
        <v>65</v>
      </c>
      <c r="H1109" s="1">
        <v>44048</v>
      </c>
      <c r="I1109" t="s">
        <v>1325</v>
      </c>
      <c r="J1109" t="s">
        <v>25</v>
      </c>
      <c r="K1109" t="s">
        <v>26</v>
      </c>
      <c r="L1109" s="2" t="s">
        <v>185</v>
      </c>
      <c r="M1109" t="str">
        <f>TEXT(Table13[[#This Row],[Order Date]],"MMM")</f>
        <v>Aug</v>
      </c>
      <c r="N1109">
        <f>YEAR(Table13[[#This Row],[Order Date]])</f>
        <v>2020</v>
      </c>
      <c r="O1109" t="str">
        <f>"Q"&amp;ROUNDUP(MONTH(Table13[[#This Row],[Order Date]])/3,0)</f>
        <v>Q3</v>
      </c>
      <c r="P1109" s="5">
        <f>Table13[[#This Row],[Profit]]/Table13[[#This Row],[Amount]]</f>
        <v>0.49991785772958763</v>
      </c>
      <c r="Q1109" s="6">
        <f>Table13[[#This Row],[Amount]]/Table13[[#This Row],[Quantity]]</f>
        <v>6087</v>
      </c>
    </row>
    <row r="1110" spans="1:17" x14ac:dyDescent="0.3">
      <c r="A1110" t="s">
        <v>1326</v>
      </c>
      <c r="B1110">
        <v>611</v>
      </c>
      <c r="C1110">
        <v>300</v>
      </c>
      <c r="D1110">
        <v>3</v>
      </c>
      <c r="E1110" t="s">
        <v>45</v>
      </c>
      <c r="F1110" t="s">
        <v>109</v>
      </c>
      <c r="G1110" t="s">
        <v>47</v>
      </c>
      <c r="H1110" s="1">
        <v>44119</v>
      </c>
      <c r="I1110" t="s">
        <v>1327</v>
      </c>
      <c r="J1110" t="s">
        <v>21</v>
      </c>
      <c r="K1110" t="s">
        <v>172</v>
      </c>
      <c r="L1110" s="2" t="s">
        <v>119</v>
      </c>
      <c r="M1110" t="str">
        <f>TEXT(Table13[[#This Row],[Order Date]],"MMM")</f>
        <v>Oct</v>
      </c>
      <c r="N1110">
        <f>YEAR(Table13[[#This Row],[Order Date]])</f>
        <v>2020</v>
      </c>
      <c r="O1110" t="str">
        <f>"Q"&amp;ROUNDUP(MONTH(Table13[[#This Row],[Order Date]])/3,0)</f>
        <v>Q4</v>
      </c>
      <c r="P1110" s="5">
        <f>Table13[[#This Row],[Profit]]/Table13[[#This Row],[Amount]]</f>
        <v>0.49099836333878888</v>
      </c>
      <c r="Q1110" s="6">
        <f>Table13[[#This Row],[Amount]]/Table13[[#This Row],[Quantity]]</f>
        <v>203.66666666666666</v>
      </c>
    </row>
    <row r="1111" spans="1:17" x14ac:dyDescent="0.3">
      <c r="A1111" t="s">
        <v>1328</v>
      </c>
      <c r="B1111">
        <v>9909</v>
      </c>
      <c r="C1111">
        <v>2999</v>
      </c>
      <c r="D1111">
        <v>18</v>
      </c>
      <c r="E1111" t="s">
        <v>30</v>
      </c>
      <c r="F1111" t="s">
        <v>57</v>
      </c>
      <c r="G1111" t="s">
        <v>65</v>
      </c>
      <c r="H1111" s="1">
        <v>44331</v>
      </c>
      <c r="I1111" t="s">
        <v>1329</v>
      </c>
      <c r="J1111" t="s">
        <v>98</v>
      </c>
      <c r="K1111" t="s">
        <v>117</v>
      </c>
      <c r="L1111" s="2" t="s">
        <v>108</v>
      </c>
      <c r="M1111" t="str">
        <f>TEXT(Table13[[#This Row],[Order Date]],"MMM")</f>
        <v>May</v>
      </c>
      <c r="N1111">
        <f>YEAR(Table13[[#This Row],[Order Date]])</f>
        <v>2021</v>
      </c>
      <c r="O1111" t="str">
        <f>"Q"&amp;ROUNDUP(MONTH(Table13[[#This Row],[Order Date]])/3,0)</f>
        <v>Q2</v>
      </c>
      <c r="P1111" s="5">
        <f>Table13[[#This Row],[Profit]]/Table13[[#This Row],[Amount]]</f>
        <v>0.30265415279039259</v>
      </c>
      <c r="Q1111" s="6">
        <f>Table13[[#This Row],[Amount]]/Table13[[#This Row],[Quantity]]</f>
        <v>550.5</v>
      </c>
    </row>
    <row r="1112" spans="1:17" x14ac:dyDescent="0.3">
      <c r="A1112" t="s">
        <v>1328</v>
      </c>
      <c r="B1112">
        <v>9909</v>
      </c>
      <c r="C1112">
        <v>2999</v>
      </c>
      <c r="D1112">
        <v>18</v>
      </c>
      <c r="E1112" t="s">
        <v>30</v>
      </c>
      <c r="F1112" t="s">
        <v>57</v>
      </c>
      <c r="G1112" t="s">
        <v>65</v>
      </c>
      <c r="H1112" s="1">
        <v>44574</v>
      </c>
      <c r="I1112" t="s">
        <v>1330</v>
      </c>
      <c r="J1112" t="s">
        <v>71</v>
      </c>
      <c r="K1112" t="s">
        <v>86</v>
      </c>
      <c r="L1112" s="2" t="s">
        <v>87</v>
      </c>
      <c r="M1112" t="str">
        <f>TEXT(Table13[[#This Row],[Order Date]],"MMM")</f>
        <v>Jan</v>
      </c>
      <c r="N1112">
        <f>YEAR(Table13[[#This Row],[Order Date]])</f>
        <v>2022</v>
      </c>
      <c r="O1112" t="str">
        <f>"Q"&amp;ROUNDUP(MONTH(Table13[[#This Row],[Order Date]])/3,0)</f>
        <v>Q1</v>
      </c>
      <c r="P1112" s="5">
        <f>Table13[[#This Row],[Profit]]/Table13[[#This Row],[Amount]]</f>
        <v>0.30265415279039259</v>
      </c>
      <c r="Q1112" s="6">
        <f>Table13[[#This Row],[Amount]]/Table13[[#This Row],[Quantity]]</f>
        <v>550.5</v>
      </c>
    </row>
    <row r="1113" spans="1:17" x14ac:dyDescent="0.3">
      <c r="A1113" t="s">
        <v>1331</v>
      </c>
      <c r="B1113">
        <v>6485</v>
      </c>
      <c r="C1113">
        <v>3178</v>
      </c>
      <c r="D1113">
        <v>18</v>
      </c>
      <c r="E1113" t="s">
        <v>45</v>
      </c>
      <c r="F1113" t="s">
        <v>60</v>
      </c>
      <c r="G1113" t="s">
        <v>15</v>
      </c>
      <c r="H1113" s="1">
        <v>45125</v>
      </c>
      <c r="I1113" t="s">
        <v>1332</v>
      </c>
      <c r="J1113" t="s">
        <v>98</v>
      </c>
      <c r="K1113" t="s">
        <v>99</v>
      </c>
      <c r="L1113" s="2" t="s">
        <v>105</v>
      </c>
      <c r="M1113" t="str">
        <f>TEXT(Table13[[#This Row],[Order Date]],"MMM")</f>
        <v>Jul</v>
      </c>
      <c r="N1113">
        <f>YEAR(Table13[[#This Row],[Order Date]])</f>
        <v>2023</v>
      </c>
      <c r="O1113" t="str">
        <f>"Q"&amp;ROUNDUP(MONTH(Table13[[#This Row],[Order Date]])/3,0)</f>
        <v>Q3</v>
      </c>
      <c r="P1113" s="5">
        <f>Table13[[#This Row],[Profit]]/Table13[[#This Row],[Amount]]</f>
        <v>0.4900539707016191</v>
      </c>
      <c r="Q1113" s="6">
        <f>Table13[[#This Row],[Amount]]/Table13[[#This Row],[Quantity]]</f>
        <v>360.27777777777777</v>
      </c>
    </row>
    <row r="1114" spans="1:17" x14ac:dyDescent="0.3">
      <c r="A1114" t="s">
        <v>1333</v>
      </c>
      <c r="B1114">
        <v>7259</v>
      </c>
      <c r="C1114">
        <v>1969</v>
      </c>
      <c r="D1114">
        <v>10</v>
      </c>
      <c r="E1114" t="s">
        <v>13</v>
      </c>
      <c r="F1114" t="s">
        <v>39</v>
      </c>
      <c r="G1114" t="s">
        <v>47</v>
      </c>
      <c r="H1114" s="1">
        <v>44903</v>
      </c>
      <c r="I1114" t="s">
        <v>1334</v>
      </c>
      <c r="J1114" t="s">
        <v>21</v>
      </c>
      <c r="K1114" t="s">
        <v>63</v>
      </c>
      <c r="L1114" s="2" t="s">
        <v>152</v>
      </c>
      <c r="M1114" t="str">
        <f>TEXT(Table13[[#This Row],[Order Date]],"MMM")</f>
        <v>Dec</v>
      </c>
      <c r="N1114">
        <f>YEAR(Table13[[#This Row],[Order Date]])</f>
        <v>2022</v>
      </c>
      <c r="O1114" t="str">
        <f>"Q"&amp;ROUNDUP(MONTH(Table13[[#This Row],[Order Date]])/3,0)</f>
        <v>Q4</v>
      </c>
      <c r="P1114" s="5">
        <f>Table13[[#This Row],[Profit]]/Table13[[#This Row],[Amount]]</f>
        <v>0.27124948339991733</v>
      </c>
      <c r="Q1114" s="6">
        <f>Table13[[#This Row],[Amount]]/Table13[[#This Row],[Quantity]]</f>
        <v>725.9</v>
      </c>
    </row>
    <row r="1115" spans="1:17" x14ac:dyDescent="0.3">
      <c r="A1115" t="s">
        <v>1335</v>
      </c>
      <c r="B1115">
        <v>3333</v>
      </c>
      <c r="C1115">
        <v>700</v>
      </c>
      <c r="D1115">
        <v>18</v>
      </c>
      <c r="E1115" t="s">
        <v>13</v>
      </c>
      <c r="F1115" t="s">
        <v>28</v>
      </c>
      <c r="G1115" t="s">
        <v>65</v>
      </c>
      <c r="H1115" s="1">
        <v>45033</v>
      </c>
      <c r="I1115" t="s">
        <v>1336</v>
      </c>
      <c r="J1115" t="s">
        <v>17</v>
      </c>
      <c r="K1115" t="s">
        <v>18</v>
      </c>
      <c r="L1115" s="2" t="s">
        <v>145</v>
      </c>
      <c r="M1115" t="str">
        <f>TEXT(Table13[[#This Row],[Order Date]],"MMM")</f>
        <v>Apr</v>
      </c>
      <c r="N1115">
        <f>YEAR(Table13[[#This Row],[Order Date]])</f>
        <v>2023</v>
      </c>
      <c r="O1115" t="str">
        <f>"Q"&amp;ROUNDUP(MONTH(Table13[[#This Row],[Order Date]])/3,0)</f>
        <v>Q2</v>
      </c>
      <c r="P1115" s="5">
        <f>Table13[[#This Row],[Profit]]/Table13[[#This Row],[Amount]]</f>
        <v>0.21002100210021002</v>
      </c>
      <c r="Q1115" s="6">
        <f>Table13[[#This Row],[Amount]]/Table13[[#This Row],[Quantity]]</f>
        <v>185.16666666666666</v>
      </c>
    </row>
    <row r="1116" spans="1:17" x14ac:dyDescent="0.3">
      <c r="A1116" t="s">
        <v>1337</v>
      </c>
      <c r="B1116">
        <v>7786</v>
      </c>
      <c r="C1116">
        <v>1202</v>
      </c>
      <c r="D1116">
        <v>4</v>
      </c>
      <c r="E1116" t="s">
        <v>45</v>
      </c>
      <c r="F1116" t="s">
        <v>60</v>
      </c>
      <c r="G1116" t="s">
        <v>40</v>
      </c>
      <c r="H1116" s="1">
        <v>44005</v>
      </c>
      <c r="I1116" t="s">
        <v>1338</v>
      </c>
      <c r="J1116" t="s">
        <v>21</v>
      </c>
      <c r="K1116" t="s">
        <v>172</v>
      </c>
      <c r="L1116" s="2" t="s">
        <v>313</v>
      </c>
      <c r="M1116" t="str">
        <f>TEXT(Table13[[#This Row],[Order Date]],"MMM")</f>
        <v>Jun</v>
      </c>
      <c r="N1116">
        <f>YEAR(Table13[[#This Row],[Order Date]])</f>
        <v>2020</v>
      </c>
      <c r="O1116" t="str">
        <f>"Q"&amp;ROUNDUP(MONTH(Table13[[#This Row],[Order Date]])/3,0)</f>
        <v>Q2</v>
      </c>
      <c r="P1116" s="5">
        <f>Table13[[#This Row],[Profit]]/Table13[[#This Row],[Amount]]</f>
        <v>0.15437965579244797</v>
      </c>
      <c r="Q1116" s="6">
        <f>Table13[[#This Row],[Amount]]/Table13[[#This Row],[Quantity]]</f>
        <v>1946.5</v>
      </c>
    </row>
    <row r="1117" spans="1:17" x14ac:dyDescent="0.3">
      <c r="A1117" t="s">
        <v>1339</v>
      </c>
      <c r="B1117">
        <v>7644</v>
      </c>
      <c r="C1117">
        <v>2428</v>
      </c>
      <c r="D1117">
        <v>6</v>
      </c>
      <c r="E1117" t="s">
        <v>13</v>
      </c>
      <c r="F1117" t="s">
        <v>82</v>
      </c>
      <c r="G1117" t="s">
        <v>32</v>
      </c>
      <c r="H1117" s="1">
        <v>44581</v>
      </c>
      <c r="I1117" t="s">
        <v>1340</v>
      </c>
      <c r="J1117" t="s">
        <v>21</v>
      </c>
      <c r="K1117" t="s">
        <v>63</v>
      </c>
      <c r="L1117" s="2" t="s">
        <v>87</v>
      </c>
      <c r="M1117" t="str">
        <f>TEXT(Table13[[#This Row],[Order Date]],"MMM")</f>
        <v>Jan</v>
      </c>
      <c r="N1117">
        <f>YEAR(Table13[[#This Row],[Order Date]])</f>
        <v>2022</v>
      </c>
      <c r="O1117" t="str">
        <f>"Q"&amp;ROUNDUP(MONTH(Table13[[#This Row],[Order Date]])/3,0)</f>
        <v>Q1</v>
      </c>
      <c r="P1117" s="5">
        <f>Table13[[#This Row],[Profit]]/Table13[[#This Row],[Amount]]</f>
        <v>0.31763474620617477</v>
      </c>
      <c r="Q1117" s="6">
        <f>Table13[[#This Row],[Amount]]/Table13[[#This Row],[Quantity]]</f>
        <v>1274</v>
      </c>
    </row>
    <row r="1118" spans="1:17" x14ac:dyDescent="0.3">
      <c r="A1118" t="s">
        <v>1341</v>
      </c>
      <c r="B1118">
        <v>1476</v>
      </c>
      <c r="C1118">
        <v>247</v>
      </c>
      <c r="D1118">
        <v>5</v>
      </c>
      <c r="E1118" t="s">
        <v>45</v>
      </c>
      <c r="F1118" t="s">
        <v>109</v>
      </c>
      <c r="G1118" t="s">
        <v>65</v>
      </c>
      <c r="H1118" s="1">
        <v>45248</v>
      </c>
      <c r="I1118" t="s">
        <v>1342</v>
      </c>
      <c r="J1118" t="s">
        <v>42</v>
      </c>
      <c r="K1118" t="s">
        <v>43</v>
      </c>
      <c r="L1118" s="2" t="s">
        <v>52</v>
      </c>
      <c r="M1118" t="str">
        <f>TEXT(Table13[[#This Row],[Order Date]],"MMM")</f>
        <v>Nov</v>
      </c>
      <c r="N1118">
        <f>YEAR(Table13[[#This Row],[Order Date]])</f>
        <v>2023</v>
      </c>
      <c r="O1118" t="str">
        <f>"Q"&amp;ROUNDUP(MONTH(Table13[[#This Row],[Order Date]])/3,0)</f>
        <v>Q4</v>
      </c>
      <c r="P1118" s="5">
        <f>Table13[[#This Row],[Profit]]/Table13[[#This Row],[Amount]]</f>
        <v>0.16734417344173441</v>
      </c>
      <c r="Q1118" s="6">
        <f>Table13[[#This Row],[Amount]]/Table13[[#This Row],[Quantity]]</f>
        <v>295.2</v>
      </c>
    </row>
    <row r="1119" spans="1:17" x14ac:dyDescent="0.3">
      <c r="A1119" t="s">
        <v>1341</v>
      </c>
      <c r="B1119">
        <v>1476</v>
      </c>
      <c r="C1119">
        <v>247</v>
      </c>
      <c r="D1119">
        <v>5</v>
      </c>
      <c r="E1119" t="s">
        <v>45</v>
      </c>
      <c r="F1119" t="s">
        <v>109</v>
      </c>
      <c r="G1119" t="s">
        <v>65</v>
      </c>
      <c r="H1119" s="1">
        <v>44580</v>
      </c>
      <c r="I1119" t="s">
        <v>1343</v>
      </c>
      <c r="J1119" t="s">
        <v>42</v>
      </c>
      <c r="K1119" t="s">
        <v>75</v>
      </c>
      <c r="L1119" s="2" t="s">
        <v>87</v>
      </c>
      <c r="M1119" t="str">
        <f>TEXT(Table13[[#This Row],[Order Date]],"MMM")</f>
        <v>Jan</v>
      </c>
      <c r="N1119">
        <f>YEAR(Table13[[#This Row],[Order Date]])</f>
        <v>2022</v>
      </c>
      <c r="O1119" t="str">
        <f>"Q"&amp;ROUNDUP(MONTH(Table13[[#This Row],[Order Date]])/3,0)</f>
        <v>Q1</v>
      </c>
      <c r="P1119" s="5">
        <f>Table13[[#This Row],[Profit]]/Table13[[#This Row],[Amount]]</f>
        <v>0.16734417344173441</v>
      </c>
      <c r="Q1119" s="6">
        <f>Table13[[#This Row],[Amount]]/Table13[[#This Row],[Quantity]]</f>
        <v>295.2</v>
      </c>
    </row>
    <row r="1120" spans="1:17" x14ac:dyDescent="0.3">
      <c r="A1120" t="s">
        <v>1344</v>
      </c>
      <c r="B1120">
        <v>3445</v>
      </c>
      <c r="C1120">
        <v>1405</v>
      </c>
      <c r="D1120">
        <v>16</v>
      </c>
      <c r="E1120" t="s">
        <v>45</v>
      </c>
      <c r="F1120" t="s">
        <v>60</v>
      </c>
      <c r="G1120" t="s">
        <v>40</v>
      </c>
      <c r="H1120" s="1">
        <v>44095</v>
      </c>
      <c r="I1120" t="s">
        <v>1345</v>
      </c>
      <c r="J1120" t="s">
        <v>42</v>
      </c>
      <c r="K1120" t="s">
        <v>92</v>
      </c>
      <c r="L1120" s="2" t="s">
        <v>389</v>
      </c>
      <c r="M1120" t="str">
        <f>TEXT(Table13[[#This Row],[Order Date]],"MMM")</f>
        <v>Sep</v>
      </c>
      <c r="N1120">
        <f>YEAR(Table13[[#This Row],[Order Date]])</f>
        <v>2020</v>
      </c>
      <c r="O1120" t="str">
        <f>"Q"&amp;ROUNDUP(MONTH(Table13[[#This Row],[Order Date]])/3,0)</f>
        <v>Q3</v>
      </c>
      <c r="P1120" s="5">
        <f>Table13[[#This Row],[Profit]]/Table13[[#This Row],[Amount]]</f>
        <v>0.40783744557329465</v>
      </c>
      <c r="Q1120" s="6">
        <f>Table13[[#This Row],[Amount]]/Table13[[#This Row],[Quantity]]</f>
        <v>215.3125</v>
      </c>
    </row>
    <row r="1121" spans="1:17" x14ac:dyDescent="0.3">
      <c r="A1121" t="s">
        <v>1344</v>
      </c>
      <c r="B1121">
        <v>9837</v>
      </c>
      <c r="C1121">
        <v>384</v>
      </c>
      <c r="D1121">
        <v>1</v>
      </c>
      <c r="E1121" t="s">
        <v>13</v>
      </c>
      <c r="F1121" t="s">
        <v>39</v>
      </c>
      <c r="G1121" t="s">
        <v>15</v>
      </c>
      <c r="H1121" s="1">
        <v>44095</v>
      </c>
      <c r="I1121" t="s">
        <v>1345</v>
      </c>
      <c r="J1121" t="s">
        <v>42</v>
      </c>
      <c r="K1121" t="s">
        <v>92</v>
      </c>
      <c r="L1121" s="2" t="s">
        <v>389</v>
      </c>
      <c r="M1121" t="str">
        <f>TEXT(Table13[[#This Row],[Order Date]],"MMM")</f>
        <v>Sep</v>
      </c>
      <c r="N1121">
        <f>YEAR(Table13[[#This Row],[Order Date]])</f>
        <v>2020</v>
      </c>
      <c r="O1121" t="str">
        <f>"Q"&amp;ROUNDUP(MONTH(Table13[[#This Row],[Order Date]])/3,0)</f>
        <v>Q3</v>
      </c>
      <c r="P1121" s="5">
        <f>Table13[[#This Row],[Profit]]/Table13[[#This Row],[Amount]]</f>
        <v>3.9036291552302531E-2</v>
      </c>
      <c r="Q1121" s="6">
        <f>Table13[[#This Row],[Amount]]/Table13[[#This Row],[Quantity]]</f>
        <v>9837</v>
      </c>
    </row>
    <row r="1122" spans="1:17" x14ac:dyDescent="0.3">
      <c r="A1122" t="s">
        <v>1346</v>
      </c>
      <c r="B1122">
        <v>1314</v>
      </c>
      <c r="C1122">
        <v>457</v>
      </c>
      <c r="D1122">
        <v>8</v>
      </c>
      <c r="E1122" t="s">
        <v>45</v>
      </c>
      <c r="F1122" t="s">
        <v>60</v>
      </c>
      <c r="G1122" t="s">
        <v>40</v>
      </c>
      <c r="H1122" s="1">
        <v>44358</v>
      </c>
      <c r="I1122" t="s">
        <v>1347</v>
      </c>
      <c r="J1122" t="s">
        <v>42</v>
      </c>
      <c r="K1122" t="s">
        <v>75</v>
      </c>
      <c r="L1122" s="2" t="s">
        <v>125</v>
      </c>
      <c r="M1122" t="str">
        <f>TEXT(Table13[[#This Row],[Order Date]],"MMM")</f>
        <v>Jun</v>
      </c>
      <c r="N1122">
        <f>YEAR(Table13[[#This Row],[Order Date]])</f>
        <v>2021</v>
      </c>
      <c r="O1122" t="str">
        <f>"Q"&amp;ROUNDUP(MONTH(Table13[[#This Row],[Order Date]])/3,0)</f>
        <v>Q2</v>
      </c>
      <c r="P1122" s="5">
        <f>Table13[[#This Row],[Profit]]/Table13[[#This Row],[Amount]]</f>
        <v>0.34779299847792999</v>
      </c>
      <c r="Q1122" s="6">
        <f>Table13[[#This Row],[Amount]]/Table13[[#This Row],[Quantity]]</f>
        <v>164.25</v>
      </c>
    </row>
    <row r="1123" spans="1:17" x14ac:dyDescent="0.3">
      <c r="A1123" t="s">
        <v>1348</v>
      </c>
      <c r="B1123">
        <v>5951</v>
      </c>
      <c r="C1123">
        <v>936</v>
      </c>
      <c r="D1123">
        <v>6</v>
      </c>
      <c r="E1123" t="s">
        <v>13</v>
      </c>
      <c r="F1123" t="s">
        <v>39</v>
      </c>
      <c r="G1123" t="s">
        <v>32</v>
      </c>
      <c r="H1123" s="1">
        <v>45511</v>
      </c>
      <c r="I1123" t="s">
        <v>1349</v>
      </c>
      <c r="J1123" t="s">
        <v>71</v>
      </c>
      <c r="K1123" t="s">
        <v>72</v>
      </c>
      <c r="L1123" s="2" t="s">
        <v>114</v>
      </c>
      <c r="M1123" t="str">
        <f>TEXT(Table13[[#This Row],[Order Date]],"MMM")</f>
        <v>Aug</v>
      </c>
      <c r="N1123">
        <f>YEAR(Table13[[#This Row],[Order Date]])</f>
        <v>2024</v>
      </c>
      <c r="O1123" t="str">
        <f>"Q"&amp;ROUNDUP(MONTH(Table13[[#This Row],[Order Date]])/3,0)</f>
        <v>Q3</v>
      </c>
      <c r="P1123" s="5">
        <f>Table13[[#This Row],[Profit]]/Table13[[#This Row],[Amount]]</f>
        <v>0.15728449000168038</v>
      </c>
      <c r="Q1123" s="6">
        <f>Table13[[#This Row],[Amount]]/Table13[[#This Row],[Quantity]]</f>
        <v>991.83333333333337</v>
      </c>
    </row>
    <row r="1124" spans="1:17" x14ac:dyDescent="0.3">
      <c r="A1124" t="s">
        <v>1348</v>
      </c>
      <c r="B1124">
        <v>5951</v>
      </c>
      <c r="C1124">
        <v>936</v>
      </c>
      <c r="D1124">
        <v>6</v>
      </c>
      <c r="E1124" t="s">
        <v>13</v>
      </c>
      <c r="F1124" t="s">
        <v>39</v>
      </c>
      <c r="G1124" t="s">
        <v>32</v>
      </c>
      <c r="H1124" s="1">
        <v>44768</v>
      </c>
      <c r="I1124" t="s">
        <v>1350</v>
      </c>
      <c r="J1124" t="s">
        <v>98</v>
      </c>
      <c r="K1124" t="s">
        <v>99</v>
      </c>
      <c r="L1124" s="2" t="s">
        <v>418</v>
      </c>
      <c r="M1124" t="str">
        <f>TEXT(Table13[[#This Row],[Order Date]],"MMM")</f>
        <v>Jul</v>
      </c>
      <c r="N1124">
        <f>YEAR(Table13[[#This Row],[Order Date]])</f>
        <v>2022</v>
      </c>
      <c r="O1124" t="str">
        <f>"Q"&amp;ROUNDUP(MONTH(Table13[[#This Row],[Order Date]])/3,0)</f>
        <v>Q3</v>
      </c>
      <c r="P1124" s="5">
        <f>Table13[[#This Row],[Profit]]/Table13[[#This Row],[Amount]]</f>
        <v>0.15728449000168038</v>
      </c>
      <c r="Q1124" s="6">
        <f>Table13[[#This Row],[Amount]]/Table13[[#This Row],[Quantity]]</f>
        <v>991.83333333333337</v>
      </c>
    </row>
    <row r="1125" spans="1:17" x14ac:dyDescent="0.3">
      <c r="A1125" t="s">
        <v>1351</v>
      </c>
      <c r="B1125">
        <v>992</v>
      </c>
      <c r="C1125">
        <v>177</v>
      </c>
      <c r="D1125">
        <v>6</v>
      </c>
      <c r="E1125" t="s">
        <v>13</v>
      </c>
      <c r="F1125" t="s">
        <v>82</v>
      </c>
      <c r="G1125" t="s">
        <v>15</v>
      </c>
      <c r="H1125" s="1">
        <v>45304</v>
      </c>
      <c r="I1125" t="s">
        <v>1352</v>
      </c>
      <c r="J1125" t="s">
        <v>42</v>
      </c>
      <c r="K1125" t="s">
        <v>43</v>
      </c>
      <c r="L1125" s="2" t="s">
        <v>76</v>
      </c>
      <c r="M1125" t="str">
        <f>TEXT(Table13[[#This Row],[Order Date]],"MMM")</f>
        <v>Jan</v>
      </c>
      <c r="N1125">
        <f>YEAR(Table13[[#This Row],[Order Date]])</f>
        <v>2024</v>
      </c>
      <c r="O1125" t="str">
        <f>"Q"&amp;ROUNDUP(MONTH(Table13[[#This Row],[Order Date]])/3,0)</f>
        <v>Q1</v>
      </c>
      <c r="P1125" s="5">
        <f>Table13[[#This Row],[Profit]]/Table13[[#This Row],[Amount]]</f>
        <v>0.17842741935483872</v>
      </c>
      <c r="Q1125" s="6">
        <f>Table13[[#This Row],[Amount]]/Table13[[#This Row],[Quantity]]</f>
        <v>165.33333333333334</v>
      </c>
    </row>
    <row r="1126" spans="1:17" x14ac:dyDescent="0.3">
      <c r="A1126" t="s">
        <v>1351</v>
      </c>
      <c r="B1126">
        <v>4699</v>
      </c>
      <c r="C1126">
        <v>625</v>
      </c>
      <c r="D1126">
        <v>18</v>
      </c>
      <c r="E1126" t="s">
        <v>30</v>
      </c>
      <c r="F1126" t="s">
        <v>57</v>
      </c>
      <c r="G1126" t="s">
        <v>40</v>
      </c>
      <c r="H1126" s="1">
        <v>45304</v>
      </c>
      <c r="I1126" t="s">
        <v>1352</v>
      </c>
      <c r="J1126" t="s">
        <v>42</v>
      </c>
      <c r="K1126" t="s">
        <v>43</v>
      </c>
      <c r="L1126" s="2" t="s">
        <v>76</v>
      </c>
      <c r="M1126" t="str">
        <f>TEXT(Table13[[#This Row],[Order Date]],"MMM")</f>
        <v>Jan</v>
      </c>
      <c r="N1126">
        <f>YEAR(Table13[[#This Row],[Order Date]])</f>
        <v>2024</v>
      </c>
      <c r="O1126" t="str">
        <f>"Q"&amp;ROUNDUP(MONTH(Table13[[#This Row],[Order Date]])/3,0)</f>
        <v>Q1</v>
      </c>
      <c r="P1126" s="5">
        <f>Table13[[#This Row],[Profit]]/Table13[[#This Row],[Amount]]</f>
        <v>0.13300702277080229</v>
      </c>
      <c r="Q1126" s="6">
        <f>Table13[[#This Row],[Amount]]/Table13[[#This Row],[Quantity]]</f>
        <v>261.05555555555554</v>
      </c>
    </row>
    <row r="1127" spans="1:17" x14ac:dyDescent="0.3">
      <c r="A1127" t="s">
        <v>1353</v>
      </c>
      <c r="B1127">
        <v>5557</v>
      </c>
      <c r="C1127">
        <v>2114</v>
      </c>
      <c r="D1127">
        <v>17</v>
      </c>
      <c r="E1127" t="s">
        <v>13</v>
      </c>
      <c r="F1127" t="s">
        <v>39</v>
      </c>
      <c r="G1127" t="s">
        <v>40</v>
      </c>
      <c r="H1127" s="1">
        <v>44344</v>
      </c>
      <c r="I1127" t="s">
        <v>1354</v>
      </c>
      <c r="J1127" t="s">
        <v>98</v>
      </c>
      <c r="K1127" t="s">
        <v>117</v>
      </c>
      <c r="L1127" s="2" t="s">
        <v>108</v>
      </c>
      <c r="M1127" t="str">
        <f>TEXT(Table13[[#This Row],[Order Date]],"MMM")</f>
        <v>May</v>
      </c>
      <c r="N1127">
        <f>YEAR(Table13[[#This Row],[Order Date]])</f>
        <v>2021</v>
      </c>
      <c r="O1127" t="str">
        <f>"Q"&amp;ROUNDUP(MONTH(Table13[[#This Row],[Order Date]])/3,0)</f>
        <v>Q2</v>
      </c>
      <c r="P1127" s="5">
        <f>Table13[[#This Row],[Profit]]/Table13[[#This Row],[Amount]]</f>
        <v>0.38042109051646572</v>
      </c>
      <c r="Q1127" s="6">
        <f>Table13[[#This Row],[Amount]]/Table13[[#This Row],[Quantity]]</f>
        <v>326.88235294117646</v>
      </c>
    </row>
    <row r="1128" spans="1:17" x14ac:dyDescent="0.3">
      <c r="A1128" t="s">
        <v>1355</v>
      </c>
      <c r="B1128">
        <v>3436</v>
      </c>
      <c r="C1128">
        <v>933</v>
      </c>
      <c r="D1128">
        <v>3</v>
      </c>
      <c r="E1128" t="s">
        <v>13</v>
      </c>
      <c r="F1128" t="s">
        <v>14</v>
      </c>
      <c r="G1128" t="s">
        <v>47</v>
      </c>
      <c r="H1128" s="1">
        <v>44360</v>
      </c>
      <c r="I1128" t="s">
        <v>1356</v>
      </c>
      <c r="J1128" t="s">
        <v>71</v>
      </c>
      <c r="K1128" t="s">
        <v>72</v>
      </c>
      <c r="L1128" s="2" t="s">
        <v>125</v>
      </c>
      <c r="M1128" t="str">
        <f>TEXT(Table13[[#This Row],[Order Date]],"MMM")</f>
        <v>Jun</v>
      </c>
      <c r="N1128">
        <f>YEAR(Table13[[#This Row],[Order Date]])</f>
        <v>2021</v>
      </c>
      <c r="O1128" t="str">
        <f>"Q"&amp;ROUNDUP(MONTH(Table13[[#This Row],[Order Date]])/3,0)</f>
        <v>Q2</v>
      </c>
      <c r="P1128" s="5">
        <f>Table13[[#This Row],[Profit]]/Table13[[#This Row],[Amount]]</f>
        <v>0.27153667054714786</v>
      </c>
      <c r="Q1128" s="6">
        <f>Table13[[#This Row],[Amount]]/Table13[[#This Row],[Quantity]]</f>
        <v>1145.3333333333333</v>
      </c>
    </row>
    <row r="1129" spans="1:17" x14ac:dyDescent="0.3">
      <c r="A1129" t="s">
        <v>1357</v>
      </c>
      <c r="B1129">
        <v>9840</v>
      </c>
      <c r="C1129">
        <v>3870</v>
      </c>
      <c r="D1129">
        <v>11</v>
      </c>
      <c r="E1129" t="s">
        <v>13</v>
      </c>
      <c r="F1129" t="s">
        <v>28</v>
      </c>
      <c r="G1129" t="s">
        <v>32</v>
      </c>
      <c r="H1129" s="1">
        <v>45041</v>
      </c>
      <c r="I1129" t="s">
        <v>1358</v>
      </c>
      <c r="J1129" t="s">
        <v>71</v>
      </c>
      <c r="K1129" t="s">
        <v>86</v>
      </c>
      <c r="L1129" s="2" t="s">
        <v>145</v>
      </c>
      <c r="M1129" t="str">
        <f>TEXT(Table13[[#This Row],[Order Date]],"MMM")</f>
        <v>Apr</v>
      </c>
      <c r="N1129">
        <f>YEAR(Table13[[#This Row],[Order Date]])</f>
        <v>2023</v>
      </c>
      <c r="O1129" t="str">
        <f>"Q"&amp;ROUNDUP(MONTH(Table13[[#This Row],[Order Date]])/3,0)</f>
        <v>Q2</v>
      </c>
      <c r="P1129" s="5">
        <f>Table13[[#This Row],[Profit]]/Table13[[#This Row],[Amount]]</f>
        <v>0.39329268292682928</v>
      </c>
      <c r="Q1129" s="6">
        <f>Table13[[#This Row],[Amount]]/Table13[[#This Row],[Quantity]]</f>
        <v>894.5454545454545</v>
      </c>
    </row>
    <row r="1130" spans="1:17" x14ac:dyDescent="0.3">
      <c r="A1130" t="s">
        <v>1359</v>
      </c>
      <c r="B1130">
        <v>7620</v>
      </c>
      <c r="C1130">
        <v>125</v>
      </c>
      <c r="D1130">
        <v>4</v>
      </c>
      <c r="E1130" t="s">
        <v>30</v>
      </c>
      <c r="F1130" t="s">
        <v>64</v>
      </c>
      <c r="G1130" t="s">
        <v>40</v>
      </c>
      <c r="H1130" s="1">
        <v>44382</v>
      </c>
      <c r="I1130" t="s">
        <v>1360</v>
      </c>
      <c r="J1130" t="s">
        <v>42</v>
      </c>
      <c r="K1130" t="s">
        <v>92</v>
      </c>
      <c r="L1130" s="2" t="s">
        <v>27</v>
      </c>
      <c r="M1130" t="str">
        <f>TEXT(Table13[[#This Row],[Order Date]],"MMM")</f>
        <v>Jul</v>
      </c>
      <c r="N1130">
        <f>YEAR(Table13[[#This Row],[Order Date]])</f>
        <v>2021</v>
      </c>
      <c r="O1130" t="str">
        <f>"Q"&amp;ROUNDUP(MONTH(Table13[[#This Row],[Order Date]])/3,0)</f>
        <v>Q3</v>
      </c>
      <c r="P1130" s="5">
        <f>Table13[[#This Row],[Profit]]/Table13[[#This Row],[Amount]]</f>
        <v>1.6404199475065617E-2</v>
      </c>
      <c r="Q1130" s="6">
        <f>Table13[[#This Row],[Amount]]/Table13[[#This Row],[Quantity]]</f>
        <v>1905</v>
      </c>
    </row>
    <row r="1131" spans="1:17" x14ac:dyDescent="0.3">
      <c r="A1131" t="s">
        <v>1359</v>
      </c>
      <c r="B1131">
        <v>7620</v>
      </c>
      <c r="C1131">
        <v>125</v>
      </c>
      <c r="D1131">
        <v>4</v>
      </c>
      <c r="E1131" t="s">
        <v>30</v>
      </c>
      <c r="F1131" t="s">
        <v>64</v>
      </c>
      <c r="G1131" t="s">
        <v>40</v>
      </c>
      <c r="H1131" s="1">
        <v>45577</v>
      </c>
      <c r="I1131" t="s">
        <v>1361</v>
      </c>
      <c r="J1131" t="s">
        <v>42</v>
      </c>
      <c r="K1131" t="s">
        <v>92</v>
      </c>
      <c r="L1131" s="2" t="s">
        <v>360</v>
      </c>
      <c r="M1131" t="str">
        <f>TEXT(Table13[[#This Row],[Order Date]],"MMM")</f>
        <v>Oct</v>
      </c>
      <c r="N1131">
        <f>YEAR(Table13[[#This Row],[Order Date]])</f>
        <v>2024</v>
      </c>
      <c r="O1131" t="str">
        <f>"Q"&amp;ROUNDUP(MONTH(Table13[[#This Row],[Order Date]])/3,0)</f>
        <v>Q4</v>
      </c>
      <c r="P1131" s="5">
        <f>Table13[[#This Row],[Profit]]/Table13[[#This Row],[Amount]]</f>
        <v>1.6404199475065617E-2</v>
      </c>
      <c r="Q1131" s="6">
        <f>Table13[[#This Row],[Amount]]/Table13[[#This Row],[Quantity]]</f>
        <v>1905</v>
      </c>
    </row>
    <row r="1132" spans="1:17" x14ac:dyDescent="0.3">
      <c r="A1132" t="s">
        <v>1362</v>
      </c>
      <c r="B1132">
        <v>4314</v>
      </c>
      <c r="C1132">
        <v>1591</v>
      </c>
      <c r="D1132">
        <v>5</v>
      </c>
      <c r="E1132" t="s">
        <v>45</v>
      </c>
      <c r="F1132" t="s">
        <v>46</v>
      </c>
      <c r="G1132" t="s">
        <v>32</v>
      </c>
      <c r="H1132" s="1">
        <v>44473</v>
      </c>
      <c r="I1132" t="s">
        <v>1363</v>
      </c>
      <c r="J1132" t="s">
        <v>25</v>
      </c>
      <c r="K1132" t="s">
        <v>26</v>
      </c>
      <c r="L1132" s="2" t="s">
        <v>37</v>
      </c>
      <c r="M1132" t="str">
        <f>TEXT(Table13[[#This Row],[Order Date]],"MMM")</f>
        <v>Oct</v>
      </c>
      <c r="N1132">
        <f>YEAR(Table13[[#This Row],[Order Date]])</f>
        <v>2021</v>
      </c>
      <c r="O1132" t="str">
        <f>"Q"&amp;ROUNDUP(MONTH(Table13[[#This Row],[Order Date]])/3,0)</f>
        <v>Q4</v>
      </c>
      <c r="P1132" s="5">
        <f>Table13[[#This Row],[Profit]]/Table13[[#This Row],[Amount]]</f>
        <v>0.36879925822902176</v>
      </c>
      <c r="Q1132" s="6">
        <f>Table13[[#This Row],[Amount]]/Table13[[#This Row],[Quantity]]</f>
        <v>862.8</v>
      </c>
    </row>
    <row r="1133" spans="1:17" x14ac:dyDescent="0.3">
      <c r="A1133" t="s">
        <v>1364</v>
      </c>
      <c r="B1133">
        <v>8851</v>
      </c>
      <c r="C1133">
        <v>999</v>
      </c>
      <c r="D1133">
        <v>12</v>
      </c>
      <c r="E1133" t="s">
        <v>13</v>
      </c>
      <c r="F1133" t="s">
        <v>39</v>
      </c>
      <c r="G1133" t="s">
        <v>15</v>
      </c>
      <c r="H1133" s="1">
        <v>45329</v>
      </c>
      <c r="I1133" t="s">
        <v>1365</v>
      </c>
      <c r="J1133" t="s">
        <v>98</v>
      </c>
      <c r="K1133" t="s">
        <v>107</v>
      </c>
      <c r="L1133" s="2" t="s">
        <v>218</v>
      </c>
      <c r="M1133" t="str">
        <f>TEXT(Table13[[#This Row],[Order Date]],"MMM")</f>
        <v>Feb</v>
      </c>
      <c r="N1133">
        <f>YEAR(Table13[[#This Row],[Order Date]])</f>
        <v>2024</v>
      </c>
      <c r="O1133" t="str">
        <f>"Q"&amp;ROUNDUP(MONTH(Table13[[#This Row],[Order Date]])/3,0)</f>
        <v>Q1</v>
      </c>
      <c r="P1133" s="5">
        <f>Table13[[#This Row],[Profit]]/Table13[[#This Row],[Amount]]</f>
        <v>0.1128686024178059</v>
      </c>
      <c r="Q1133" s="6">
        <f>Table13[[#This Row],[Amount]]/Table13[[#This Row],[Quantity]]</f>
        <v>737.58333333333337</v>
      </c>
    </row>
    <row r="1134" spans="1:17" x14ac:dyDescent="0.3">
      <c r="A1134" t="s">
        <v>1366</v>
      </c>
      <c r="B1134">
        <v>544</v>
      </c>
      <c r="C1134">
        <v>272</v>
      </c>
      <c r="D1134">
        <v>2</v>
      </c>
      <c r="E1134" t="s">
        <v>13</v>
      </c>
      <c r="F1134" t="s">
        <v>39</v>
      </c>
      <c r="G1134" t="s">
        <v>32</v>
      </c>
      <c r="H1134" s="1">
        <v>44260</v>
      </c>
      <c r="I1134" t="s">
        <v>1367</v>
      </c>
      <c r="J1134" t="s">
        <v>71</v>
      </c>
      <c r="K1134" t="s">
        <v>138</v>
      </c>
      <c r="L1134" s="2" t="s">
        <v>167</v>
      </c>
      <c r="M1134" t="str">
        <f>TEXT(Table13[[#This Row],[Order Date]],"MMM")</f>
        <v>Mar</v>
      </c>
      <c r="N1134">
        <f>YEAR(Table13[[#This Row],[Order Date]])</f>
        <v>2021</v>
      </c>
      <c r="O1134" t="str">
        <f>"Q"&amp;ROUNDUP(MONTH(Table13[[#This Row],[Order Date]])/3,0)</f>
        <v>Q1</v>
      </c>
      <c r="P1134" s="5">
        <f>Table13[[#This Row],[Profit]]/Table13[[#This Row],[Amount]]</f>
        <v>0.5</v>
      </c>
      <c r="Q1134" s="6">
        <f>Table13[[#This Row],[Amount]]/Table13[[#This Row],[Quantity]]</f>
        <v>272</v>
      </c>
    </row>
    <row r="1135" spans="1:17" x14ac:dyDescent="0.3">
      <c r="A1135" t="s">
        <v>1366</v>
      </c>
      <c r="B1135">
        <v>544</v>
      </c>
      <c r="C1135">
        <v>272</v>
      </c>
      <c r="D1135">
        <v>2</v>
      </c>
      <c r="E1135" t="s">
        <v>13</v>
      </c>
      <c r="F1135" t="s">
        <v>39</v>
      </c>
      <c r="G1135" t="s">
        <v>32</v>
      </c>
      <c r="H1135" s="1">
        <v>45102</v>
      </c>
      <c r="I1135" t="s">
        <v>1368</v>
      </c>
      <c r="J1135" t="s">
        <v>25</v>
      </c>
      <c r="K1135" t="s">
        <v>26</v>
      </c>
      <c r="L1135" s="2" t="s">
        <v>19</v>
      </c>
      <c r="M1135" t="str">
        <f>TEXT(Table13[[#This Row],[Order Date]],"MMM")</f>
        <v>Jun</v>
      </c>
      <c r="N1135">
        <f>YEAR(Table13[[#This Row],[Order Date]])</f>
        <v>2023</v>
      </c>
      <c r="O1135" t="str">
        <f>"Q"&amp;ROUNDUP(MONTH(Table13[[#This Row],[Order Date]])/3,0)</f>
        <v>Q2</v>
      </c>
      <c r="P1135" s="5">
        <f>Table13[[#This Row],[Profit]]/Table13[[#This Row],[Amount]]</f>
        <v>0.5</v>
      </c>
      <c r="Q1135" s="6">
        <f>Table13[[#This Row],[Amount]]/Table13[[#This Row],[Quantity]]</f>
        <v>272</v>
      </c>
    </row>
    <row r="1136" spans="1:17" x14ac:dyDescent="0.3">
      <c r="A1136" t="s">
        <v>1369</v>
      </c>
      <c r="B1136">
        <v>537</v>
      </c>
      <c r="C1136">
        <v>142</v>
      </c>
      <c r="D1136">
        <v>20</v>
      </c>
      <c r="E1136" t="s">
        <v>30</v>
      </c>
      <c r="F1136" t="s">
        <v>57</v>
      </c>
      <c r="G1136" t="s">
        <v>40</v>
      </c>
      <c r="H1136" s="1">
        <v>44410</v>
      </c>
      <c r="I1136" t="s">
        <v>1370</v>
      </c>
      <c r="J1136" t="s">
        <v>21</v>
      </c>
      <c r="K1136" t="s">
        <v>172</v>
      </c>
      <c r="L1136" s="2" t="s">
        <v>178</v>
      </c>
      <c r="M1136" t="str">
        <f>TEXT(Table13[[#This Row],[Order Date]],"MMM")</f>
        <v>Aug</v>
      </c>
      <c r="N1136">
        <f>YEAR(Table13[[#This Row],[Order Date]])</f>
        <v>2021</v>
      </c>
      <c r="O1136" t="str">
        <f>"Q"&amp;ROUNDUP(MONTH(Table13[[#This Row],[Order Date]])/3,0)</f>
        <v>Q3</v>
      </c>
      <c r="P1136" s="5">
        <f>Table13[[#This Row],[Profit]]/Table13[[#This Row],[Amount]]</f>
        <v>0.26443202979515829</v>
      </c>
      <c r="Q1136" s="6">
        <f>Table13[[#This Row],[Amount]]/Table13[[#This Row],[Quantity]]</f>
        <v>26.85</v>
      </c>
    </row>
    <row r="1137" spans="1:17" x14ac:dyDescent="0.3">
      <c r="A1137" t="s">
        <v>1371</v>
      </c>
      <c r="B1137">
        <v>5944</v>
      </c>
      <c r="C1137">
        <v>2661</v>
      </c>
      <c r="D1137">
        <v>7</v>
      </c>
      <c r="E1137" t="s">
        <v>13</v>
      </c>
      <c r="F1137" t="s">
        <v>39</v>
      </c>
      <c r="G1137" t="s">
        <v>40</v>
      </c>
      <c r="H1137" s="1">
        <v>44637</v>
      </c>
      <c r="I1137" t="s">
        <v>1372</v>
      </c>
      <c r="J1137" t="s">
        <v>71</v>
      </c>
      <c r="K1137" t="s">
        <v>86</v>
      </c>
      <c r="L1137" s="2" t="s">
        <v>134</v>
      </c>
      <c r="M1137" t="str">
        <f>TEXT(Table13[[#This Row],[Order Date]],"MMM")</f>
        <v>Mar</v>
      </c>
      <c r="N1137">
        <f>YEAR(Table13[[#This Row],[Order Date]])</f>
        <v>2022</v>
      </c>
      <c r="O1137" t="str">
        <f>"Q"&amp;ROUNDUP(MONTH(Table13[[#This Row],[Order Date]])/3,0)</f>
        <v>Q1</v>
      </c>
      <c r="P1137" s="5">
        <f>Table13[[#This Row],[Profit]]/Table13[[#This Row],[Amount]]</f>
        <v>0.44767833109017496</v>
      </c>
      <c r="Q1137" s="6">
        <f>Table13[[#This Row],[Amount]]/Table13[[#This Row],[Quantity]]</f>
        <v>849.14285714285711</v>
      </c>
    </row>
    <row r="1138" spans="1:17" x14ac:dyDescent="0.3">
      <c r="A1138" t="s">
        <v>1373</v>
      </c>
      <c r="B1138">
        <v>2258</v>
      </c>
      <c r="C1138">
        <v>135</v>
      </c>
      <c r="D1138">
        <v>18</v>
      </c>
      <c r="E1138" t="s">
        <v>13</v>
      </c>
      <c r="F1138" t="s">
        <v>28</v>
      </c>
      <c r="G1138" t="s">
        <v>47</v>
      </c>
      <c r="H1138" s="1">
        <v>45329</v>
      </c>
      <c r="I1138" t="s">
        <v>1374</v>
      </c>
      <c r="J1138" t="s">
        <v>17</v>
      </c>
      <c r="K1138" t="s">
        <v>18</v>
      </c>
      <c r="L1138" s="2" t="s">
        <v>218</v>
      </c>
      <c r="M1138" t="str">
        <f>TEXT(Table13[[#This Row],[Order Date]],"MMM")</f>
        <v>Feb</v>
      </c>
      <c r="N1138">
        <f>YEAR(Table13[[#This Row],[Order Date]])</f>
        <v>2024</v>
      </c>
      <c r="O1138" t="str">
        <f>"Q"&amp;ROUNDUP(MONTH(Table13[[#This Row],[Order Date]])/3,0)</f>
        <v>Q1</v>
      </c>
      <c r="P1138" s="5">
        <f>Table13[[#This Row],[Profit]]/Table13[[#This Row],[Amount]]</f>
        <v>5.9787422497785653E-2</v>
      </c>
      <c r="Q1138" s="6">
        <f>Table13[[#This Row],[Amount]]/Table13[[#This Row],[Quantity]]</f>
        <v>125.44444444444444</v>
      </c>
    </row>
    <row r="1139" spans="1:17" x14ac:dyDescent="0.3">
      <c r="A1139" t="s">
        <v>1373</v>
      </c>
      <c r="B1139">
        <v>2258</v>
      </c>
      <c r="C1139">
        <v>135</v>
      </c>
      <c r="D1139">
        <v>18</v>
      </c>
      <c r="E1139" t="s">
        <v>13</v>
      </c>
      <c r="F1139" t="s">
        <v>28</v>
      </c>
      <c r="G1139" t="s">
        <v>47</v>
      </c>
      <c r="H1139" s="1">
        <v>44792</v>
      </c>
      <c r="I1139" t="s">
        <v>1375</v>
      </c>
      <c r="J1139" t="s">
        <v>42</v>
      </c>
      <c r="K1139" t="s">
        <v>75</v>
      </c>
      <c r="L1139" s="2" t="s">
        <v>209</v>
      </c>
      <c r="M1139" t="str">
        <f>TEXT(Table13[[#This Row],[Order Date]],"MMM")</f>
        <v>Aug</v>
      </c>
      <c r="N1139">
        <f>YEAR(Table13[[#This Row],[Order Date]])</f>
        <v>2022</v>
      </c>
      <c r="O1139" t="str">
        <f>"Q"&amp;ROUNDUP(MONTH(Table13[[#This Row],[Order Date]])/3,0)</f>
        <v>Q3</v>
      </c>
      <c r="P1139" s="5">
        <f>Table13[[#This Row],[Profit]]/Table13[[#This Row],[Amount]]</f>
        <v>5.9787422497785653E-2</v>
      </c>
      <c r="Q1139" s="6">
        <f>Table13[[#This Row],[Amount]]/Table13[[#This Row],[Quantity]]</f>
        <v>125.44444444444444</v>
      </c>
    </row>
    <row r="1140" spans="1:17" x14ac:dyDescent="0.3">
      <c r="A1140" t="s">
        <v>1376</v>
      </c>
      <c r="B1140">
        <v>9609</v>
      </c>
      <c r="C1140">
        <v>4339</v>
      </c>
      <c r="D1140">
        <v>3</v>
      </c>
      <c r="E1140" t="s">
        <v>45</v>
      </c>
      <c r="F1140" t="s">
        <v>60</v>
      </c>
      <c r="G1140" t="s">
        <v>32</v>
      </c>
      <c r="H1140" s="1">
        <v>45554</v>
      </c>
      <c r="I1140" t="s">
        <v>1377</v>
      </c>
      <c r="J1140" t="s">
        <v>71</v>
      </c>
      <c r="K1140" t="s">
        <v>138</v>
      </c>
      <c r="L1140" s="2" t="s">
        <v>159</v>
      </c>
      <c r="M1140" t="str">
        <f>TEXT(Table13[[#This Row],[Order Date]],"MMM")</f>
        <v>Sep</v>
      </c>
      <c r="N1140">
        <f>YEAR(Table13[[#This Row],[Order Date]])</f>
        <v>2024</v>
      </c>
      <c r="O1140" t="str">
        <f>"Q"&amp;ROUNDUP(MONTH(Table13[[#This Row],[Order Date]])/3,0)</f>
        <v>Q3</v>
      </c>
      <c r="P1140" s="5">
        <f>Table13[[#This Row],[Profit]]/Table13[[#This Row],[Amount]]</f>
        <v>0.45155583307316061</v>
      </c>
      <c r="Q1140" s="6">
        <f>Table13[[#This Row],[Amount]]/Table13[[#This Row],[Quantity]]</f>
        <v>3203</v>
      </c>
    </row>
    <row r="1141" spans="1:17" x14ac:dyDescent="0.3">
      <c r="A1141" t="s">
        <v>1376</v>
      </c>
      <c r="B1141">
        <v>9609</v>
      </c>
      <c r="C1141">
        <v>4339</v>
      </c>
      <c r="D1141">
        <v>3</v>
      </c>
      <c r="E1141" t="s">
        <v>45</v>
      </c>
      <c r="F1141" t="s">
        <v>60</v>
      </c>
      <c r="G1141" t="s">
        <v>32</v>
      </c>
      <c r="H1141" s="1">
        <v>43926</v>
      </c>
      <c r="I1141" t="s">
        <v>1378</v>
      </c>
      <c r="J1141" t="s">
        <v>98</v>
      </c>
      <c r="K1141" t="s">
        <v>107</v>
      </c>
      <c r="L1141" s="2" t="s">
        <v>162</v>
      </c>
      <c r="M1141" t="str">
        <f>TEXT(Table13[[#This Row],[Order Date]],"MMM")</f>
        <v>Apr</v>
      </c>
      <c r="N1141">
        <f>YEAR(Table13[[#This Row],[Order Date]])</f>
        <v>2020</v>
      </c>
      <c r="O1141" t="str">
        <f>"Q"&amp;ROUNDUP(MONTH(Table13[[#This Row],[Order Date]])/3,0)</f>
        <v>Q2</v>
      </c>
      <c r="P1141" s="5">
        <f>Table13[[#This Row],[Profit]]/Table13[[#This Row],[Amount]]</f>
        <v>0.45155583307316061</v>
      </c>
      <c r="Q1141" s="6">
        <f>Table13[[#This Row],[Amount]]/Table13[[#This Row],[Quantity]]</f>
        <v>3203</v>
      </c>
    </row>
    <row r="1142" spans="1:17" x14ac:dyDescent="0.3">
      <c r="A1142" t="s">
        <v>1379</v>
      </c>
      <c r="B1142">
        <v>9952</v>
      </c>
      <c r="C1142">
        <v>3301</v>
      </c>
      <c r="D1142">
        <v>15</v>
      </c>
      <c r="E1142" t="s">
        <v>13</v>
      </c>
      <c r="F1142" t="s">
        <v>14</v>
      </c>
      <c r="G1142" t="s">
        <v>32</v>
      </c>
      <c r="H1142" s="1">
        <v>44995</v>
      </c>
      <c r="I1142" t="s">
        <v>1380</v>
      </c>
      <c r="J1142" t="s">
        <v>71</v>
      </c>
      <c r="K1142" t="s">
        <v>72</v>
      </c>
      <c r="L1142" s="2" t="s">
        <v>245</v>
      </c>
      <c r="M1142" t="str">
        <f>TEXT(Table13[[#This Row],[Order Date]],"MMM")</f>
        <v>Mar</v>
      </c>
      <c r="N1142">
        <f>YEAR(Table13[[#This Row],[Order Date]])</f>
        <v>2023</v>
      </c>
      <c r="O1142" t="str">
        <f>"Q"&amp;ROUNDUP(MONTH(Table13[[#This Row],[Order Date]])/3,0)</f>
        <v>Q1</v>
      </c>
      <c r="P1142" s="5">
        <f>Table13[[#This Row],[Profit]]/Table13[[#This Row],[Amount]]</f>
        <v>0.33169212218649519</v>
      </c>
      <c r="Q1142" s="6">
        <f>Table13[[#This Row],[Amount]]/Table13[[#This Row],[Quantity]]</f>
        <v>663.4666666666667</v>
      </c>
    </row>
    <row r="1143" spans="1:17" x14ac:dyDescent="0.3">
      <c r="A1143" t="s">
        <v>1381</v>
      </c>
      <c r="B1143">
        <v>9873</v>
      </c>
      <c r="C1143">
        <v>4585</v>
      </c>
      <c r="D1143">
        <v>7</v>
      </c>
      <c r="E1143" t="s">
        <v>30</v>
      </c>
      <c r="F1143" t="s">
        <v>64</v>
      </c>
      <c r="G1143" t="s">
        <v>47</v>
      </c>
      <c r="H1143" s="1">
        <v>44053</v>
      </c>
      <c r="I1143" t="s">
        <v>1382</v>
      </c>
      <c r="J1143" t="s">
        <v>98</v>
      </c>
      <c r="K1143" t="s">
        <v>99</v>
      </c>
      <c r="L1143" s="2" t="s">
        <v>185</v>
      </c>
      <c r="M1143" t="str">
        <f>TEXT(Table13[[#This Row],[Order Date]],"MMM")</f>
        <v>Aug</v>
      </c>
      <c r="N1143">
        <f>YEAR(Table13[[#This Row],[Order Date]])</f>
        <v>2020</v>
      </c>
      <c r="O1143" t="str">
        <f>"Q"&amp;ROUNDUP(MONTH(Table13[[#This Row],[Order Date]])/3,0)</f>
        <v>Q3</v>
      </c>
      <c r="P1143" s="5">
        <f>Table13[[#This Row],[Profit]]/Table13[[#This Row],[Amount]]</f>
        <v>0.46439785272966677</v>
      </c>
      <c r="Q1143" s="6">
        <f>Table13[[#This Row],[Amount]]/Table13[[#This Row],[Quantity]]</f>
        <v>1410.4285714285713</v>
      </c>
    </row>
    <row r="1144" spans="1:17" x14ac:dyDescent="0.3">
      <c r="A1144" t="s">
        <v>1383</v>
      </c>
      <c r="B1144">
        <v>3560</v>
      </c>
      <c r="C1144">
        <v>1335</v>
      </c>
      <c r="D1144">
        <v>15</v>
      </c>
      <c r="E1144" t="s">
        <v>13</v>
      </c>
      <c r="F1144" t="s">
        <v>14</v>
      </c>
      <c r="G1144" t="s">
        <v>65</v>
      </c>
      <c r="H1144" s="1">
        <v>43950</v>
      </c>
      <c r="I1144" t="s">
        <v>1384</v>
      </c>
      <c r="J1144" t="s">
        <v>25</v>
      </c>
      <c r="K1144" t="s">
        <v>51</v>
      </c>
      <c r="L1144" s="2" t="s">
        <v>162</v>
      </c>
      <c r="M1144" t="str">
        <f>TEXT(Table13[[#This Row],[Order Date]],"MMM")</f>
        <v>Apr</v>
      </c>
      <c r="N1144">
        <f>YEAR(Table13[[#This Row],[Order Date]])</f>
        <v>2020</v>
      </c>
      <c r="O1144" t="str">
        <f>"Q"&amp;ROUNDUP(MONTH(Table13[[#This Row],[Order Date]])/3,0)</f>
        <v>Q2</v>
      </c>
      <c r="P1144" s="5">
        <f>Table13[[#This Row],[Profit]]/Table13[[#This Row],[Amount]]</f>
        <v>0.375</v>
      </c>
      <c r="Q1144" s="6">
        <f>Table13[[#This Row],[Amount]]/Table13[[#This Row],[Quantity]]</f>
        <v>237.33333333333334</v>
      </c>
    </row>
    <row r="1145" spans="1:17" x14ac:dyDescent="0.3">
      <c r="A1145" t="s">
        <v>1383</v>
      </c>
      <c r="B1145">
        <v>3560</v>
      </c>
      <c r="C1145">
        <v>1335</v>
      </c>
      <c r="D1145">
        <v>15</v>
      </c>
      <c r="E1145" t="s">
        <v>13</v>
      </c>
      <c r="F1145" t="s">
        <v>14</v>
      </c>
      <c r="G1145" t="s">
        <v>65</v>
      </c>
      <c r="H1145" s="1">
        <v>45001</v>
      </c>
      <c r="I1145" t="s">
        <v>1385</v>
      </c>
      <c r="J1145" t="s">
        <v>21</v>
      </c>
      <c r="K1145" t="s">
        <v>63</v>
      </c>
      <c r="L1145" s="2" t="s">
        <v>245</v>
      </c>
      <c r="M1145" t="str">
        <f>TEXT(Table13[[#This Row],[Order Date]],"MMM")</f>
        <v>Mar</v>
      </c>
      <c r="N1145">
        <f>YEAR(Table13[[#This Row],[Order Date]])</f>
        <v>2023</v>
      </c>
      <c r="O1145" t="str">
        <f>"Q"&amp;ROUNDUP(MONTH(Table13[[#This Row],[Order Date]])/3,0)</f>
        <v>Q1</v>
      </c>
      <c r="P1145" s="5">
        <f>Table13[[#This Row],[Profit]]/Table13[[#This Row],[Amount]]</f>
        <v>0.375</v>
      </c>
      <c r="Q1145" s="6">
        <f>Table13[[#This Row],[Amount]]/Table13[[#This Row],[Quantity]]</f>
        <v>237.33333333333334</v>
      </c>
    </row>
    <row r="1146" spans="1:17" x14ac:dyDescent="0.3">
      <c r="A1146" t="s">
        <v>1386</v>
      </c>
      <c r="B1146">
        <v>6528</v>
      </c>
      <c r="C1146">
        <v>76</v>
      </c>
      <c r="D1146">
        <v>9</v>
      </c>
      <c r="E1146" t="s">
        <v>13</v>
      </c>
      <c r="F1146" t="s">
        <v>82</v>
      </c>
      <c r="G1146" t="s">
        <v>32</v>
      </c>
      <c r="H1146" s="1">
        <v>43955</v>
      </c>
      <c r="I1146" t="s">
        <v>1387</v>
      </c>
      <c r="J1146" t="s">
        <v>25</v>
      </c>
      <c r="K1146" t="s">
        <v>26</v>
      </c>
      <c r="L1146" s="2" t="s">
        <v>59</v>
      </c>
      <c r="M1146" t="str">
        <f>TEXT(Table13[[#This Row],[Order Date]],"MMM")</f>
        <v>May</v>
      </c>
      <c r="N1146">
        <f>YEAR(Table13[[#This Row],[Order Date]])</f>
        <v>2020</v>
      </c>
      <c r="O1146" t="str">
        <f>"Q"&amp;ROUNDUP(MONTH(Table13[[#This Row],[Order Date]])/3,0)</f>
        <v>Q2</v>
      </c>
      <c r="P1146" s="5">
        <f>Table13[[#This Row],[Profit]]/Table13[[#This Row],[Amount]]</f>
        <v>1.1642156862745098E-2</v>
      </c>
      <c r="Q1146" s="6">
        <f>Table13[[#This Row],[Amount]]/Table13[[#This Row],[Quantity]]</f>
        <v>725.33333333333337</v>
      </c>
    </row>
    <row r="1147" spans="1:17" x14ac:dyDescent="0.3">
      <c r="A1147" t="s">
        <v>1386</v>
      </c>
      <c r="B1147">
        <v>8930</v>
      </c>
      <c r="C1147">
        <v>3374</v>
      </c>
      <c r="D1147">
        <v>12</v>
      </c>
      <c r="E1147" t="s">
        <v>45</v>
      </c>
      <c r="F1147" t="s">
        <v>60</v>
      </c>
      <c r="G1147" t="s">
        <v>32</v>
      </c>
      <c r="H1147" s="1">
        <v>43955</v>
      </c>
      <c r="I1147" t="s">
        <v>1387</v>
      </c>
      <c r="J1147" t="s">
        <v>25</v>
      </c>
      <c r="K1147" t="s">
        <v>26</v>
      </c>
      <c r="L1147" s="2" t="s">
        <v>59</v>
      </c>
      <c r="M1147" t="str">
        <f>TEXT(Table13[[#This Row],[Order Date]],"MMM")</f>
        <v>May</v>
      </c>
      <c r="N1147">
        <f>YEAR(Table13[[#This Row],[Order Date]])</f>
        <v>2020</v>
      </c>
      <c r="O1147" t="str">
        <f>"Q"&amp;ROUNDUP(MONTH(Table13[[#This Row],[Order Date]])/3,0)</f>
        <v>Q2</v>
      </c>
      <c r="P1147" s="5">
        <f>Table13[[#This Row],[Profit]]/Table13[[#This Row],[Amount]]</f>
        <v>0.37782754759238524</v>
      </c>
      <c r="Q1147" s="6">
        <f>Table13[[#This Row],[Amount]]/Table13[[#This Row],[Quantity]]</f>
        <v>744.16666666666663</v>
      </c>
    </row>
    <row r="1148" spans="1:17" x14ac:dyDescent="0.3">
      <c r="A1148" t="s">
        <v>1388</v>
      </c>
      <c r="B1148">
        <v>4521</v>
      </c>
      <c r="C1148">
        <v>1778</v>
      </c>
      <c r="D1148">
        <v>9</v>
      </c>
      <c r="E1148" t="s">
        <v>30</v>
      </c>
      <c r="F1148" t="s">
        <v>64</v>
      </c>
      <c r="G1148" t="s">
        <v>32</v>
      </c>
      <c r="H1148" s="1">
        <v>45580</v>
      </c>
      <c r="I1148" t="s">
        <v>1389</v>
      </c>
      <c r="J1148" t="s">
        <v>17</v>
      </c>
      <c r="K1148" t="s">
        <v>150</v>
      </c>
      <c r="L1148" s="2" t="s">
        <v>360</v>
      </c>
      <c r="M1148" t="str">
        <f>TEXT(Table13[[#This Row],[Order Date]],"MMM")</f>
        <v>Oct</v>
      </c>
      <c r="N1148">
        <f>YEAR(Table13[[#This Row],[Order Date]])</f>
        <v>2024</v>
      </c>
      <c r="O1148" t="str">
        <f>"Q"&amp;ROUNDUP(MONTH(Table13[[#This Row],[Order Date]])/3,0)</f>
        <v>Q4</v>
      </c>
      <c r="P1148" s="5">
        <f>Table13[[#This Row],[Profit]]/Table13[[#This Row],[Amount]]</f>
        <v>0.39327582393275823</v>
      </c>
      <c r="Q1148" s="6">
        <f>Table13[[#This Row],[Amount]]/Table13[[#This Row],[Quantity]]</f>
        <v>502.33333333333331</v>
      </c>
    </row>
    <row r="1149" spans="1:17" x14ac:dyDescent="0.3">
      <c r="A1149" t="s">
        <v>1390</v>
      </c>
      <c r="B1149">
        <v>7091</v>
      </c>
      <c r="C1149">
        <v>2317</v>
      </c>
      <c r="D1149">
        <v>10</v>
      </c>
      <c r="E1149" t="s">
        <v>45</v>
      </c>
      <c r="F1149" t="s">
        <v>60</v>
      </c>
      <c r="G1149" t="s">
        <v>47</v>
      </c>
      <c r="H1149" s="1">
        <v>44721</v>
      </c>
      <c r="I1149" t="s">
        <v>1391</v>
      </c>
      <c r="J1149" t="s">
        <v>42</v>
      </c>
      <c r="K1149" t="s">
        <v>75</v>
      </c>
      <c r="L1149" s="2" t="s">
        <v>165</v>
      </c>
      <c r="M1149" t="str">
        <f>TEXT(Table13[[#This Row],[Order Date]],"MMM")</f>
        <v>Jun</v>
      </c>
      <c r="N1149">
        <f>YEAR(Table13[[#This Row],[Order Date]])</f>
        <v>2022</v>
      </c>
      <c r="O1149" t="str">
        <f>"Q"&amp;ROUNDUP(MONTH(Table13[[#This Row],[Order Date]])/3,0)</f>
        <v>Q2</v>
      </c>
      <c r="P1149" s="5">
        <f>Table13[[#This Row],[Profit]]/Table13[[#This Row],[Amount]]</f>
        <v>0.32675222112537017</v>
      </c>
      <c r="Q1149" s="6">
        <f>Table13[[#This Row],[Amount]]/Table13[[#This Row],[Quantity]]</f>
        <v>709.1</v>
      </c>
    </row>
    <row r="1150" spans="1:17" x14ac:dyDescent="0.3">
      <c r="A1150" t="s">
        <v>1392</v>
      </c>
      <c r="B1150">
        <v>2101</v>
      </c>
      <c r="C1150">
        <v>287</v>
      </c>
      <c r="D1150">
        <v>8</v>
      </c>
      <c r="E1150" t="s">
        <v>30</v>
      </c>
      <c r="F1150" t="s">
        <v>31</v>
      </c>
      <c r="G1150" t="s">
        <v>65</v>
      </c>
      <c r="H1150" s="1">
        <v>44016</v>
      </c>
      <c r="I1150" t="s">
        <v>703</v>
      </c>
      <c r="J1150" t="s">
        <v>98</v>
      </c>
      <c r="K1150" t="s">
        <v>117</v>
      </c>
      <c r="L1150" s="2" t="s">
        <v>462</v>
      </c>
      <c r="M1150" t="str">
        <f>TEXT(Table13[[#This Row],[Order Date]],"MMM")</f>
        <v>Jul</v>
      </c>
      <c r="N1150">
        <f>YEAR(Table13[[#This Row],[Order Date]])</f>
        <v>2020</v>
      </c>
      <c r="O1150" t="str">
        <f>"Q"&amp;ROUNDUP(MONTH(Table13[[#This Row],[Order Date]])/3,0)</f>
        <v>Q3</v>
      </c>
      <c r="P1150" s="5">
        <f>Table13[[#This Row],[Profit]]/Table13[[#This Row],[Amount]]</f>
        <v>0.13660161827701095</v>
      </c>
      <c r="Q1150" s="6">
        <f>Table13[[#This Row],[Amount]]/Table13[[#This Row],[Quantity]]</f>
        <v>262.625</v>
      </c>
    </row>
    <row r="1151" spans="1:17" x14ac:dyDescent="0.3">
      <c r="A1151" t="s">
        <v>1392</v>
      </c>
      <c r="B1151">
        <v>2101</v>
      </c>
      <c r="C1151">
        <v>287</v>
      </c>
      <c r="D1151">
        <v>8</v>
      </c>
      <c r="E1151" t="s">
        <v>30</v>
      </c>
      <c r="F1151" t="s">
        <v>31</v>
      </c>
      <c r="G1151" t="s">
        <v>65</v>
      </c>
      <c r="H1151" s="1">
        <v>45025</v>
      </c>
      <c r="I1151" t="s">
        <v>1393</v>
      </c>
      <c r="J1151" t="s">
        <v>21</v>
      </c>
      <c r="K1151" t="s">
        <v>22</v>
      </c>
      <c r="L1151" s="2" t="s">
        <v>145</v>
      </c>
      <c r="M1151" t="str">
        <f>TEXT(Table13[[#This Row],[Order Date]],"MMM")</f>
        <v>Apr</v>
      </c>
      <c r="N1151">
        <f>YEAR(Table13[[#This Row],[Order Date]])</f>
        <v>2023</v>
      </c>
      <c r="O1151" t="str">
        <f>"Q"&amp;ROUNDUP(MONTH(Table13[[#This Row],[Order Date]])/3,0)</f>
        <v>Q2</v>
      </c>
      <c r="P1151" s="5">
        <f>Table13[[#This Row],[Profit]]/Table13[[#This Row],[Amount]]</f>
        <v>0.13660161827701095</v>
      </c>
      <c r="Q1151" s="6">
        <f>Table13[[#This Row],[Amount]]/Table13[[#This Row],[Quantity]]</f>
        <v>262.625</v>
      </c>
    </row>
    <row r="1152" spans="1:17" x14ac:dyDescent="0.3">
      <c r="A1152" t="s">
        <v>1394</v>
      </c>
      <c r="B1152">
        <v>8644</v>
      </c>
      <c r="C1152">
        <v>1968</v>
      </c>
      <c r="D1152">
        <v>9</v>
      </c>
      <c r="E1152" t="s">
        <v>30</v>
      </c>
      <c r="F1152" t="s">
        <v>64</v>
      </c>
      <c r="G1152" t="s">
        <v>32</v>
      </c>
      <c r="H1152" s="1">
        <v>45254</v>
      </c>
      <c r="I1152" t="s">
        <v>1395</v>
      </c>
      <c r="J1152" t="s">
        <v>21</v>
      </c>
      <c r="K1152" t="s">
        <v>22</v>
      </c>
      <c r="L1152" s="2" t="s">
        <v>52</v>
      </c>
      <c r="M1152" t="str">
        <f>TEXT(Table13[[#This Row],[Order Date]],"MMM")</f>
        <v>Nov</v>
      </c>
      <c r="N1152">
        <f>YEAR(Table13[[#This Row],[Order Date]])</f>
        <v>2023</v>
      </c>
      <c r="O1152" t="str">
        <f>"Q"&amp;ROUNDUP(MONTH(Table13[[#This Row],[Order Date]])/3,0)</f>
        <v>Q4</v>
      </c>
      <c r="P1152" s="5">
        <f>Table13[[#This Row],[Profit]]/Table13[[#This Row],[Amount]]</f>
        <v>0.22767237390097178</v>
      </c>
      <c r="Q1152" s="6">
        <f>Table13[[#This Row],[Amount]]/Table13[[#This Row],[Quantity]]</f>
        <v>960.44444444444446</v>
      </c>
    </row>
    <row r="1153" spans="1:17" x14ac:dyDescent="0.3">
      <c r="A1153" t="s">
        <v>1396</v>
      </c>
      <c r="B1153">
        <v>6672</v>
      </c>
      <c r="C1153">
        <v>3319</v>
      </c>
      <c r="D1153">
        <v>4</v>
      </c>
      <c r="E1153" t="s">
        <v>45</v>
      </c>
      <c r="F1153" t="s">
        <v>46</v>
      </c>
      <c r="G1153" t="s">
        <v>15</v>
      </c>
      <c r="H1153" s="1">
        <v>45259</v>
      </c>
      <c r="I1153" t="s">
        <v>1397</v>
      </c>
      <c r="J1153" t="s">
        <v>71</v>
      </c>
      <c r="K1153" t="s">
        <v>72</v>
      </c>
      <c r="L1153" s="2" t="s">
        <v>52</v>
      </c>
      <c r="M1153" t="str">
        <f>TEXT(Table13[[#This Row],[Order Date]],"MMM")</f>
        <v>Nov</v>
      </c>
      <c r="N1153">
        <f>YEAR(Table13[[#This Row],[Order Date]])</f>
        <v>2023</v>
      </c>
      <c r="O1153" t="str">
        <f>"Q"&amp;ROUNDUP(MONTH(Table13[[#This Row],[Order Date]])/3,0)</f>
        <v>Q4</v>
      </c>
      <c r="P1153" s="5">
        <f>Table13[[#This Row],[Profit]]/Table13[[#This Row],[Amount]]</f>
        <v>0.49745203836930457</v>
      </c>
      <c r="Q1153" s="6">
        <f>Table13[[#This Row],[Amount]]/Table13[[#This Row],[Quantity]]</f>
        <v>1668</v>
      </c>
    </row>
    <row r="1154" spans="1:17" x14ac:dyDescent="0.3">
      <c r="A1154" t="s">
        <v>1396</v>
      </c>
      <c r="B1154">
        <v>6672</v>
      </c>
      <c r="C1154">
        <v>3319</v>
      </c>
      <c r="D1154">
        <v>4</v>
      </c>
      <c r="E1154" t="s">
        <v>45</v>
      </c>
      <c r="F1154" t="s">
        <v>46</v>
      </c>
      <c r="G1154" t="s">
        <v>15</v>
      </c>
      <c r="H1154" s="1">
        <v>45432</v>
      </c>
      <c r="I1154" t="s">
        <v>1398</v>
      </c>
      <c r="J1154" t="s">
        <v>42</v>
      </c>
      <c r="K1154" t="s">
        <v>75</v>
      </c>
      <c r="L1154" s="2" t="s">
        <v>35</v>
      </c>
      <c r="M1154" t="str">
        <f>TEXT(Table13[[#This Row],[Order Date]],"MMM")</f>
        <v>May</v>
      </c>
      <c r="N1154">
        <f>YEAR(Table13[[#This Row],[Order Date]])</f>
        <v>2024</v>
      </c>
      <c r="O1154" t="str">
        <f>"Q"&amp;ROUNDUP(MONTH(Table13[[#This Row],[Order Date]])/3,0)</f>
        <v>Q2</v>
      </c>
      <c r="P1154" s="5">
        <f>Table13[[#This Row],[Profit]]/Table13[[#This Row],[Amount]]</f>
        <v>0.49745203836930457</v>
      </c>
      <c r="Q1154" s="6">
        <f>Table13[[#This Row],[Amount]]/Table13[[#This Row],[Quantity]]</f>
        <v>1668</v>
      </c>
    </row>
    <row r="1155" spans="1:17" x14ac:dyDescent="0.3">
      <c r="A1155" t="s">
        <v>1399</v>
      </c>
      <c r="B1155">
        <v>4699</v>
      </c>
      <c r="C1155">
        <v>103</v>
      </c>
      <c r="D1155">
        <v>12</v>
      </c>
      <c r="E1155" t="s">
        <v>30</v>
      </c>
      <c r="F1155" t="s">
        <v>78</v>
      </c>
      <c r="G1155" t="s">
        <v>15</v>
      </c>
      <c r="H1155" s="1">
        <v>45433</v>
      </c>
      <c r="I1155" t="s">
        <v>1400</v>
      </c>
      <c r="J1155" t="s">
        <v>98</v>
      </c>
      <c r="K1155" t="s">
        <v>107</v>
      </c>
      <c r="L1155" s="2" t="s">
        <v>35</v>
      </c>
      <c r="M1155" t="str">
        <f>TEXT(Table13[[#This Row],[Order Date]],"MMM")</f>
        <v>May</v>
      </c>
      <c r="N1155">
        <f>YEAR(Table13[[#This Row],[Order Date]])</f>
        <v>2024</v>
      </c>
      <c r="O1155" t="str">
        <f>"Q"&amp;ROUNDUP(MONTH(Table13[[#This Row],[Order Date]])/3,0)</f>
        <v>Q2</v>
      </c>
      <c r="P1155" s="5">
        <f>Table13[[#This Row],[Profit]]/Table13[[#This Row],[Amount]]</f>
        <v>2.1919557352628218E-2</v>
      </c>
      <c r="Q1155" s="6">
        <f>Table13[[#This Row],[Amount]]/Table13[[#This Row],[Quantity]]</f>
        <v>391.58333333333331</v>
      </c>
    </row>
    <row r="1156" spans="1:17" x14ac:dyDescent="0.3">
      <c r="A1156" t="s">
        <v>1401</v>
      </c>
      <c r="B1156">
        <v>4897</v>
      </c>
      <c r="C1156">
        <v>1001</v>
      </c>
      <c r="D1156">
        <v>14</v>
      </c>
      <c r="E1156" t="s">
        <v>45</v>
      </c>
      <c r="F1156" t="s">
        <v>60</v>
      </c>
      <c r="G1156" t="s">
        <v>32</v>
      </c>
      <c r="H1156" s="1">
        <v>44537</v>
      </c>
      <c r="I1156" t="s">
        <v>1402</v>
      </c>
      <c r="J1156" t="s">
        <v>71</v>
      </c>
      <c r="K1156" t="s">
        <v>138</v>
      </c>
      <c r="L1156" s="2" t="s">
        <v>90</v>
      </c>
      <c r="M1156" t="str">
        <f>TEXT(Table13[[#This Row],[Order Date]],"MMM")</f>
        <v>Dec</v>
      </c>
      <c r="N1156">
        <f>YEAR(Table13[[#This Row],[Order Date]])</f>
        <v>2021</v>
      </c>
      <c r="O1156" t="str">
        <f>"Q"&amp;ROUNDUP(MONTH(Table13[[#This Row],[Order Date]])/3,0)</f>
        <v>Q4</v>
      </c>
      <c r="P1156" s="5">
        <f>Table13[[#This Row],[Profit]]/Table13[[#This Row],[Amount]]</f>
        <v>0.20441086379415968</v>
      </c>
      <c r="Q1156" s="6">
        <f>Table13[[#This Row],[Amount]]/Table13[[#This Row],[Quantity]]</f>
        <v>349.78571428571428</v>
      </c>
    </row>
    <row r="1157" spans="1:17" x14ac:dyDescent="0.3">
      <c r="A1157" t="s">
        <v>1401</v>
      </c>
      <c r="B1157">
        <v>4897</v>
      </c>
      <c r="C1157">
        <v>1001</v>
      </c>
      <c r="D1157">
        <v>14</v>
      </c>
      <c r="E1157" t="s">
        <v>45</v>
      </c>
      <c r="F1157" t="s">
        <v>60</v>
      </c>
      <c r="G1157" t="s">
        <v>32</v>
      </c>
      <c r="H1157" s="1">
        <v>45663</v>
      </c>
      <c r="I1157" t="s">
        <v>1403</v>
      </c>
      <c r="J1157" t="s">
        <v>98</v>
      </c>
      <c r="K1157" t="s">
        <v>107</v>
      </c>
      <c r="L1157" s="2" t="s">
        <v>308</v>
      </c>
      <c r="M1157" t="str">
        <f>TEXT(Table13[[#This Row],[Order Date]],"MMM")</f>
        <v>Jan</v>
      </c>
      <c r="N1157">
        <f>YEAR(Table13[[#This Row],[Order Date]])</f>
        <v>2025</v>
      </c>
      <c r="O1157" t="str">
        <f>"Q"&amp;ROUNDUP(MONTH(Table13[[#This Row],[Order Date]])/3,0)</f>
        <v>Q1</v>
      </c>
      <c r="P1157" s="5">
        <f>Table13[[#This Row],[Profit]]/Table13[[#This Row],[Amount]]</f>
        <v>0.20441086379415968</v>
      </c>
      <c r="Q1157" s="6">
        <f>Table13[[#This Row],[Amount]]/Table13[[#This Row],[Quantity]]</f>
        <v>349.78571428571428</v>
      </c>
    </row>
    <row r="1158" spans="1:17" x14ac:dyDescent="0.3">
      <c r="A1158" t="s">
        <v>1404</v>
      </c>
      <c r="B1158">
        <v>5460</v>
      </c>
      <c r="C1158">
        <v>2088</v>
      </c>
      <c r="D1158">
        <v>14</v>
      </c>
      <c r="E1158" t="s">
        <v>45</v>
      </c>
      <c r="F1158" t="s">
        <v>46</v>
      </c>
      <c r="G1158" t="s">
        <v>32</v>
      </c>
      <c r="H1158" s="1">
        <v>44755</v>
      </c>
      <c r="I1158" t="s">
        <v>1405</v>
      </c>
      <c r="J1158" t="s">
        <v>25</v>
      </c>
      <c r="K1158" t="s">
        <v>26</v>
      </c>
      <c r="L1158" s="2" t="s">
        <v>418</v>
      </c>
      <c r="M1158" t="str">
        <f>TEXT(Table13[[#This Row],[Order Date]],"MMM")</f>
        <v>Jul</v>
      </c>
      <c r="N1158">
        <f>YEAR(Table13[[#This Row],[Order Date]])</f>
        <v>2022</v>
      </c>
      <c r="O1158" t="str">
        <f>"Q"&amp;ROUNDUP(MONTH(Table13[[#This Row],[Order Date]])/3,0)</f>
        <v>Q3</v>
      </c>
      <c r="P1158" s="5">
        <f>Table13[[#This Row],[Profit]]/Table13[[#This Row],[Amount]]</f>
        <v>0.38241758241758239</v>
      </c>
      <c r="Q1158" s="6">
        <f>Table13[[#This Row],[Amount]]/Table13[[#This Row],[Quantity]]</f>
        <v>390</v>
      </c>
    </row>
    <row r="1159" spans="1:17" x14ac:dyDescent="0.3">
      <c r="A1159" t="s">
        <v>1404</v>
      </c>
      <c r="B1159">
        <v>5460</v>
      </c>
      <c r="C1159">
        <v>2088</v>
      </c>
      <c r="D1159">
        <v>14</v>
      </c>
      <c r="E1159" t="s">
        <v>45</v>
      </c>
      <c r="F1159" t="s">
        <v>46</v>
      </c>
      <c r="G1159" t="s">
        <v>32</v>
      </c>
      <c r="H1159" s="1">
        <v>43940</v>
      </c>
      <c r="I1159" t="s">
        <v>1406</v>
      </c>
      <c r="J1159" t="s">
        <v>98</v>
      </c>
      <c r="K1159" t="s">
        <v>107</v>
      </c>
      <c r="L1159" s="2" t="s">
        <v>162</v>
      </c>
      <c r="M1159" t="str">
        <f>TEXT(Table13[[#This Row],[Order Date]],"MMM")</f>
        <v>Apr</v>
      </c>
      <c r="N1159">
        <f>YEAR(Table13[[#This Row],[Order Date]])</f>
        <v>2020</v>
      </c>
      <c r="O1159" t="str">
        <f>"Q"&amp;ROUNDUP(MONTH(Table13[[#This Row],[Order Date]])/3,0)</f>
        <v>Q2</v>
      </c>
      <c r="P1159" s="5">
        <f>Table13[[#This Row],[Profit]]/Table13[[#This Row],[Amount]]</f>
        <v>0.38241758241758239</v>
      </c>
      <c r="Q1159" s="6">
        <f>Table13[[#This Row],[Amount]]/Table13[[#This Row],[Quantity]]</f>
        <v>390</v>
      </c>
    </row>
    <row r="1160" spans="1:17" x14ac:dyDescent="0.3">
      <c r="A1160" t="s">
        <v>1407</v>
      </c>
      <c r="B1160">
        <v>9272</v>
      </c>
      <c r="C1160">
        <v>1771</v>
      </c>
      <c r="D1160">
        <v>19</v>
      </c>
      <c r="E1160" t="s">
        <v>30</v>
      </c>
      <c r="F1160" t="s">
        <v>57</v>
      </c>
      <c r="G1160" t="s">
        <v>15</v>
      </c>
      <c r="H1160" s="1">
        <v>45610</v>
      </c>
      <c r="I1160" t="s">
        <v>1408</v>
      </c>
      <c r="J1160" t="s">
        <v>21</v>
      </c>
      <c r="K1160" t="s">
        <v>63</v>
      </c>
      <c r="L1160" s="2" t="s">
        <v>255</v>
      </c>
      <c r="M1160" t="str">
        <f>TEXT(Table13[[#This Row],[Order Date]],"MMM")</f>
        <v>Nov</v>
      </c>
      <c r="N1160">
        <f>YEAR(Table13[[#This Row],[Order Date]])</f>
        <v>2024</v>
      </c>
      <c r="O1160" t="str">
        <f>"Q"&amp;ROUNDUP(MONTH(Table13[[#This Row],[Order Date]])/3,0)</f>
        <v>Q4</v>
      </c>
      <c r="P1160" s="5">
        <f>Table13[[#This Row],[Profit]]/Table13[[#This Row],[Amount]]</f>
        <v>0.19100517687661778</v>
      </c>
      <c r="Q1160" s="6">
        <f>Table13[[#This Row],[Amount]]/Table13[[#This Row],[Quantity]]</f>
        <v>488</v>
      </c>
    </row>
    <row r="1161" spans="1:17" x14ac:dyDescent="0.3">
      <c r="A1161" t="s">
        <v>1407</v>
      </c>
      <c r="B1161">
        <v>9272</v>
      </c>
      <c r="C1161">
        <v>1771</v>
      </c>
      <c r="D1161">
        <v>19</v>
      </c>
      <c r="E1161" t="s">
        <v>30</v>
      </c>
      <c r="F1161" t="s">
        <v>57</v>
      </c>
      <c r="G1161" t="s">
        <v>15</v>
      </c>
      <c r="H1161" s="1">
        <v>43939</v>
      </c>
      <c r="I1161" t="s">
        <v>1409</v>
      </c>
      <c r="J1161" t="s">
        <v>71</v>
      </c>
      <c r="K1161" t="s">
        <v>72</v>
      </c>
      <c r="L1161" s="2" t="s">
        <v>162</v>
      </c>
      <c r="M1161" t="str">
        <f>TEXT(Table13[[#This Row],[Order Date]],"MMM")</f>
        <v>Apr</v>
      </c>
      <c r="N1161">
        <f>YEAR(Table13[[#This Row],[Order Date]])</f>
        <v>2020</v>
      </c>
      <c r="O1161" t="str">
        <f>"Q"&amp;ROUNDUP(MONTH(Table13[[#This Row],[Order Date]])/3,0)</f>
        <v>Q2</v>
      </c>
      <c r="P1161" s="5">
        <f>Table13[[#This Row],[Profit]]/Table13[[#This Row],[Amount]]</f>
        <v>0.19100517687661778</v>
      </c>
      <c r="Q1161" s="6">
        <f>Table13[[#This Row],[Amount]]/Table13[[#This Row],[Quantity]]</f>
        <v>488</v>
      </c>
    </row>
    <row r="1162" spans="1:17" x14ac:dyDescent="0.3">
      <c r="A1162" t="s">
        <v>1410</v>
      </c>
      <c r="B1162">
        <v>7870</v>
      </c>
      <c r="C1162">
        <v>1057</v>
      </c>
      <c r="D1162">
        <v>15</v>
      </c>
      <c r="E1162" t="s">
        <v>30</v>
      </c>
      <c r="F1162" t="s">
        <v>31</v>
      </c>
      <c r="G1162" t="s">
        <v>47</v>
      </c>
      <c r="H1162" s="1">
        <v>45217</v>
      </c>
      <c r="I1162" t="s">
        <v>1411</v>
      </c>
      <c r="J1162" t="s">
        <v>71</v>
      </c>
      <c r="K1162" t="s">
        <v>138</v>
      </c>
      <c r="L1162" s="2" t="s">
        <v>442</v>
      </c>
      <c r="M1162" t="str">
        <f>TEXT(Table13[[#This Row],[Order Date]],"MMM")</f>
        <v>Oct</v>
      </c>
      <c r="N1162">
        <f>YEAR(Table13[[#This Row],[Order Date]])</f>
        <v>2023</v>
      </c>
      <c r="O1162" t="str">
        <f>"Q"&amp;ROUNDUP(MONTH(Table13[[#This Row],[Order Date]])/3,0)</f>
        <v>Q4</v>
      </c>
      <c r="P1162" s="5">
        <f>Table13[[#This Row],[Profit]]/Table13[[#This Row],[Amount]]</f>
        <v>0.13430749682337992</v>
      </c>
      <c r="Q1162" s="6">
        <f>Table13[[#This Row],[Amount]]/Table13[[#This Row],[Quantity]]</f>
        <v>524.66666666666663</v>
      </c>
    </row>
    <row r="1163" spans="1:17" x14ac:dyDescent="0.3">
      <c r="A1163" t="s">
        <v>1410</v>
      </c>
      <c r="B1163">
        <v>7870</v>
      </c>
      <c r="C1163">
        <v>1057</v>
      </c>
      <c r="D1163">
        <v>15</v>
      </c>
      <c r="E1163" t="s">
        <v>30</v>
      </c>
      <c r="F1163" t="s">
        <v>31</v>
      </c>
      <c r="G1163" t="s">
        <v>47</v>
      </c>
      <c r="H1163" s="1">
        <v>44276</v>
      </c>
      <c r="I1163" t="s">
        <v>1412</v>
      </c>
      <c r="J1163" t="s">
        <v>98</v>
      </c>
      <c r="K1163" t="s">
        <v>117</v>
      </c>
      <c r="L1163" s="2" t="s">
        <v>167</v>
      </c>
      <c r="M1163" t="str">
        <f>TEXT(Table13[[#This Row],[Order Date]],"MMM")</f>
        <v>Mar</v>
      </c>
      <c r="N1163">
        <f>YEAR(Table13[[#This Row],[Order Date]])</f>
        <v>2021</v>
      </c>
      <c r="O1163" t="str">
        <f>"Q"&amp;ROUNDUP(MONTH(Table13[[#This Row],[Order Date]])/3,0)</f>
        <v>Q1</v>
      </c>
      <c r="P1163" s="5">
        <f>Table13[[#This Row],[Profit]]/Table13[[#This Row],[Amount]]</f>
        <v>0.13430749682337992</v>
      </c>
      <c r="Q1163" s="6">
        <f>Table13[[#This Row],[Amount]]/Table13[[#This Row],[Quantity]]</f>
        <v>524.66666666666663</v>
      </c>
    </row>
    <row r="1164" spans="1:17" x14ac:dyDescent="0.3">
      <c r="A1164" t="s">
        <v>1413</v>
      </c>
      <c r="B1164">
        <v>7992</v>
      </c>
      <c r="C1164">
        <v>893</v>
      </c>
      <c r="D1164">
        <v>12</v>
      </c>
      <c r="E1164" t="s">
        <v>13</v>
      </c>
      <c r="F1164" t="s">
        <v>39</v>
      </c>
      <c r="G1164" t="s">
        <v>47</v>
      </c>
      <c r="H1164" s="1">
        <v>45548</v>
      </c>
      <c r="I1164" t="s">
        <v>1414</v>
      </c>
      <c r="J1164" t="s">
        <v>98</v>
      </c>
      <c r="K1164" t="s">
        <v>117</v>
      </c>
      <c r="L1164" s="2" t="s">
        <v>159</v>
      </c>
      <c r="M1164" t="str">
        <f>TEXT(Table13[[#This Row],[Order Date]],"MMM")</f>
        <v>Sep</v>
      </c>
      <c r="N1164">
        <f>YEAR(Table13[[#This Row],[Order Date]])</f>
        <v>2024</v>
      </c>
      <c r="O1164" t="str">
        <f>"Q"&amp;ROUNDUP(MONTH(Table13[[#This Row],[Order Date]])/3,0)</f>
        <v>Q3</v>
      </c>
      <c r="P1164" s="5">
        <f>Table13[[#This Row],[Profit]]/Table13[[#This Row],[Amount]]</f>
        <v>0.11173673673673673</v>
      </c>
      <c r="Q1164" s="6">
        <f>Table13[[#This Row],[Amount]]/Table13[[#This Row],[Quantity]]</f>
        <v>666</v>
      </c>
    </row>
    <row r="1165" spans="1:17" x14ac:dyDescent="0.3">
      <c r="A1165" t="s">
        <v>1413</v>
      </c>
      <c r="B1165">
        <v>7992</v>
      </c>
      <c r="C1165">
        <v>893</v>
      </c>
      <c r="D1165">
        <v>12</v>
      </c>
      <c r="E1165" t="s">
        <v>13</v>
      </c>
      <c r="F1165" t="s">
        <v>39</v>
      </c>
      <c r="G1165" t="s">
        <v>47</v>
      </c>
      <c r="H1165" s="1">
        <v>45050</v>
      </c>
      <c r="I1165" t="s">
        <v>1415</v>
      </c>
      <c r="J1165" t="s">
        <v>25</v>
      </c>
      <c r="K1165" t="s">
        <v>51</v>
      </c>
      <c r="L1165" s="2" t="s">
        <v>127</v>
      </c>
      <c r="M1165" t="str">
        <f>TEXT(Table13[[#This Row],[Order Date]],"MMM")</f>
        <v>May</v>
      </c>
      <c r="N1165">
        <f>YEAR(Table13[[#This Row],[Order Date]])</f>
        <v>2023</v>
      </c>
      <c r="O1165" t="str">
        <f>"Q"&amp;ROUNDUP(MONTH(Table13[[#This Row],[Order Date]])/3,0)</f>
        <v>Q2</v>
      </c>
      <c r="P1165" s="5">
        <f>Table13[[#This Row],[Profit]]/Table13[[#This Row],[Amount]]</f>
        <v>0.11173673673673673</v>
      </c>
      <c r="Q1165" s="6">
        <f>Table13[[#This Row],[Amount]]/Table13[[#This Row],[Quantity]]</f>
        <v>666</v>
      </c>
    </row>
    <row r="1166" spans="1:17" x14ac:dyDescent="0.3">
      <c r="A1166" t="s">
        <v>1413</v>
      </c>
      <c r="B1166">
        <v>7992</v>
      </c>
      <c r="C1166">
        <v>893</v>
      </c>
      <c r="D1166">
        <v>12</v>
      </c>
      <c r="E1166" t="s">
        <v>13</v>
      </c>
      <c r="F1166" t="s">
        <v>39</v>
      </c>
      <c r="G1166" t="s">
        <v>47</v>
      </c>
      <c r="H1166" s="1">
        <v>45077</v>
      </c>
      <c r="I1166" t="s">
        <v>1416</v>
      </c>
      <c r="J1166" t="s">
        <v>21</v>
      </c>
      <c r="K1166" t="s">
        <v>22</v>
      </c>
      <c r="L1166" s="2" t="s">
        <v>127</v>
      </c>
      <c r="M1166" t="str">
        <f>TEXT(Table13[[#This Row],[Order Date]],"MMM")</f>
        <v>May</v>
      </c>
      <c r="N1166">
        <f>YEAR(Table13[[#This Row],[Order Date]])</f>
        <v>2023</v>
      </c>
      <c r="O1166" t="str">
        <f>"Q"&amp;ROUNDUP(MONTH(Table13[[#This Row],[Order Date]])/3,0)</f>
        <v>Q2</v>
      </c>
      <c r="P1166" s="5">
        <f>Table13[[#This Row],[Profit]]/Table13[[#This Row],[Amount]]</f>
        <v>0.11173673673673673</v>
      </c>
      <c r="Q1166" s="6">
        <f>Table13[[#This Row],[Amount]]/Table13[[#This Row],[Quantity]]</f>
        <v>666</v>
      </c>
    </row>
    <row r="1167" spans="1:17" x14ac:dyDescent="0.3">
      <c r="A1167" t="s">
        <v>1417</v>
      </c>
      <c r="B1167">
        <v>6499</v>
      </c>
      <c r="C1167">
        <v>2189</v>
      </c>
      <c r="D1167">
        <v>18</v>
      </c>
      <c r="E1167" t="s">
        <v>13</v>
      </c>
      <c r="F1167" t="s">
        <v>14</v>
      </c>
      <c r="G1167" t="s">
        <v>40</v>
      </c>
      <c r="H1167" s="1">
        <v>45458</v>
      </c>
      <c r="I1167" t="s">
        <v>1418</v>
      </c>
      <c r="J1167" t="s">
        <v>25</v>
      </c>
      <c r="K1167" t="s">
        <v>51</v>
      </c>
      <c r="L1167" s="2" t="s">
        <v>262</v>
      </c>
      <c r="M1167" t="str">
        <f>TEXT(Table13[[#This Row],[Order Date]],"MMM")</f>
        <v>Jun</v>
      </c>
      <c r="N1167">
        <f>YEAR(Table13[[#This Row],[Order Date]])</f>
        <v>2024</v>
      </c>
      <c r="O1167" t="str">
        <f>"Q"&amp;ROUNDUP(MONTH(Table13[[#This Row],[Order Date]])/3,0)</f>
        <v>Q2</v>
      </c>
      <c r="P1167" s="5">
        <f>Table13[[#This Row],[Profit]]/Table13[[#This Row],[Amount]]</f>
        <v>0.33682104939221419</v>
      </c>
      <c r="Q1167" s="6">
        <f>Table13[[#This Row],[Amount]]/Table13[[#This Row],[Quantity]]</f>
        <v>361.05555555555554</v>
      </c>
    </row>
    <row r="1168" spans="1:17" x14ac:dyDescent="0.3">
      <c r="A1168" t="s">
        <v>1417</v>
      </c>
      <c r="B1168">
        <v>6499</v>
      </c>
      <c r="C1168">
        <v>2189</v>
      </c>
      <c r="D1168">
        <v>18</v>
      </c>
      <c r="E1168" t="s">
        <v>13</v>
      </c>
      <c r="F1168" t="s">
        <v>14</v>
      </c>
      <c r="G1168" t="s">
        <v>40</v>
      </c>
      <c r="H1168" s="1">
        <v>44289</v>
      </c>
      <c r="I1168" t="s">
        <v>1419</v>
      </c>
      <c r="J1168" t="s">
        <v>17</v>
      </c>
      <c r="K1168" t="s">
        <v>34</v>
      </c>
      <c r="L1168" s="2" t="s">
        <v>139</v>
      </c>
      <c r="M1168" t="str">
        <f>TEXT(Table13[[#This Row],[Order Date]],"MMM")</f>
        <v>Apr</v>
      </c>
      <c r="N1168">
        <f>YEAR(Table13[[#This Row],[Order Date]])</f>
        <v>2021</v>
      </c>
      <c r="O1168" t="str">
        <f>"Q"&amp;ROUNDUP(MONTH(Table13[[#This Row],[Order Date]])/3,0)</f>
        <v>Q2</v>
      </c>
      <c r="P1168" s="5">
        <f>Table13[[#This Row],[Profit]]/Table13[[#This Row],[Amount]]</f>
        <v>0.33682104939221419</v>
      </c>
      <c r="Q1168" s="6">
        <f>Table13[[#This Row],[Amount]]/Table13[[#This Row],[Quantity]]</f>
        <v>361.05555555555554</v>
      </c>
    </row>
    <row r="1169" spans="1:17" x14ac:dyDescent="0.3">
      <c r="A1169" t="s">
        <v>1420</v>
      </c>
      <c r="B1169">
        <v>8848</v>
      </c>
      <c r="C1169">
        <v>2090</v>
      </c>
      <c r="D1169">
        <v>9</v>
      </c>
      <c r="E1169" t="s">
        <v>30</v>
      </c>
      <c r="F1169" t="s">
        <v>31</v>
      </c>
      <c r="G1169" t="s">
        <v>32</v>
      </c>
      <c r="H1169" s="1">
        <v>45671</v>
      </c>
      <c r="I1169" t="s">
        <v>1421</v>
      </c>
      <c r="J1169" t="s">
        <v>42</v>
      </c>
      <c r="K1169" t="s">
        <v>75</v>
      </c>
      <c r="L1169" s="2" t="s">
        <v>308</v>
      </c>
      <c r="M1169" t="str">
        <f>TEXT(Table13[[#This Row],[Order Date]],"MMM")</f>
        <v>Jan</v>
      </c>
      <c r="N1169">
        <f>YEAR(Table13[[#This Row],[Order Date]])</f>
        <v>2025</v>
      </c>
      <c r="O1169" t="str">
        <f>"Q"&amp;ROUNDUP(MONTH(Table13[[#This Row],[Order Date]])/3,0)</f>
        <v>Q1</v>
      </c>
      <c r="P1169" s="5">
        <f>Table13[[#This Row],[Profit]]/Table13[[#This Row],[Amount]]</f>
        <v>0.23621157323688968</v>
      </c>
      <c r="Q1169" s="6">
        <f>Table13[[#This Row],[Amount]]/Table13[[#This Row],[Quantity]]</f>
        <v>983.11111111111109</v>
      </c>
    </row>
    <row r="1170" spans="1:17" x14ac:dyDescent="0.3">
      <c r="A1170" t="s">
        <v>1422</v>
      </c>
      <c r="B1170">
        <v>8044</v>
      </c>
      <c r="C1170">
        <v>3634</v>
      </c>
      <c r="D1170">
        <v>3</v>
      </c>
      <c r="E1170" t="s">
        <v>30</v>
      </c>
      <c r="F1170" t="s">
        <v>57</v>
      </c>
      <c r="G1170" t="s">
        <v>65</v>
      </c>
      <c r="H1170" s="1">
        <v>44189</v>
      </c>
      <c r="I1170" t="s">
        <v>1423</v>
      </c>
      <c r="J1170" t="s">
        <v>17</v>
      </c>
      <c r="K1170" t="s">
        <v>34</v>
      </c>
      <c r="L1170" s="2" t="s">
        <v>287</v>
      </c>
      <c r="M1170" t="str">
        <f>TEXT(Table13[[#This Row],[Order Date]],"MMM")</f>
        <v>Dec</v>
      </c>
      <c r="N1170">
        <f>YEAR(Table13[[#This Row],[Order Date]])</f>
        <v>2020</v>
      </c>
      <c r="O1170" t="str">
        <f>"Q"&amp;ROUNDUP(MONTH(Table13[[#This Row],[Order Date]])/3,0)</f>
        <v>Q4</v>
      </c>
      <c r="P1170" s="5">
        <f>Table13[[#This Row],[Profit]]/Table13[[#This Row],[Amount]]</f>
        <v>0.45176529090004974</v>
      </c>
      <c r="Q1170" s="6">
        <f>Table13[[#This Row],[Amount]]/Table13[[#This Row],[Quantity]]</f>
        <v>2681.3333333333335</v>
      </c>
    </row>
    <row r="1171" spans="1:17" x14ac:dyDescent="0.3">
      <c r="A1171" t="s">
        <v>1422</v>
      </c>
      <c r="B1171">
        <v>8044</v>
      </c>
      <c r="C1171">
        <v>3634</v>
      </c>
      <c r="D1171">
        <v>3</v>
      </c>
      <c r="E1171" t="s">
        <v>30</v>
      </c>
      <c r="F1171" t="s">
        <v>57</v>
      </c>
      <c r="G1171" t="s">
        <v>65</v>
      </c>
      <c r="H1171" s="1">
        <v>44841</v>
      </c>
      <c r="I1171" t="s">
        <v>1424</v>
      </c>
      <c r="J1171" t="s">
        <v>42</v>
      </c>
      <c r="K1171" t="s">
        <v>75</v>
      </c>
      <c r="L1171" s="2" t="s">
        <v>96</v>
      </c>
      <c r="M1171" t="str">
        <f>TEXT(Table13[[#This Row],[Order Date]],"MMM")</f>
        <v>Oct</v>
      </c>
      <c r="N1171">
        <f>YEAR(Table13[[#This Row],[Order Date]])</f>
        <v>2022</v>
      </c>
      <c r="O1171" t="str">
        <f>"Q"&amp;ROUNDUP(MONTH(Table13[[#This Row],[Order Date]])/3,0)</f>
        <v>Q4</v>
      </c>
      <c r="P1171" s="5">
        <f>Table13[[#This Row],[Profit]]/Table13[[#This Row],[Amount]]</f>
        <v>0.45176529090004974</v>
      </c>
      <c r="Q1171" s="6">
        <f>Table13[[#This Row],[Amount]]/Table13[[#This Row],[Quantity]]</f>
        <v>2681.3333333333335</v>
      </c>
    </row>
    <row r="1172" spans="1:17" x14ac:dyDescent="0.3">
      <c r="A1172" t="s">
        <v>1425</v>
      </c>
      <c r="B1172">
        <v>7417</v>
      </c>
      <c r="C1172">
        <v>1334</v>
      </c>
      <c r="D1172">
        <v>16</v>
      </c>
      <c r="E1172" t="s">
        <v>45</v>
      </c>
      <c r="F1172" t="s">
        <v>109</v>
      </c>
      <c r="G1172" t="s">
        <v>65</v>
      </c>
      <c r="H1172" s="1">
        <v>44474</v>
      </c>
      <c r="I1172" t="s">
        <v>1426</v>
      </c>
      <c r="J1172" t="s">
        <v>17</v>
      </c>
      <c r="K1172" t="s">
        <v>150</v>
      </c>
      <c r="L1172" s="2" t="s">
        <v>37</v>
      </c>
      <c r="M1172" t="str">
        <f>TEXT(Table13[[#This Row],[Order Date]],"MMM")</f>
        <v>Oct</v>
      </c>
      <c r="N1172">
        <f>YEAR(Table13[[#This Row],[Order Date]])</f>
        <v>2021</v>
      </c>
      <c r="O1172" t="str">
        <f>"Q"&amp;ROUNDUP(MONTH(Table13[[#This Row],[Order Date]])/3,0)</f>
        <v>Q4</v>
      </c>
      <c r="P1172" s="5">
        <f>Table13[[#This Row],[Profit]]/Table13[[#This Row],[Amount]]</f>
        <v>0.17985708507482809</v>
      </c>
      <c r="Q1172" s="6">
        <f>Table13[[#This Row],[Amount]]/Table13[[#This Row],[Quantity]]</f>
        <v>463.5625</v>
      </c>
    </row>
    <row r="1173" spans="1:17" x14ac:dyDescent="0.3">
      <c r="A1173" t="s">
        <v>1427</v>
      </c>
      <c r="B1173">
        <v>3451</v>
      </c>
      <c r="C1173">
        <v>658</v>
      </c>
      <c r="D1173">
        <v>3</v>
      </c>
      <c r="E1173" t="s">
        <v>30</v>
      </c>
      <c r="F1173" t="s">
        <v>57</v>
      </c>
      <c r="G1173" t="s">
        <v>15</v>
      </c>
      <c r="H1173" s="1">
        <v>45654</v>
      </c>
      <c r="I1173" t="s">
        <v>1428</v>
      </c>
      <c r="J1173" t="s">
        <v>21</v>
      </c>
      <c r="K1173" t="s">
        <v>22</v>
      </c>
      <c r="L1173" s="2" t="s">
        <v>23</v>
      </c>
      <c r="M1173" t="str">
        <f>TEXT(Table13[[#This Row],[Order Date]],"MMM")</f>
        <v>Dec</v>
      </c>
      <c r="N1173">
        <f>YEAR(Table13[[#This Row],[Order Date]])</f>
        <v>2024</v>
      </c>
      <c r="O1173" t="str">
        <f>"Q"&amp;ROUNDUP(MONTH(Table13[[#This Row],[Order Date]])/3,0)</f>
        <v>Q4</v>
      </c>
      <c r="P1173" s="5">
        <f>Table13[[#This Row],[Profit]]/Table13[[#This Row],[Amount]]</f>
        <v>0.19066937119675456</v>
      </c>
      <c r="Q1173" s="6">
        <f>Table13[[#This Row],[Amount]]/Table13[[#This Row],[Quantity]]</f>
        <v>1150.3333333333333</v>
      </c>
    </row>
    <row r="1174" spans="1:17" x14ac:dyDescent="0.3">
      <c r="A1174" t="s">
        <v>1429</v>
      </c>
      <c r="B1174">
        <v>8531</v>
      </c>
      <c r="C1174">
        <v>2555</v>
      </c>
      <c r="D1174">
        <v>4</v>
      </c>
      <c r="E1174" t="s">
        <v>13</v>
      </c>
      <c r="F1174" t="s">
        <v>39</v>
      </c>
      <c r="G1174" t="s">
        <v>40</v>
      </c>
      <c r="H1174" s="1">
        <v>44695</v>
      </c>
      <c r="I1174" t="s">
        <v>1430</v>
      </c>
      <c r="J1174" t="s">
        <v>71</v>
      </c>
      <c r="K1174" t="s">
        <v>86</v>
      </c>
      <c r="L1174" s="2" t="s">
        <v>180</v>
      </c>
      <c r="M1174" t="str">
        <f>TEXT(Table13[[#This Row],[Order Date]],"MMM")</f>
        <v>May</v>
      </c>
      <c r="N1174">
        <f>YEAR(Table13[[#This Row],[Order Date]])</f>
        <v>2022</v>
      </c>
      <c r="O1174" t="str">
        <f>"Q"&amp;ROUNDUP(MONTH(Table13[[#This Row],[Order Date]])/3,0)</f>
        <v>Q2</v>
      </c>
      <c r="P1174" s="5">
        <f>Table13[[#This Row],[Profit]]/Table13[[#This Row],[Amount]]</f>
        <v>0.29949595592544836</v>
      </c>
      <c r="Q1174" s="6">
        <f>Table13[[#This Row],[Amount]]/Table13[[#This Row],[Quantity]]</f>
        <v>2132.75</v>
      </c>
    </row>
    <row r="1175" spans="1:17" x14ac:dyDescent="0.3">
      <c r="A1175" t="s">
        <v>1431</v>
      </c>
      <c r="B1175">
        <v>6646</v>
      </c>
      <c r="C1175">
        <v>848</v>
      </c>
      <c r="D1175">
        <v>15</v>
      </c>
      <c r="E1175" t="s">
        <v>45</v>
      </c>
      <c r="F1175" t="s">
        <v>60</v>
      </c>
      <c r="G1175" t="s">
        <v>32</v>
      </c>
      <c r="H1175" s="1">
        <v>45157</v>
      </c>
      <c r="I1175" t="s">
        <v>1432</v>
      </c>
      <c r="J1175" t="s">
        <v>25</v>
      </c>
      <c r="K1175" t="s">
        <v>51</v>
      </c>
      <c r="L1175" s="2" t="s">
        <v>121</v>
      </c>
      <c r="M1175" t="str">
        <f>TEXT(Table13[[#This Row],[Order Date]],"MMM")</f>
        <v>Aug</v>
      </c>
      <c r="N1175">
        <f>YEAR(Table13[[#This Row],[Order Date]])</f>
        <v>2023</v>
      </c>
      <c r="O1175" t="str">
        <f>"Q"&amp;ROUNDUP(MONTH(Table13[[#This Row],[Order Date]])/3,0)</f>
        <v>Q3</v>
      </c>
      <c r="P1175" s="5">
        <f>Table13[[#This Row],[Profit]]/Table13[[#This Row],[Amount]]</f>
        <v>0.12759554619319891</v>
      </c>
      <c r="Q1175" s="6">
        <f>Table13[[#This Row],[Amount]]/Table13[[#This Row],[Quantity]]</f>
        <v>443.06666666666666</v>
      </c>
    </row>
    <row r="1176" spans="1:17" x14ac:dyDescent="0.3">
      <c r="A1176" t="s">
        <v>1431</v>
      </c>
      <c r="B1176">
        <v>6646</v>
      </c>
      <c r="C1176">
        <v>848</v>
      </c>
      <c r="D1176">
        <v>15</v>
      </c>
      <c r="E1176" t="s">
        <v>45</v>
      </c>
      <c r="F1176" t="s">
        <v>60</v>
      </c>
      <c r="G1176" t="s">
        <v>32</v>
      </c>
      <c r="H1176" s="1">
        <v>45121</v>
      </c>
      <c r="I1176" t="s">
        <v>1433</v>
      </c>
      <c r="J1176" t="s">
        <v>25</v>
      </c>
      <c r="K1176" t="s">
        <v>26</v>
      </c>
      <c r="L1176" s="2" t="s">
        <v>105</v>
      </c>
      <c r="M1176" t="str">
        <f>TEXT(Table13[[#This Row],[Order Date]],"MMM")</f>
        <v>Jul</v>
      </c>
      <c r="N1176">
        <f>YEAR(Table13[[#This Row],[Order Date]])</f>
        <v>2023</v>
      </c>
      <c r="O1176" t="str">
        <f>"Q"&amp;ROUNDUP(MONTH(Table13[[#This Row],[Order Date]])/3,0)</f>
        <v>Q3</v>
      </c>
      <c r="P1176" s="5">
        <f>Table13[[#This Row],[Profit]]/Table13[[#This Row],[Amount]]</f>
        <v>0.12759554619319891</v>
      </c>
      <c r="Q1176" s="6">
        <f>Table13[[#This Row],[Amount]]/Table13[[#This Row],[Quantity]]</f>
        <v>443.06666666666666</v>
      </c>
    </row>
    <row r="1177" spans="1:17" x14ac:dyDescent="0.3">
      <c r="A1177" t="s">
        <v>1434</v>
      </c>
      <c r="B1177">
        <v>2553</v>
      </c>
      <c r="C1177">
        <v>907</v>
      </c>
      <c r="D1177">
        <v>6</v>
      </c>
      <c r="E1177" t="s">
        <v>13</v>
      </c>
      <c r="F1177" t="s">
        <v>39</v>
      </c>
      <c r="G1177" t="s">
        <v>47</v>
      </c>
      <c r="H1177" s="1">
        <v>45099</v>
      </c>
      <c r="I1177" t="s">
        <v>1435</v>
      </c>
      <c r="J1177" t="s">
        <v>71</v>
      </c>
      <c r="K1177" t="s">
        <v>72</v>
      </c>
      <c r="L1177" s="2" t="s">
        <v>19</v>
      </c>
      <c r="M1177" t="str">
        <f>TEXT(Table13[[#This Row],[Order Date]],"MMM")</f>
        <v>Jun</v>
      </c>
      <c r="N1177">
        <f>YEAR(Table13[[#This Row],[Order Date]])</f>
        <v>2023</v>
      </c>
      <c r="O1177" t="str">
        <f>"Q"&amp;ROUNDUP(MONTH(Table13[[#This Row],[Order Date]])/3,0)</f>
        <v>Q2</v>
      </c>
      <c r="P1177" s="5">
        <f>Table13[[#This Row],[Profit]]/Table13[[#This Row],[Amount]]</f>
        <v>0.35526831179005092</v>
      </c>
      <c r="Q1177" s="6">
        <f>Table13[[#This Row],[Amount]]/Table13[[#This Row],[Quantity]]</f>
        <v>425.5</v>
      </c>
    </row>
    <row r="1178" spans="1:17" x14ac:dyDescent="0.3">
      <c r="A1178" t="s">
        <v>1436</v>
      </c>
      <c r="B1178">
        <v>8490</v>
      </c>
      <c r="C1178">
        <v>3485</v>
      </c>
      <c r="D1178">
        <v>3</v>
      </c>
      <c r="E1178" t="s">
        <v>13</v>
      </c>
      <c r="F1178" t="s">
        <v>82</v>
      </c>
      <c r="G1178" t="s">
        <v>47</v>
      </c>
      <c r="H1178" s="1">
        <v>45006</v>
      </c>
      <c r="I1178" t="s">
        <v>1437</v>
      </c>
      <c r="J1178" t="s">
        <v>25</v>
      </c>
      <c r="K1178" t="s">
        <v>51</v>
      </c>
      <c r="L1178" s="2" t="s">
        <v>245</v>
      </c>
      <c r="M1178" t="str">
        <f>TEXT(Table13[[#This Row],[Order Date]],"MMM")</f>
        <v>Mar</v>
      </c>
      <c r="N1178">
        <f>YEAR(Table13[[#This Row],[Order Date]])</f>
        <v>2023</v>
      </c>
      <c r="O1178" t="str">
        <f>"Q"&amp;ROUNDUP(MONTH(Table13[[#This Row],[Order Date]])/3,0)</f>
        <v>Q1</v>
      </c>
      <c r="P1178" s="5">
        <f>Table13[[#This Row],[Profit]]/Table13[[#This Row],[Amount]]</f>
        <v>0.41048292108362777</v>
      </c>
      <c r="Q1178" s="6">
        <f>Table13[[#This Row],[Amount]]/Table13[[#This Row],[Quantity]]</f>
        <v>2830</v>
      </c>
    </row>
    <row r="1179" spans="1:17" x14ac:dyDescent="0.3">
      <c r="A1179" t="s">
        <v>1438</v>
      </c>
      <c r="B1179">
        <v>2689</v>
      </c>
      <c r="C1179">
        <v>1330</v>
      </c>
      <c r="D1179">
        <v>3</v>
      </c>
      <c r="E1179" t="s">
        <v>45</v>
      </c>
      <c r="F1179" t="s">
        <v>46</v>
      </c>
      <c r="G1179" t="s">
        <v>15</v>
      </c>
      <c r="H1179" s="1">
        <v>44178</v>
      </c>
      <c r="I1179" t="s">
        <v>1439</v>
      </c>
      <c r="J1179" t="s">
        <v>42</v>
      </c>
      <c r="K1179" t="s">
        <v>43</v>
      </c>
      <c r="L1179" s="2" t="s">
        <v>287</v>
      </c>
      <c r="M1179" t="str">
        <f>TEXT(Table13[[#This Row],[Order Date]],"MMM")</f>
        <v>Dec</v>
      </c>
      <c r="N1179">
        <f>YEAR(Table13[[#This Row],[Order Date]])</f>
        <v>2020</v>
      </c>
      <c r="O1179" t="str">
        <f>"Q"&amp;ROUNDUP(MONTH(Table13[[#This Row],[Order Date]])/3,0)</f>
        <v>Q4</v>
      </c>
      <c r="P1179" s="5">
        <f>Table13[[#This Row],[Profit]]/Table13[[#This Row],[Amount]]</f>
        <v>0.49460766084046115</v>
      </c>
      <c r="Q1179" s="6">
        <f>Table13[[#This Row],[Amount]]/Table13[[#This Row],[Quantity]]</f>
        <v>896.33333333333337</v>
      </c>
    </row>
    <row r="1180" spans="1:17" x14ac:dyDescent="0.3">
      <c r="A1180" t="s">
        <v>1438</v>
      </c>
      <c r="B1180">
        <v>2689</v>
      </c>
      <c r="C1180">
        <v>1330</v>
      </c>
      <c r="D1180">
        <v>3</v>
      </c>
      <c r="E1180" t="s">
        <v>45</v>
      </c>
      <c r="F1180" t="s">
        <v>46</v>
      </c>
      <c r="G1180" t="s">
        <v>15</v>
      </c>
      <c r="H1180" s="1">
        <v>45441</v>
      </c>
      <c r="I1180" t="s">
        <v>1440</v>
      </c>
      <c r="J1180" t="s">
        <v>17</v>
      </c>
      <c r="K1180" t="s">
        <v>18</v>
      </c>
      <c r="L1180" s="2" t="s">
        <v>35</v>
      </c>
      <c r="M1180" t="str">
        <f>TEXT(Table13[[#This Row],[Order Date]],"MMM")</f>
        <v>May</v>
      </c>
      <c r="N1180">
        <f>YEAR(Table13[[#This Row],[Order Date]])</f>
        <v>2024</v>
      </c>
      <c r="O1180" t="str">
        <f>"Q"&amp;ROUNDUP(MONTH(Table13[[#This Row],[Order Date]])/3,0)</f>
        <v>Q2</v>
      </c>
      <c r="P1180" s="5">
        <f>Table13[[#This Row],[Profit]]/Table13[[#This Row],[Amount]]</f>
        <v>0.49460766084046115</v>
      </c>
      <c r="Q1180" s="6">
        <f>Table13[[#This Row],[Amount]]/Table13[[#This Row],[Quantity]]</f>
        <v>896.33333333333337</v>
      </c>
    </row>
    <row r="1181" spans="1:17" x14ac:dyDescent="0.3">
      <c r="A1181" t="s">
        <v>1441</v>
      </c>
      <c r="B1181">
        <v>815</v>
      </c>
      <c r="C1181">
        <v>54</v>
      </c>
      <c r="D1181">
        <v>14</v>
      </c>
      <c r="E1181" t="s">
        <v>45</v>
      </c>
      <c r="F1181" t="s">
        <v>46</v>
      </c>
      <c r="G1181" t="s">
        <v>32</v>
      </c>
      <c r="H1181" s="1">
        <v>44341</v>
      </c>
      <c r="I1181" t="s">
        <v>1442</v>
      </c>
      <c r="J1181" t="s">
        <v>42</v>
      </c>
      <c r="K1181" t="s">
        <v>92</v>
      </c>
      <c r="L1181" s="2" t="s">
        <v>108</v>
      </c>
      <c r="M1181" t="str">
        <f>TEXT(Table13[[#This Row],[Order Date]],"MMM")</f>
        <v>May</v>
      </c>
      <c r="N1181">
        <f>YEAR(Table13[[#This Row],[Order Date]])</f>
        <v>2021</v>
      </c>
      <c r="O1181" t="str">
        <f>"Q"&amp;ROUNDUP(MONTH(Table13[[#This Row],[Order Date]])/3,0)</f>
        <v>Q2</v>
      </c>
      <c r="P1181" s="5">
        <f>Table13[[#This Row],[Profit]]/Table13[[#This Row],[Amount]]</f>
        <v>6.6257668711656448E-2</v>
      </c>
      <c r="Q1181" s="6">
        <f>Table13[[#This Row],[Amount]]/Table13[[#This Row],[Quantity]]</f>
        <v>58.214285714285715</v>
      </c>
    </row>
    <row r="1182" spans="1:17" x14ac:dyDescent="0.3">
      <c r="A1182" t="s">
        <v>1443</v>
      </c>
      <c r="B1182">
        <v>5024</v>
      </c>
      <c r="C1182">
        <v>379</v>
      </c>
      <c r="D1182">
        <v>2</v>
      </c>
      <c r="E1182" t="s">
        <v>30</v>
      </c>
      <c r="F1182" t="s">
        <v>64</v>
      </c>
      <c r="G1182" t="s">
        <v>15</v>
      </c>
      <c r="H1182" s="1">
        <v>45384</v>
      </c>
      <c r="I1182" t="s">
        <v>1444</v>
      </c>
      <c r="J1182" t="s">
        <v>71</v>
      </c>
      <c r="K1182" t="s">
        <v>72</v>
      </c>
      <c r="L1182" s="2" t="s">
        <v>235</v>
      </c>
      <c r="M1182" t="str">
        <f>TEXT(Table13[[#This Row],[Order Date]],"MMM")</f>
        <v>Apr</v>
      </c>
      <c r="N1182">
        <f>YEAR(Table13[[#This Row],[Order Date]])</f>
        <v>2024</v>
      </c>
      <c r="O1182" t="str">
        <f>"Q"&amp;ROUNDUP(MONTH(Table13[[#This Row],[Order Date]])/3,0)</f>
        <v>Q2</v>
      </c>
      <c r="P1182" s="5">
        <f>Table13[[#This Row],[Profit]]/Table13[[#This Row],[Amount]]</f>
        <v>7.5437898089171979E-2</v>
      </c>
      <c r="Q1182" s="6">
        <f>Table13[[#This Row],[Amount]]/Table13[[#This Row],[Quantity]]</f>
        <v>2512</v>
      </c>
    </row>
    <row r="1183" spans="1:17" x14ac:dyDescent="0.3">
      <c r="A1183" t="s">
        <v>1443</v>
      </c>
      <c r="B1183">
        <v>5024</v>
      </c>
      <c r="C1183">
        <v>379</v>
      </c>
      <c r="D1183">
        <v>2</v>
      </c>
      <c r="E1183" t="s">
        <v>30</v>
      </c>
      <c r="F1183" t="s">
        <v>64</v>
      </c>
      <c r="G1183" t="s">
        <v>15</v>
      </c>
      <c r="H1183" s="1">
        <v>44898</v>
      </c>
      <c r="I1183" t="s">
        <v>1445</v>
      </c>
      <c r="J1183" t="s">
        <v>21</v>
      </c>
      <c r="K1183" t="s">
        <v>172</v>
      </c>
      <c r="L1183" s="2" t="s">
        <v>152</v>
      </c>
      <c r="M1183" t="str">
        <f>TEXT(Table13[[#This Row],[Order Date]],"MMM")</f>
        <v>Dec</v>
      </c>
      <c r="N1183">
        <f>YEAR(Table13[[#This Row],[Order Date]])</f>
        <v>2022</v>
      </c>
      <c r="O1183" t="str">
        <f>"Q"&amp;ROUNDUP(MONTH(Table13[[#This Row],[Order Date]])/3,0)</f>
        <v>Q4</v>
      </c>
      <c r="P1183" s="5">
        <f>Table13[[#This Row],[Profit]]/Table13[[#This Row],[Amount]]</f>
        <v>7.5437898089171979E-2</v>
      </c>
      <c r="Q1183" s="6">
        <f>Table13[[#This Row],[Amount]]/Table13[[#This Row],[Quantity]]</f>
        <v>2512</v>
      </c>
    </row>
    <row r="1184" spans="1:17" x14ac:dyDescent="0.3">
      <c r="A1184" t="s">
        <v>1446</v>
      </c>
      <c r="B1184">
        <v>8962</v>
      </c>
      <c r="C1184">
        <v>2444</v>
      </c>
      <c r="D1184">
        <v>18</v>
      </c>
      <c r="E1184" t="s">
        <v>13</v>
      </c>
      <c r="F1184" t="s">
        <v>14</v>
      </c>
      <c r="G1184" t="s">
        <v>32</v>
      </c>
      <c r="H1184" s="1">
        <v>44389</v>
      </c>
      <c r="I1184" t="s">
        <v>1447</v>
      </c>
      <c r="J1184" t="s">
        <v>98</v>
      </c>
      <c r="K1184" t="s">
        <v>117</v>
      </c>
      <c r="L1184" s="2" t="s">
        <v>27</v>
      </c>
      <c r="M1184" t="str">
        <f>TEXT(Table13[[#This Row],[Order Date]],"MMM")</f>
        <v>Jul</v>
      </c>
      <c r="N1184">
        <f>YEAR(Table13[[#This Row],[Order Date]])</f>
        <v>2021</v>
      </c>
      <c r="O1184" t="str">
        <f>"Q"&amp;ROUNDUP(MONTH(Table13[[#This Row],[Order Date]])/3,0)</f>
        <v>Q3</v>
      </c>
      <c r="P1184" s="5">
        <f>Table13[[#This Row],[Profit]]/Table13[[#This Row],[Amount]]</f>
        <v>0.27270698504798035</v>
      </c>
      <c r="Q1184" s="6">
        <f>Table13[[#This Row],[Amount]]/Table13[[#This Row],[Quantity]]</f>
        <v>497.88888888888891</v>
      </c>
    </row>
    <row r="1185" spans="1:17" x14ac:dyDescent="0.3">
      <c r="A1185" t="s">
        <v>1446</v>
      </c>
      <c r="B1185">
        <v>8962</v>
      </c>
      <c r="C1185">
        <v>2444</v>
      </c>
      <c r="D1185">
        <v>18</v>
      </c>
      <c r="E1185" t="s">
        <v>13</v>
      </c>
      <c r="F1185" t="s">
        <v>14</v>
      </c>
      <c r="G1185" t="s">
        <v>32</v>
      </c>
      <c r="H1185" s="1">
        <v>43912</v>
      </c>
      <c r="I1185" t="s">
        <v>1448</v>
      </c>
      <c r="J1185" t="s">
        <v>21</v>
      </c>
      <c r="K1185" t="s">
        <v>172</v>
      </c>
      <c r="L1185" s="2" t="s">
        <v>55</v>
      </c>
      <c r="M1185" t="str">
        <f>TEXT(Table13[[#This Row],[Order Date]],"MMM")</f>
        <v>Mar</v>
      </c>
      <c r="N1185">
        <f>YEAR(Table13[[#This Row],[Order Date]])</f>
        <v>2020</v>
      </c>
      <c r="O1185" t="str">
        <f>"Q"&amp;ROUNDUP(MONTH(Table13[[#This Row],[Order Date]])/3,0)</f>
        <v>Q1</v>
      </c>
      <c r="P1185" s="5">
        <f>Table13[[#This Row],[Profit]]/Table13[[#This Row],[Amount]]</f>
        <v>0.27270698504798035</v>
      </c>
      <c r="Q1185" s="6">
        <f>Table13[[#This Row],[Amount]]/Table13[[#This Row],[Quantity]]</f>
        <v>497.88888888888891</v>
      </c>
    </row>
    <row r="1186" spans="1:17" x14ac:dyDescent="0.3">
      <c r="A1186" t="s">
        <v>1449</v>
      </c>
      <c r="B1186">
        <v>1961</v>
      </c>
      <c r="C1186">
        <v>59</v>
      </c>
      <c r="D1186">
        <v>12</v>
      </c>
      <c r="E1186" t="s">
        <v>30</v>
      </c>
      <c r="F1186" t="s">
        <v>78</v>
      </c>
      <c r="G1186" t="s">
        <v>15</v>
      </c>
      <c r="H1186" s="1">
        <v>44052</v>
      </c>
      <c r="I1186" t="s">
        <v>1450</v>
      </c>
      <c r="J1186" t="s">
        <v>17</v>
      </c>
      <c r="K1186" t="s">
        <v>34</v>
      </c>
      <c r="L1186" s="2" t="s">
        <v>185</v>
      </c>
      <c r="M1186" t="str">
        <f>TEXT(Table13[[#This Row],[Order Date]],"MMM")</f>
        <v>Aug</v>
      </c>
      <c r="N1186">
        <f>YEAR(Table13[[#This Row],[Order Date]])</f>
        <v>2020</v>
      </c>
      <c r="O1186" t="str">
        <f>"Q"&amp;ROUNDUP(MONTH(Table13[[#This Row],[Order Date]])/3,0)</f>
        <v>Q3</v>
      </c>
      <c r="P1186" s="5">
        <f>Table13[[#This Row],[Profit]]/Table13[[#This Row],[Amount]]</f>
        <v>3.0086690464048955E-2</v>
      </c>
      <c r="Q1186" s="6">
        <f>Table13[[#This Row],[Amount]]/Table13[[#This Row],[Quantity]]</f>
        <v>163.41666666666666</v>
      </c>
    </row>
    <row r="1187" spans="1:17" x14ac:dyDescent="0.3">
      <c r="A1187" t="s">
        <v>1451</v>
      </c>
      <c r="B1187">
        <v>526</v>
      </c>
      <c r="C1187">
        <v>83</v>
      </c>
      <c r="D1187">
        <v>4</v>
      </c>
      <c r="E1187" t="s">
        <v>45</v>
      </c>
      <c r="F1187" t="s">
        <v>60</v>
      </c>
      <c r="G1187" t="s">
        <v>47</v>
      </c>
      <c r="H1187" s="1">
        <v>44610</v>
      </c>
      <c r="I1187" t="s">
        <v>1452</v>
      </c>
      <c r="J1187" t="s">
        <v>21</v>
      </c>
      <c r="K1187" t="s">
        <v>22</v>
      </c>
      <c r="L1187" s="2" t="s">
        <v>137</v>
      </c>
      <c r="M1187" t="str">
        <f>TEXT(Table13[[#This Row],[Order Date]],"MMM")</f>
        <v>Feb</v>
      </c>
      <c r="N1187">
        <f>YEAR(Table13[[#This Row],[Order Date]])</f>
        <v>2022</v>
      </c>
      <c r="O1187" t="str">
        <f>"Q"&amp;ROUNDUP(MONTH(Table13[[#This Row],[Order Date]])/3,0)</f>
        <v>Q1</v>
      </c>
      <c r="P1187" s="5">
        <f>Table13[[#This Row],[Profit]]/Table13[[#This Row],[Amount]]</f>
        <v>0.15779467680608364</v>
      </c>
      <c r="Q1187" s="6">
        <f>Table13[[#This Row],[Amount]]/Table13[[#This Row],[Quantity]]</f>
        <v>131.5</v>
      </c>
    </row>
    <row r="1188" spans="1:17" x14ac:dyDescent="0.3">
      <c r="A1188" t="s">
        <v>1453</v>
      </c>
      <c r="B1188">
        <v>6093</v>
      </c>
      <c r="C1188">
        <v>3042</v>
      </c>
      <c r="D1188">
        <v>9</v>
      </c>
      <c r="E1188" t="s">
        <v>45</v>
      </c>
      <c r="F1188" t="s">
        <v>109</v>
      </c>
      <c r="G1188" t="s">
        <v>32</v>
      </c>
      <c r="H1188" s="1">
        <v>44361</v>
      </c>
      <c r="I1188" t="s">
        <v>1454</v>
      </c>
      <c r="J1188" t="s">
        <v>42</v>
      </c>
      <c r="K1188" t="s">
        <v>92</v>
      </c>
      <c r="L1188" s="2" t="s">
        <v>125</v>
      </c>
      <c r="M1188" t="str">
        <f>TEXT(Table13[[#This Row],[Order Date]],"MMM")</f>
        <v>Jun</v>
      </c>
      <c r="N1188">
        <f>YEAR(Table13[[#This Row],[Order Date]])</f>
        <v>2021</v>
      </c>
      <c r="O1188" t="str">
        <f>"Q"&amp;ROUNDUP(MONTH(Table13[[#This Row],[Order Date]])/3,0)</f>
        <v>Q2</v>
      </c>
      <c r="P1188" s="5">
        <f>Table13[[#This Row],[Profit]]/Table13[[#This Row],[Amount]]</f>
        <v>0.49926144756277696</v>
      </c>
      <c r="Q1188" s="6">
        <f>Table13[[#This Row],[Amount]]/Table13[[#This Row],[Quantity]]</f>
        <v>677</v>
      </c>
    </row>
    <row r="1189" spans="1:17" x14ac:dyDescent="0.3">
      <c r="A1189" t="s">
        <v>1453</v>
      </c>
      <c r="B1189">
        <v>6093</v>
      </c>
      <c r="C1189">
        <v>3042</v>
      </c>
      <c r="D1189">
        <v>9</v>
      </c>
      <c r="E1189" t="s">
        <v>45</v>
      </c>
      <c r="F1189" t="s">
        <v>109</v>
      </c>
      <c r="G1189" t="s">
        <v>32</v>
      </c>
      <c r="H1189" s="1">
        <v>44256</v>
      </c>
      <c r="I1189" t="s">
        <v>1455</v>
      </c>
      <c r="J1189" t="s">
        <v>42</v>
      </c>
      <c r="K1189" t="s">
        <v>75</v>
      </c>
      <c r="L1189" s="2" t="s">
        <v>167</v>
      </c>
      <c r="M1189" t="str">
        <f>TEXT(Table13[[#This Row],[Order Date]],"MMM")</f>
        <v>Mar</v>
      </c>
      <c r="N1189">
        <f>YEAR(Table13[[#This Row],[Order Date]])</f>
        <v>2021</v>
      </c>
      <c r="O1189" t="str">
        <f>"Q"&amp;ROUNDUP(MONTH(Table13[[#This Row],[Order Date]])/3,0)</f>
        <v>Q1</v>
      </c>
      <c r="P1189" s="5">
        <f>Table13[[#This Row],[Profit]]/Table13[[#This Row],[Amount]]</f>
        <v>0.49926144756277696</v>
      </c>
      <c r="Q1189" s="6">
        <f>Table13[[#This Row],[Amount]]/Table13[[#This Row],[Quantity]]</f>
        <v>677</v>
      </c>
    </row>
    <row r="1190" spans="1:17" x14ac:dyDescent="0.3">
      <c r="A1190" t="s">
        <v>1456</v>
      </c>
      <c r="B1190">
        <v>7699</v>
      </c>
      <c r="C1190">
        <v>246</v>
      </c>
      <c r="D1190">
        <v>5</v>
      </c>
      <c r="E1190" t="s">
        <v>13</v>
      </c>
      <c r="F1190" t="s">
        <v>14</v>
      </c>
      <c r="G1190" t="s">
        <v>32</v>
      </c>
      <c r="H1190" s="1">
        <v>45192</v>
      </c>
      <c r="I1190" t="s">
        <v>1457</v>
      </c>
      <c r="J1190" t="s">
        <v>71</v>
      </c>
      <c r="K1190" t="s">
        <v>86</v>
      </c>
      <c r="L1190" s="2" t="s">
        <v>273</v>
      </c>
      <c r="M1190" t="str">
        <f>TEXT(Table13[[#This Row],[Order Date]],"MMM")</f>
        <v>Sep</v>
      </c>
      <c r="N1190">
        <f>YEAR(Table13[[#This Row],[Order Date]])</f>
        <v>2023</v>
      </c>
      <c r="O1190" t="str">
        <f>"Q"&amp;ROUNDUP(MONTH(Table13[[#This Row],[Order Date]])/3,0)</f>
        <v>Q3</v>
      </c>
      <c r="P1190" s="5">
        <f>Table13[[#This Row],[Profit]]/Table13[[#This Row],[Amount]]</f>
        <v>3.1952201584621379E-2</v>
      </c>
      <c r="Q1190" s="6">
        <f>Table13[[#This Row],[Amount]]/Table13[[#This Row],[Quantity]]</f>
        <v>1539.8</v>
      </c>
    </row>
    <row r="1191" spans="1:17" x14ac:dyDescent="0.3">
      <c r="A1191" t="s">
        <v>1458</v>
      </c>
      <c r="B1191">
        <v>8825</v>
      </c>
      <c r="C1191">
        <v>3594</v>
      </c>
      <c r="D1191">
        <v>15</v>
      </c>
      <c r="E1191" t="s">
        <v>45</v>
      </c>
      <c r="F1191" t="s">
        <v>46</v>
      </c>
      <c r="G1191" t="s">
        <v>32</v>
      </c>
      <c r="H1191" s="1">
        <v>45504</v>
      </c>
      <c r="I1191" t="s">
        <v>1459</v>
      </c>
      <c r="J1191" t="s">
        <v>25</v>
      </c>
      <c r="K1191" t="s">
        <v>51</v>
      </c>
      <c r="L1191" s="2" t="s">
        <v>215</v>
      </c>
      <c r="M1191" t="str">
        <f>TEXT(Table13[[#This Row],[Order Date]],"MMM")</f>
        <v>Jul</v>
      </c>
      <c r="N1191">
        <f>YEAR(Table13[[#This Row],[Order Date]])</f>
        <v>2024</v>
      </c>
      <c r="O1191" t="str">
        <f>"Q"&amp;ROUNDUP(MONTH(Table13[[#This Row],[Order Date]])/3,0)</f>
        <v>Q3</v>
      </c>
      <c r="P1191" s="5">
        <f>Table13[[#This Row],[Profit]]/Table13[[#This Row],[Amount]]</f>
        <v>0.40725212464589233</v>
      </c>
      <c r="Q1191" s="6">
        <f>Table13[[#This Row],[Amount]]/Table13[[#This Row],[Quantity]]</f>
        <v>588.33333333333337</v>
      </c>
    </row>
    <row r="1192" spans="1:17" x14ac:dyDescent="0.3">
      <c r="A1192" t="s">
        <v>1460</v>
      </c>
      <c r="B1192">
        <v>2082</v>
      </c>
      <c r="C1192">
        <v>642</v>
      </c>
      <c r="D1192">
        <v>8</v>
      </c>
      <c r="E1192" t="s">
        <v>13</v>
      </c>
      <c r="F1192" t="s">
        <v>82</v>
      </c>
      <c r="G1192" t="s">
        <v>40</v>
      </c>
      <c r="H1192" s="1">
        <v>43984</v>
      </c>
      <c r="I1192" t="s">
        <v>1461</v>
      </c>
      <c r="J1192" t="s">
        <v>25</v>
      </c>
      <c r="K1192" t="s">
        <v>68</v>
      </c>
      <c r="L1192" s="2" t="s">
        <v>313</v>
      </c>
      <c r="M1192" t="str">
        <f>TEXT(Table13[[#This Row],[Order Date]],"MMM")</f>
        <v>Jun</v>
      </c>
      <c r="N1192">
        <f>YEAR(Table13[[#This Row],[Order Date]])</f>
        <v>2020</v>
      </c>
      <c r="O1192" t="str">
        <f>"Q"&amp;ROUNDUP(MONTH(Table13[[#This Row],[Order Date]])/3,0)</f>
        <v>Q2</v>
      </c>
      <c r="P1192" s="5">
        <f>Table13[[#This Row],[Profit]]/Table13[[#This Row],[Amount]]</f>
        <v>0.30835734870317005</v>
      </c>
      <c r="Q1192" s="6">
        <f>Table13[[#This Row],[Amount]]/Table13[[#This Row],[Quantity]]</f>
        <v>260.25</v>
      </c>
    </row>
    <row r="1193" spans="1:17" x14ac:dyDescent="0.3">
      <c r="A1193" t="s">
        <v>1460</v>
      </c>
      <c r="B1193">
        <v>2082</v>
      </c>
      <c r="C1193">
        <v>642</v>
      </c>
      <c r="D1193">
        <v>8</v>
      </c>
      <c r="E1193" t="s">
        <v>13</v>
      </c>
      <c r="F1193" t="s">
        <v>82</v>
      </c>
      <c r="G1193" t="s">
        <v>40</v>
      </c>
      <c r="H1193" s="1">
        <v>44910</v>
      </c>
      <c r="I1193" t="s">
        <v>1462</v>
      </c>
      <c r="J1193" t="s">
        <v>71</v>
      </c>
      <c r="K1193" t="s">
        <v>86</v>
      </c>
      <c r="L1193" s="2" t="s">
        <v>152</v>
      </c>
      <c r="M1193" t="str">
        <f>TEXT(Table13[[#This Row],[Order Date]],"MMM")</f>
        <v>Dec</v>
      </c>
      <c r="N1193">
        <f>YEAR(Table13[[#This Row],[Order Date]])</f>
        <v>2022</v>
      </c>
      <c r="O1193" t="str">
        <f>"Q"&amp;ROUNDUP(MONTH(Table13[[#This Row],[Order Date]])/3,0)</f>
        <v>Q4</v>
      </c>
      <c r="P1193" s="5">
        <f>Table13[[#This Row],[Profit]]/Table13[[#This Row],[Amount]]</f>
        <v>0.30835734870317005</v>
      </c>
      <c r="Q1193" s="6">
        <f>Table13[[#This Row],[Amount]]/Table13[[#This Row],[Quantity]]</f>
        <v>260.25</v>
      </c>
    </row>
    <row r="1194" spans="1:17" x14ac:dyDescent="0.3">
      <c r="A1194" t="s">
        <v>1460</v>
      </c>
      <c r="B1194">
        <v>2082</v>
      </c>
      <c r="C1194">
        <v>642</v>
      </c>
      <c r="D1194">
        <v>8</v>
      </c>
      <c r="E1194" t="s">
        <v>13</v>
      </c>
      <c r="F1194" t="s">
        <v>82</v>
      </c>
      <c r="G1194" t="s">
        <v>40</v>
      </c>
      <c r="H1194" s="1">
        <v>44050</v>
      </c>
      <c r="I1194" t="s">
        <v>1463</v>
      </c>
      <c r="J1194" t="s">
        <v>25</v>
      </c>
      <c r="K1194" t="s">
        <v>26</v>
      </c>
      <c r="L1194" s="2" t="s">
        <v>185</v>
      </c>
      <c r="M1194" t="str">
        <f>TEXT(Table13[[#This Row],[Order Date]],"MMM")</f>
        <v>Aug</v>
      </c>
      <c r="N1194">
        <f>YEAR(Table13[[#This Row],[Order Date]])</f>
        <v>2020</v>
      </c>
      <c r="O1194" t="str">
        <f>"Q"&amp;ROUNDUP(MONTH(Table13[[#This Row],[Order Date]])/3,0)</f>
        <v>Q3</v>
      </c>
      <c r="P1194" s="5">
        <f>Table13[[#This Row],[Profit]]/Table13[[#This Row],[Amount]]</f>
        <v>0.30835734870317005</v>
      </c>
      <c r="Q1194" s="6">
        <f>Table13[[#This Row],[Amount]]/Table13[[#This Row],[Quantity]]</f>
        <v>260.25</v>
      </c>
    </row>
    <row r="1195" spans="1:17" x14ac:dyDescent="0.3">
      <c r="A1195" t="s">
        <v>1464</v>
      </c>
      <c r="B1195">
        <v>914</v>
      </c>
      <c r="C1195">
        <v>163</v>
      </c>
      <c r="D1195">
        <v>13</v>
      </c>
      <c r="E1195" t="s">
        <v>30</v>
      </c>
      <c r="F1195" t="s">
        <v>57</v>
      </c>
      <c r="G1195" t="s">
        <v>15</v>
      </c>
      <c r="H1195" s="1">
        <v>45591</v>
      </c>
      <c r="I1195" t="s">
        <v>1465</v>
      </c>
      <c r="J1195" t="s">
        <v>21</v>
      </c>
      <c r="K1195" t="s">
        <v>22</v>
      </c>
      <c r="L1195" s="2" t="s">
        <v>360</v>
      </c>
      <c r="M1195" t="str">
        <f>TEXT(Table13[[#This Row],[Order Date]],"MMM")</f>
        <v>Oct</v>
      </c>
      <c r="N1195">
        <f>YEAR(Table13[[#This Row],[Order Date]])</f>
        <v>2024</v>
      </c>
      <c r="O1195" t="str">
        <f>"Q"&amp;ROUNDUP(MONTH(Table13[[#This Row],[Order Date]])/3,0)</f>
        <v>Q4</v>
      </c>
      <c r="P1195" s="5">
        <f>Table13[[#This Row],[Profit]]/Table13[[#This Row],[Amount]]</f>
        <v>0.17833698030634573</v>
      </c>
      <c r="Q1195" s="6">
        <f>Table13[[#This Row],[Amount]]/Table13[[#This Row],[Quantity]]</f>
        <v>70.307692307692307</v>
      </c>
    </row>
    <row r="1197" spans="1:17" x14ac:dyDescent="0.3">
      <c r="B1197">
        <f>SUM(Table13[Amount])</f>
        <v>6182639</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AF471-805A-4EBD-9783-8CE65AEADF73}">
  <dimension ref="A3:J20"/>
  <sheetViews>
    <sheetView workbookViewId="0">
      <selection activeCell="H8" sqref="H8"/>
    </sheetView>
  </sheetViews>
  <sheetFormatPr defaultRowHeight="14.4" x14ac:dyDescent="0.3"/>
  <cols>
    <col min="1" max="1" width="14.88671875" bestFit="1" customWidth="1"/>
    <col min="4" max="4" width="16.6640625" bestFit="1" customWidth="1"/>
    <col min="8" max="8" width="14.6640625" bestFit="1" customWidth="1"/>
  </cols>
  <sheetData>
    <row r="3" spans="1:8" x14ac:dyDescent="0.3">
      <c r="A3" t="s">
        <v>1474</v>
      </c>
      <c r="D3" t="s">
        <v>1478</v>
      </c>
    </row>
    <row r="4" spans="1:8" x14ac:dyDescent="0.3">
      <c r="A4">
        <v>6182639</v>
      </c>
      <c r="D4">
        <f>SUM(Table13[Amount])</f>
        <v>6182639</v>
      </c>
      <c r="E4" t="str">
        <f ca="1">_xlfn.FORMULATEXT(D4)</f>
        <v>=SUM(Table13[Amount])</v>
      </c>
      <c r="H4" s="10">
        <f>GETPIVOTDATA("Amount",$A$3)</f>
        <v>6182639</v>
      </c>
    </row>
    <row r="7" spans="1:8" x14ac:dyDescent="0.3">
      <c r="A7" t="s">
        <v>1475</v>
      </c>
      <c r="D7" t="s">
        <v>1479</v>
      </c>
    </row>
    <row r="8" spans="1:8" x14ac:dyDescent="0.3">
      <c r="A8">
        <v>1610697</v>
      </c>
      <c r="D8">
        <f>SUM(Table13[Profit])</f>
        <v>1610697</v>
      </c>
      <c r="E8" t="str">
        <f t="shared" ref="E8:E20" ca="1" si="0">_xlfn.FORMULATEXT(D8)</f>
        <v>=SUM(Table13[Profit])</v>
      </c>
      <c r="H8" s="10">
        <f>GETPIVOTDATA("Profit",$A$7)</f>
        <v>1610697</v>
      </c>
    </row>
    <row r="11" spans="1:8" x14ac:dyDescent="0.3">
      <c r="A11" t="s">
        <v>1476</v>
      </c>
      <c r="D11" t="s">
        <v>1480</v>
      </c>
    </row>
    <row r="12" spans="1:8" x14ac:dyDescent="0.3">
      <c r="A12">
        <v>1194</v>
      </c>
      <c r="D12">
        <f>COUNTA(Table13[Order ID])</f>
        <v>1194</v>
      </c>
      <c r="E12" t="str">
        <f t="shared" ca="1" si="0"/>
        <v>=COUNTA(Table13[Order ID])</v>
      </c>
      <c r="H12">
        <f>GETPIVOTDATA("Order ID",$A$11)</f>
        <v>1194</v>
      </c>
    </row>
    <row r="15" spans="1:8" x14ac:dyDescent="0.3">
      <c r="A15" t="s">
        <v>1477</v>
      </c>
      <c r="D15" t="s">
        <v>1481</v>
      </c>
    </row>
    <row r="16" spans="1:8" x14ac:dyDescent="0.3">
      <c r="A16">
        <v>12745</v>
      </c>
      <c r="D16">
        <f>SUM(Table13[Quantity])</f>
        <v>12745</v>
      </c>
      <c r="E16" t="str">
        <f t="shared" ca="1" si="0"/>
        <v>=SUM(Table13[Quantity])</v>
      </c>
      <c r="H16">
        <f>GETPIVOTDATA("Quantity",$A$15)</f>
        <v>12745</v>
      </c>
    </row>
    <row r="19" spans="1:10" x14ac:dyDescent="0.3">
      <c r="A19" t="s">
        <v>1495</v>
      </c>
      <c r="D19" t="s">
        <v>1482</v>
      </c>
    </row>
    <row r="20" spans="1:10" x14ac:dyDescent="0.3">
      <c r="A20" s="5">
        <v>0.26057091901346607</v>
      </c>
      <c r="D20" s="5">
        <f>SUM(Table13[Profit])/SUM(Table13[Amount])</f>
        <v>0.26051933486655132</v>
      </c>
      <c r="E20" t="str">
        <f t="shared" ca="1" si="0"/>
        <v>=SUM(Table13[Profit])/SUM(Table13[Amount])</v>
      </c>
      <c r="J20" s="9">
        <f>GETPIVOTDATA("Profit Margin(%)",$A$19)</f>
        <v>0.26057091901346607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A7AFD-3A21-421B-8C15-80CBA9E0FF55}">
  <dimension ref="A3:P101"/>
  <sheetViews>
    <sheetView topLeftCell="A10" workbookViewId="0">
      <selection activeCell="N7" sqref="N7"/>
    </sheetView>
  </sheetViews>
  <sheetFormatPr defaultRowHeight="14.4" x14ac:dyDescent="0.3"/>
  <cols>
    <col min="1" max="1" width="13.109375" bestFit="1" customWidth="1"/>
    <col min="2" max="2" width="14.44140625" bestFit="1" customWidth="1"/>
    <col min="15" max="15" width="12.5546875" bestFit="1" customWidth="1"/>
    <col min="16" max="16" width="12.109375" bestFit="1" customWidth="1"/>
  </cols>
  <sheetData>
    <row r="3" spans="1:16" x14ac:dyDescent="0.3">
      <c r="A3" s="3" t="s">
        <v>1466</v>
      </c>
      <c r="B3" t="s">
        <v>1474</v>
      </c>
      <c r="O3" s="3" t="s">
        <v>1466</v>
      </c>
      <c r="P3" t="s">
        <v>1475</v>
      </c>
    </row>
    <row r="4" spans="1:16" x14ac:dyDescent="0.3">
      <c r="A4" s="4" t="s">
        <v>1491</v>
      </c>
      <c r="B4">
        <v>392678</v>
      </c>
      <c r="O4" s="4" t="s">
        <v>1491</v>
      </c>
      <c r="P4">
        <v>110381</v>
      </c>
    </row>
    <row r="5" spans="1:16" x14ac:dyDescent="0.3">
      <c r="A5" s="4" t="s">
        <v>1490</v>
      </c>
      <c r="B5">
        <v>450672</v>
      </c>
      <c r="O5" s="4" t="s">
        <v>1490</v>
      </c>
      <c r="P5">
        <v>118941</v>
      </c>
    </row>
    <row r="6" spans="1:16" x14ac:dyDescent="0.3">
      <c r="A6" s="4" t="s">
        <v>1489</v>
      </c>
      <c r="B6">
        <v>497247</v>
      </c>
      <c r="O6" s="4" t="s">
        <v>1489</v>
      </c>
      <c r="P6">
        <v>152739</v>
      </c>
    </row>
    <row r="7" spans="1:16" x14ac:dyDescent="0.3">
      <c r="A7" s="4" t="s">
        <v>1494</v>
      </c>
      <c r="B7">
        <v>567882</v>
      </c>
      <c r="O7" s="4" t="s">
        <v>1494</v>
      </c>
      <c r="P7">
        <v>139373</v>
      </c>
    </row>
    <row r="8" spans="1:16" x14ac:dyDescent="0.3">
      <c r="A8" s="4" t="s">
        <v>1486</v>
      </c>
      <c r="B8">
        <v>581943</v>
      </c>
      <c r="O8" s="4" t="s">
        <v>1486</v>
      </c>
      <c r="P8">
        <v>129629</v>
      </c>
    </row>
    <row r="9" spans="1:16" x14ac:dyDescent="0.3">
      <c r="A9" s="4" t="s">
        <v>1483</v>
      </c>
      <c r="B9">
        <v>529028</v>
      </c>
      <c r="O9" s="4" t="s">
        <v>1483</v>
      </c>
      <c r="P9">
        <v>141845</v>
      </c>
    </row>
    <row r="10" spans="1:16" x14ac:dyDescent="0.3">
      <c r="A10" s="4" t="s">
        <v>1485</v>
      </c>
      <c r="B10">
        <v>497410</v>
      </c>
      <c r="O10" s="4" t="s">
        <v>1485</v>
      </c>
      <c r="P10">
        <v>132117</v>
      </c>
    </row>
    <row r="11" spans="1:16" x14ac:dyDescent="0.3">
      <c r="A11" s="4" t="s">
        <v>1492</v>
      </c>
      <c r="B11">
        <v>517830</v>
      </c>
      <c r="O11" s="4" t="s">
        <v>1492</v>
      </c>
      <c r="P11">
        <v>143289</v>
      </c>
    </row>
    <row r="12" spans="1:16" x14ac:dyDescent="0.3">
      <c r="A12" s="4" t="s">
        <v>1493</v>
      </c>
      <c r="B12">
        <v>408236</v>
      </c>
      <c r="O12" s="4" t="s">
        <v>1493</v>
      </c>
      <c r="P12">
        <v>111244</v>
      </c>
    </row>
    <row r="13" spans="1:16" x14ac:dyDescent="0.3">
      <c r="A13" s="4" t="s">
        <v>1487</v>
      </c>
      <c r="B13">
        <v>632521</v>
      </c>
      <c r="O13" s="4" t="s">
        <v>1487</v>
      </c>
      <c r="P13">
        <v>155154</v>
      </c>
    </row>
    <row r="14" spans="1:16" x14ac:dyDescent="0.3">
      <c r="A14" s="4" t="s">
        <v>1488</v>
      </c>
      <c r="B14">
        <v>451814</v>
      </c>
      <c r="O14" s="4" t="s">
        <v>1488</v>
      </c>
      <c r="P14">
        <v>116169</v>
      </c>
    </row>
    <row r="15" spans="1:16" x14ac:dyDescent="0.3">
      <c r="A15" s="4" t="s">
        <v>1484</v>
      </c>
      <c r="B15">
        <v>655378</v>
      </c>
      <c r="O15" s="4" t="s">
        <v>1484</v>
      </c>
      <c r="P15">
        <v>159816</v>
      </c>
    </row>
    <row r="16" spans="1:16" x14ac:dyDescent="0.3">
      <c r="A16" s="4" t="s">
        <v>1467</v>
      </c>
      <c r="B16">
        <v>6182639</v>
      </c>
      <c r="O16" s="4" t="s">
        <v>1467</v>
      </c>
      <c r="P16">
        <v>1610697</v>
      </c>
    </row>
    <row r="20" spans="1:2" x14ac:dyDescent="0.3">
      <c r="A20" s="3" t="s">
        <v>1466</v>
      </c>
      <c r="B20" t="s">
        <v>1474</v>
      </c>
    </row>
    <row r="21" spans="1:2" x14ac:dyDescent="0.3">
      <c r="A21" s="4" t="s">
        <v>13</v>
      </c>
      <c r="B21">
        <v>2054456</v>
      </c>
    </row>
    <row r="22" spans="1:2" x14ac:dyDescent="0.3">
      <c r="A22" s="4" t="s">
        <v>45</v>
      </c>
      <c r="B22">
        <v>2038673</v>
      </c>
    </row>
    <row r="23" spans="1:2" x14ac:dyDescent="0.3">
      <c r="A23" s="4" t="s">
        <v>30</v>
      </c>
      <c r="B23">
        <v>2089510</v>
      </c>
    </row>
    <row r="24" spans="1:2" x14ac:dyDescent="0.3">
      <c r="A24" s="4" t="s">
        <v>1467</v>
      </c>
      <c r="B24">
        <v>6182639</v>
      </c>
    </row>
    <row r="33" spans="1:5" x14ac:dyDescent="0.3">
      <c r="A33" s="3" t="s">
        <v>1466</v>
      </c>
      <c r="B33" t="s">
        <v>1475</v>
      </c>
    </row>
    <row r="34" spans="1:5" x14ac:dyDescent="0.3">
      <c r="A34" s="4" t="s">
        <v>13</v>
      </c>
      <c r="B34">
        <v>518580</v>
      </c>
    </row>
    <row r="35" spans="1:5" x14ac:dyDescent="0.3">
      <c r="A35" s="4" t="s">
        <v>45</v>
      </c>
      <c r="B35">
        <v>540542</v>
      </c>
    </row>
    <row r="36" spans="1:5" x14ac:dyDescent="0.3">
      <c r="A36" s="4" t="s">
        <v>30</v>
      </c>
      <c r="B36">
        <v>551575</v>
      </c>
    </row>
    <row r="37" spans="1:5" x14ac:dyDescent="0.3">
      <c r="A37" s="4" t="s">
        <v>1467</v>
      </c>
      <c r="B37">
        <v>1610697</v>
      </c>
    </row>
    <row r="45" spans="1:5" x14ac:dyDescent="0.3">
      <c r="A45" s="3" t="s">
        <v>1466</v>
      </c>
      <c r="B45" t="s">
        <v>1474</v>
      </c>
      <c r="D45" t="s">
        <v>1466</v>
      </c>
      <c r="E45" t="s">
        <v>1474</v>
      </c>
    </row>
    <row r="46" spans="1:5" x14ac:dyDescent="0.3">
      <c r="A46" s="4" t="s">
        <v>42</v>
      </c>
      <c r="B46">
        <v>1086436</v>
      </c>
      <c r="D46" t="s">
        <v>42</v>
      </c>
      <c r="E46">
        <v>1086436</v>
      </c>
    </row>
    <row r="47" spans="1:5" x14ac:dyDescent="0.3">
      <c r="A47" s="4" t="s">
        <v>17</v>
      </c>
      <c r="B47">
        <v>1091174</v>
      </c>
      <c r="D47" t="s">
        <v>17</v>
      </c>
      <c r="E47">
        <v>1091174</v>
      </c>
    </row>
    <row r="48" spans="1:5" x14ac:dyDescent="0.3">
      <c r="A48" s="4" t="s">
        <v>21</v>
      </c>
      <c r="B48">
        <v>978738</v>
      </c>
      <c r="D48" t="s">
        <v>21</v>
      </c>
      <c r="E48">
        <v>978738</v>
      </c>
    </row>
    <row r="49" spans="1:5" x14ac:dyDescent="0.3">
      <c r="A49" s="4" t="s">
        <v>25</v>
      </c>
      <c r="B49">
        <v>1129323</v>
      </c>
      <c r="D49" t="s">
        <v>25</v>
      </c>
      <c r="E49">
        <v>1129323</v>
      </c>
    </row>
    <row r="50" spans="1:5" x14ac:dyDescent="0.3">
      <c r="A50" s="4" t="s">
        <v>1473</v>
      </c>
      <c r="B50">
        <v>725</v>
      </c>
      <c r="D50" t="s">
        <v>1473</v>
      </c>
      <c r="E50">
        <v>725</v>
      </c>
    </row>
    <row r="51" spans="1:5" x14ac:dyDescent="0.3">
      <c r="A51" s="4" t="s">
        <v>98</v>
      </c>
      <c r="B51">
        <v>884768</v>
      </c>
      <c r="D51" t="s">
        <v>98</v>
      </c>
      <c r="E51">
        <v>884768</v>
      </c>
    </row>
    <row r="52" spans="1:5" x14ac:dyDescent="0.3">
      <c r="A52" s="4" t="s">
        <v>71</v>
      </c>
      <c r="B52">
        <v>1011475</v>
      </c>
      <c r="D52" t="s">
        <v>71</v>
      </c>
      <c r="E52">
        <v>1011475</v>
      </c>
    </row>
    <row r="53" spans="1:5" x14ac:dyDescent="0.3">
      <c r="A53" s="4" t="s">
        <v>1467</v>
      </c>
      <c r="B53">
        <v>6182639</v>
      </c>
      <c r="D53" t="s">
        <v>1467</v>
      </c>
      <c r="E53">
        <v>6182639</v>
      </c>
    </row>
    <row r="59" spans="1:5" x14ac:dyDescent="0.3">
      <c r="A59" s="3" t="s">
        <v>1466</v>
      </c>
      <c r="B59" t="s">
        <v>1476</v>
      </c>
    </row>
    <row r="60" spans="1:5" x14ac:dyDescent="0.3">
      <c r="A60" s="4" t="s">
        <v>65</v>
      </c>
      <c r="B60">
        <v>206</v>
      </c>
    </row>
    <row r="61" spans="1:5" x14ac:dyDescent="0.3">
      <c r="A61" s="4" t="s">
        <v>47</v>
      </c>
      <c r="B61">
        <v>258</v>
      </c>
    </row>
    <row r="62" spans="1:5" x14ac:dyDescent="0.3">
      <c r="A62" s="4" t="s">
        <v>32</v>
      </c>
      <c r="B62">
        <v>260</v>
      </c>
    </row>
    <row r="63" spans="1:5" x14ac:dyDescent="0.3">
      <c r="A63" s="4" t="s">
        <v>40</v>
      </c>
      <c r="B63">
        <v>218</v>
      </c>
    </row>
    <row r="64" spans="1:5" x14ac:dyDescent="0.3">
      <c r="A64" s="4" t="s">
        <v>15</v>
      </c>
      <c r="B64">
        <v>252</v>
      </c>
    </row>
    <row r="65" spans="1:2" x14ac:dyDescent="0.3">
      <c r="A65" s="4" t="s">
        <v>1467</v>
      </c>
      <c r="B65">
        <v>1194</v>
      </c>
    </row>
    <row r="72" spans="1:2" x14ac:dyDescent="0.3">
      <c r="A72" s="3" t="s">
        <v>1466</v>
      </c>
      <c r="B72" t="s">
        <v>1474</v>
      </c>
    </row>
    <row r="73" spans="1:2" x14ac:dyDescent="0.3">
      <c r="A73" s="4" t="s">
        <v>194</v>
      </c>
      <c r="B73">
        <v>23737</v>
      </c>
    </row>
    <row r="74" spans="1:2" x14ac:dyDescent="0.3">
      <c r="A74" s="4" t="s">
        <v>193</v>
      </c>
      <c r="B74">
        <v>23737</v>
      </c>
    </row>
    <row r="75" spans="1:2" x14ac:dyDescent="0.3">
      <c r="A75" s="4" t="s">
        <v>370</v>
      </c>
      <c r="B75">
        <v>23895</v>
      </c>
    </row>
    <row r="76" spans="1:2" x14ac:dyDescent="0.3">
      <c r="A76" s="4" t="s">
        <v>615</v>
      </c>
      <c r="B76">
        <v>24295</v>
      </c>
    </row>
    <row r="77" spans="1:2" x14ac:dyDescent="0.3">
      <c r="A77" s="4" t="s">
        <v>91</v>
      </c>
      <c r="B77">
        <v>24433</v>
      </c>
    </row>
    <row r="78" spans="1:2" x14ac:dyDescent="0.3">
      <c r="A78" s="4" t="s">
        <v>450</v>
      </c>
      <c r="B78">
        <v>25121</v>
      </c>
    </row>
    <row r="79" spans="1:2" x14ac:dyDescent="0.3">
      <c r="A79" s="4" t="s">
        <v>241</v>
      </c>
      <c r="B79">
        <v>27352</v>
      </c>
    </row>
    <row r="80" spans="1:2" x14ac:dyDescent="0.3">
      <c r="A80" s="4" t="s">
        <v>239</v>
      </c>
      <c r="B80">
        <v>27352</v>
      </c>
    </row>
    <row r="81" spans="1:2" x14ac:dyDescent="0.3">
      <c r="A81" s="4" t="s">
        <v>240</v>
      </c>
      <c r="B81">
        <v>27352</v>
      </c>
    </row>
    <row r="82" spans="1:2" x14ac:dyDescent="0.3">
      <c r="A82" s="4" t="s">
        <v>452</v>
      </c>
      <c r="B82">
        <v>28557</v>
      </c>
    </row>
    <row r="83" spans="1:2" x14ac:dyDescent="0.3">
      <c r="A83" s="4" t="s">
        <v>1467</v>
      </c>
      <c r="B83">
        <v>255831</v>
      </c>
    </row>
    <row r="88" spans="1:2" x14ac:dyDescent="0.3">
      <c r="A88" s="3" t="s">
        <v>1466</v>
      </c>
      <c r="B88" t="s">
        <v>1477</v>
      </c>
    </row>
    <row r="89" spans="1:2" x14ac:dyDescent="0.3">
      <c r="A89" s="4" t="s">
        <v>78</v>
      </c>
      <c r="B89">
        <v>688</v>
      </c>
    </row>
    <row r="90" spans="1:2" x14ac:dyDescent="0.3">
      <c r="A90" s="4" t="s">
        <v>109</v>
      </c>
      <c r="B90">
        <v>1030</v>
      </c>
    </row>
    <row r="91" spans="1:2" x14ac:dyDescent="0.3">
      <c r="A91" s="4" t="s">
        <v>49</v>
      </c>
      <c r="B91">
        <v>875</v>
      </c>
    </row>
    <row r="92" spans="1:2" x14ac:dyDescent="0.3">
      <c r="A92" s="4" t="s">
        <v>14</v>
      </c>
      <c r="B92">
        <v>1220</v>
      </c>
    </row>
    <row r="93" spans="1:2" x14ac:dyDescent="0.3">
      <c r="A93" s="4" t="s">
        <v>39</v>
      </c>
      <c r="B93">
        <v>934</v>
      </c>
    </row>
    <row r="94" spans="1:2" x14ac:dyDescent="0.3">
      <c r="A94" s="4" t="s">
        <v>57</v>
      </c>
      <c r="B94">
        <v>1173</v>
      </c>
    </row>
    <row r="95" spans="1:2" x14ac:dyDescent="0.3">
      <c r="A95" s="4" t="s">
        <v>64</v>
      </c>
      <c r="B95">
        <v>981</v>
      </c>
    </row>
    <row r="96" spans="1:2" x14ac:dyDescent="0.3">
      <c r="A96" s="4" t="s">
        <v>31</v>
      </c>
      <c r="B96">
        <v>1204</v>
      </c>
    </row>
    <row r="97" spans="1:2" x14ac:dyDescent="0.3">
      <c r="A97" s="4" t="s">
        <v>82</v>
      </c>
      <c r="B97">
        <v>980</v>
      </c>
    </row>
    <row r="98" spans="1:2" x14ac:dyDescent="0.3">
      <c r="A98" s="4" t="s">
        <v>28</v>
      </c>
      <c r="B98">
        <v>1124</v>
      </c>
    </row>
    <row r="99" spans="1:2" x14ac:dyDescent="0.3">
      <c r="A99" s="4" t="s">
        <v>60</v>
      </c>
      <c r="B99">
        <v>1233</v>
      </c>
    </row>
    <row r="100" spans="1:2" x14ac:dyDescent="0.3">
      <c r="A100" s="4" t="s">
        <v>46</v>
      </c>
      <c r="B100">
        <v>1303</v>
      </c>
    </row>
    <row r="101" spans="1:2" x14ac:dyDescent="0.3">
      <c r="A101" s="4" t="s">
        <v>1467</v>
      </c>
      <c r="B101">
        <v>12745</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BC110-F486-4ED2-B105-C81023E128FE}">
  <dimension ref="A1:X41"/>
  <sheetViews>
    <sheetView topLeftCell="A13" workbookViewId="0">
      <selection activeCell="Z21" sqref="Z21"/>
    </sheetView>
  </sheetViews>
  <sheetFormatPr defaultRowHeight="14.4" x14ac:dyDescent="0.3"/>
  <sheetData>
    <row r="1" spans="1:24" x14ac:dyDescent="0.3">
      <c r="A1" s="7"/>
      <c r="B1" s="7"/>
      <c r="C1" s="7"/>
      <c r="D1" s="7"/>
      <c r="E1" s="7"/>
      <c r="F1" s="7"/>
      <c r="G1" s="7"/>
      <c r="H1" s="7"/>
      <c r="I1" s="7"/>
      <c r="J1" s="7"/>
      <c r="K1" s="7"/>
      <c r="L1" s="7"/>
      <c r="M1" s="7"/>
      <c r="N1" s="7"/>
      <c r="O1" s="7"/>
      <c r="P1" s="7"/>
      <c r="Q1" s="7"/>
      <c r="R1" s="7"/>
      <c r="S1" s="7"/>
      <c r="T1" s="7"/>
      <c r="U1" s="7"/>
      <c r="V1" s="7"/>
      <c r="W1" s="7"/>
      <c r="X1" s="7"/>
    </row>
    <row r="2" spans="1:24" x14ac:dyDescent="0.3">
      <c r="A2" s="7"/>
      <c r="B2" s="7"/>
      <c r="C2" s="7"/>
      <c r="D2" s="7"/>
      <c r="E2" s="7"/>
      <c r="F2" s="7"/>
      <c r="G2" s="7"/>
      <c r="H2" s="7"/>
      <c r="I2" s="7"/>
      <c r="J2" s="7"/>
      <c r="K2" s="7"/>
      <c r="L2" s="7"/>
      <c r="M2" s="7"/>
      <c r="N2" s="7"/>
      <c r="O2" s="7"/>
      <c r="P2" s="7"/>
      <c r="Q2" s="7"/>
      <c r="R2" s="7"/>
      <c r="S2" s="7"/>
      <c r="T2" s="7"/>
      <c r="U2" s="7"/>
      <c r="V2" s="7"/>
      <c r="W2" s="7"/>
      <c r="X2" s="7"/>
    </row>
    <row r="3" spans="1:24" x14ac:dyDescent="0.3">
      <c r="A3" s="7"/>
      <c r="B3" s="7"/>
      <c r="C3" s="7"/>
      <c r="D3" s="7"/>
      <c r="E3" s="7"/>
      <c r="F3" s="7"/>
      <c r="G3" s="7"/>
      <c r="H3" s="7"/>
      <c r="I3" s="7"/>
      <c r="J3" s="7"/>
      <c r="K3" s="7"/>
      <c r="L3" s="7"/>
      <c r="M3" s="7"/>
      <c r="N3" s="7"/>
      <c r="O3" s="7"/>
      <c r="P3" s="7"/>
      <c r="Q3" s="7"/>
      <c r="R3" s="7"/>
      <c r="S3" s="7"/>
      <c r="T3" s="7"/>
      <c r="U3" s="7"/>
      <c r="V3" s="7"/>
      <c r="W3" s="7"/>
      <c r="X3" s="7"/>
    </row>
    <row r="4" spans="1:24" x14ac:dyDescent="0.3">
      <c r="A4" s="7"/>
      <c r="B4" s="7"/>
      <c r="C4" s="7"/>
      <c r="D4" s="7"/>
      <c r="E4" s="7"/>
      <c r="F4" s="7"/>
      <c r="G4" s="7"/>
      <c r="H4" s="7"/>
      <c r="I4" s="7"/>
      <c r="J4" s="7"/>
      <c r="K4" s="7"/>
      <c r="L4" s="7"/>
      <c r="M4" s="7"/>
      <c r="N4" s="7"/>
      <c r="O4" s="7"/>
      <c r="P4" s="7"/>
      <c r="Q4" s="7"/>
      <c r="R4" s="7"/>
      <c r="S4" s="7"/>
      <c r="T4" s="7"/>
      <c r="U4" s="7"/>
      <c r="V4" s="7"/>
      <c r="W4" s="7"/>
      <c r="X4" s="7"/>
    </row>
    <row r="5" spans="1:24" x14ac:dyDescent="0.3">
      <c r="A5" s="7"/>
      <c r="B5" s="7"/>
      <c r="C5" s="7"/>
      <c r="D5" s="7"/>
      <c r="E5" s="7"/>
      <c r="F5" s="7"/>
      <c r="G5" s="7"/>
      <c r="H5" s="7"/>
      <c r="I5" s="7"/>
      <c r="J5" s="7"/>
      <c r="K5" s="7"/>
      <c r="L5" s="7"/>
      <c r="M5" s="7"/>
      <c r="N5" s="7"/>
      <c r="O5" s="7"/>
      <c r="P5" s="7"/>
      <c r="Q5" s="7"/>
      <c r="R5" s="7"/>
      <c r="S5" s="7"/>
      <c r="T5" s="7"/>
      <c r="U5" s="7"/>
      <c r="V5" s="7"/>
      <c r="W5" s="7"/>
      <c r="X5" s="7"/>
    </row>
    <row r="6" spans="1:24" x14ac:dyDescent="0.3">
      <c r="A6" s="7"/>
      <c r="B6" s="7"/>
      <c r="C6" s="7"/>
      <c r="D6" s="7"/>
      <c r="E6" s="7"/>
      <c r="F6" s="7"/>
      <c r="G6" s="7"/>
      <c r="H6" s="7"/>
      <c r="I6" s="7"/>
      <c r="J6" s="7"/>
      <c r="K6" s="7"/>
      <c r="L6" s="7"/>
      <c r="M6" s="7"/>
      <c r="N6" s="7"/>
      <c r="O6" s="7"/>
      <c r="P6" s="7"/>
      <c r="Q6" s="7"/>
      <c r="R6" s="7"/>
      <c r="S6" s="7"/>
      <c r="T6" s="7"/>
      <c r="U6" s="7"/>
      <c r="V6" s="7"/>
      <c r="W6" s="7"/>
      <c r="X6" s="7"/>
    </row>
    <row r="7" spans="1:24" x14ac:dyDescent="0.3">
      <c r="A7" s="7"/>
      <c r="B7" s="7"/>
      <c r="C7" s="7"/>
      <c r="D7" s="7"/>
      <c r="E7" s="7"/>
      <c r="F7" s="7"/>
      <c r="G7" s="7"/>
      <c r="H7" s="7"/>
      <c r="I7" s="7"/>
      <c r="J7" s="7"/>
      <c r="K7" s="7"/>
      <c r="L7" s="7"/>
      <c r="M7" s="7"/>
      <c r="N7" s="7"/>
      <c r="O7" s="7"/>
      <c r="P7" s="7"/>
      <c r="Q7" s="7"/>
      <c r="R7" s="7"/>
      <c r="S7" s="7"/>
      <c r="T7" s="7"/>
      <c r="U7" s="7"/>
      <c r="V7" s="7"/>
      <c r="W7" s="7"/>
      <c r="X7" s="7"/>
    </row>
    <row r="8" spans="1:24" x14ac:dyDescent="0.3">
      <c r="A8" s="7"/>
      <c r="B8" s="7"/>
      <c r="C8" s="7"/>
      <c r="D8" s="7"/>
      <c r="E8" s="7"/>
      <c r="F8" s="7"/>
      <c r="G8" s="7"/>
      <c r="H8" s="7"/>
      <c r="I8" s="7"/>
      <c r="J8" s="7"/>
      <c r="K8" s="7"/>
      <c r="L8" s="7"/>
      <c r="M8" s="7"/>
      <c r="N8" s="7"/>
      <c r="O8" s="7"/>
      <c r="P8" s="7"/>
      <c r="Q8" s="7"/>
      <c r="R8" s="7"/>
      <c r="S8" s="7"/>
      <c r="T8" s="7"/>
      <c r="U8" s="7"/>
      <c r="V8" s="7"/>
      <c r="W8" s="7"/>
      <c r="X8" s="7"/>
    </row>
    <row r="9" spans="1:24" x14ac:dyDescent="0.3">
      <c r="A9" s="7"/>
      <c r="B9" s="7"/>
      <c r="C9" s="7"/>
      <c r="D9" s="7"/>
      <c r="E9" s="7"/>
      <c r="F9" s="7"/>
      <c r="G9" s="7"/>
      <c r="H9" s="7"/>
      <c r="I9" s="7"/>
      <c r="J9" s="7"/>
      <c r="K9" s="7"/>
      <c r="L9" s="7"/>
      <c r="M9" s="7"/>
      <c r="N9" s="7"/>
      <c r="O9" s="7"/>
      <c r="P9" s="7"/>
      <c r="Q9" s="7"/>
      <c r="R9" s="7"/>
      <c r="S9" s="7"/>
      <c r="T9" s="7"/>
      <c r="U9" s="7"/>
      <c r="V9" s="7"/>
      <c r="W9" s="7"/>
      <c r="X9" s="7"/>
    </row>
    <row r="10" spans="1:24" x14ac:dyDescent="0.3">
      <c r="A10" s="7"/>
      <c r="B10" s="7"/>
      <c r="C10" s="7"/>
      <c r="D10" s="7"/>
      <c r="E10" s="7"/>
      <c r="F10" s="7"/>
      <c r="G10" s="7"/>
      <c r="H10" s="7"/>
      <c r="I10" s="7"/>
      <c r="J10" s="7"/>
      <c r="K10" s="7"/>
      <c r="L10" s="7"/>
      <c r="M10" s="7"/>
      <c r="N10" s="7"/>
      <c r="O10" s="7"/>
      <c r="P10" s="7"/>
      <c r="Q10" s="7"/>
      <c r="R10" s="7"/>
      <c r="S10" s="7"/>
      <c r="T10" s="7"/>
      <c r="U10" s="7"/>
      <c r="V10" s="7"/>
      <c r="W10" s="7"/>
      <c r="X10" s="7"/>
    </row>
    <row r="11" spans="1:24" x14ac:dyDescent="0.3">
      <c r="A11" s="7"/>
      <c r="B11" s="7"/>
      <c r="C11" s="7"/>
      <c r="D11" s="7"/>
      <c r="E11" s="7"/>
      <c r="F11" s="7"/>
      <c r="G11" s="7"/>
      <c r="H11" s="7"/>
      <c r="I11" s="7"/>
      <c r="J11" s="7"/>
      <c r="K11" s="7"/>
      <c r="L11" s="7"/>
      <c r="M11" s="7"/>
      <c r="N11" s="7"/>
      <c r="O11" s="7"/>
      <c r="P11" s="7"/>
      <c r="Q11" s="7"/>
      <c r="R11" s="7"/>
      <c r="S11" s="7"/>
      <c r="T11" s="7"/>
      <c r="U11" s="7"/>
      <c r="V11" s="7"/>
      <c r="W11" s="7"/>
      <c r="X11" s="7"/>
    </row>
    <row r="12" spans="1:24" x14ac:dyDescent="0.3">
      <c r="A12" s="7"/>
      <c r="B12" s="7"/>
      <c r="C12" s="7"/>
      <c r="D12" s="7"/>
      <c r="E12" s="7"/>
      <c r="F12" s="7"/>
      <c r="G12" s="7"/>
      <c r="H12" s="7"/>
      <c r="I12" s="7"/>
      <c r="J12" s="7"/>
      <c r="K12" s="7"/>
      <c r="L12" s="7"/>
      <c r="M12" s="7"/>
      <c r="N12" s="7"/>
      <c r="O12" s="7"/>
      <c r="P12" s="7"/>
      <c r="Q12" s="7"/>
      <c r="R12" s="7"/>
      <c r="S12" s="7"/>
      <c r="T12" s="7"/>
      <c r="U12" s="7"/>
      <c r="V12" s="7"/>
      <c r="W12" s="7"/>
      <c r="X12" s="7"/>
    </row>
    <row r="13" spans="1:24" x14ac:dyDescent="0.3">
      <c r="A13" s="7"/>
      <c r="B13" s="7"/>
      <c r="C13" s="7"/>
      <c r="D13" s="7"/>
      <c r="E13" s="7"/>
      <c r="F13" s="7"/>
      <c r="G13" s="7"/>
      <c r="H13" s="7"/>
      <c r="I13" s="7"/>
      <c r="J13" s="7"/>
      <c r="K13" s="7"/>
      <c r="L13" s="7"/>
      <c r="M13" s="7"/>
      <c r="N13" s="7"/>
      <c r="O13" s="7"/>
      <c r="P13" s="7"/>
      <c r="Q13" s="7"/>
      <c r="R13" s="7"/>
      <c r="S13" s="7"/>
      <c r="T13" s="7"/>
      <c r="U13" s="7"/>
      <c r="V13" s="7"/>
      <c r="W13" s="7"/>
      <c r="X13" s="7"/>
    </row>
    <row r="14" spans="1:24" x14ac:dyDescent="0.3">
      <c r="A14" s="7"/>
      <c r="B14" s="7"/>
      <c r="C14" s="7"/>
      <c r="D14" s="7"/>
      <c r="E14" s="7"/>
      <c r="F14" s="7"/>
      <c r="G14" s="7"/>
      <c r="H14" s="7"/>
      <c r="I14" s="7"/>
      <c r="J14" s="7"/>
      <c r="K14" s="7"/>
      <c r="L14" s="7"/>
      <c r="M14" s="7"/>
      <c r="N14" s="7"/>
      <c r="O14" s="7"/>
      <c r="P14" s="7"/>
      <c r="Q14" s="7"/>
      <c r="R14" s="7"/>
      <c r="S14" s="7"/>
      <c r="T14" s="7"/>
      <c r="U14" s="7"/>
      <c r="V14" s="7"/>
      <c r="W14" s="7"/>
      <c r="X14" s="7"/>
    </row>
    <row r="15" spans="1:24" x14ac:dyDescent="0.3">
      <c r="A15" s="7"/>
      <c r="B15" s="7"/>
      <c r="C15" s="7"/>
      <c r="D15" s="7"/>
      <c r="E15" s="7"/>
      <c r="F15" s="7"/>
      <c r="G15" s="7"/>
      <c r="H15" s="7"/>
      <c r="I15" s="7"/>
      <c r="J15" s="7"/>
      <c r="K15" s="7"/>
      <c r="L15" s="7"/>
      <c r="M15" s="7"/>
      <c r="N15" s="7"/>
      <c r="O15" s="7"/>
      <c r="P15" s="7"/>
      <c r="Q15" s="7"/>
      <c r="R15" s="7"/>
      <c r="S15" s="7"/>
      <c r="T15" s="7"/>
      <c r="U15" s="7"/>
      <c r="V15" s="7"/>
      <c r="W15" s="7"/>
      <c r="X15" s="7"/>
    </row>
    <row r="16" spans="1:24" x14ac:dyDescent="0.3">
      <c r="A16" s="7"/>
      <c r="B16" s="7"/>
      <c r="C16" s="7"/>
      <c r="D16" s="7"/>
      <c r="E16" s="7"/>
      <c r="F16" s="7"/>
      <c r="G16" s="7"/>
      <c r="H16" s="7"/>
      <c r="I16" s="7"/>
      <c r="J16" s="7"/>
      <c r="K16" s="7"/>
      <c r="L16" s="7"/>
      <c r="M16" s="7"/>
      <c r="N16" s="7"/>
      <c r="O16" s="7"/>
      <c r="P16" s="7"/>
      <c r="Q16" s="7"/>
      <c r="R16" s="7"/>
      <c r="S16" s="7"/>
      <c r="T16" s="7"/>
      <c r="U16" s="7"/>
      <c r="V16" s="7"/>
      <c r="W16" s="7"/>
      <c r="X16" s="7"/>
    </row>
    <row r="17" spans="1:24" x14ac:dyDescent="0.3">
      <c r="A17" s="7"/>
      <c r="B17" s="7"/>
      <c r="C17" s="7"/>
      <c r="D17" s="7"/>
      <c r="E17" s="7"/>
      <c r="F17" s="7"/>
      <c r="G17" s="7"/>
      <c r="H17" s="7"/>
      <c r="I17" s="7"/>
      <c r="J17" s="8"/>
      <c r="K17" s="7"/>
      <c r="L17" s="7"/>
      <c r="M17" s="7"/>
      <c r="N17" s="7"/>
      <c r="O17" s="7"/>
      <c r="P17" s="7"/>
      <c r="Q17" s="7"/>
      <c r="R17" s="7"/>
      <c r="S17" s="7"/>
      <c r="T17" s="7"/>
      <c r="U17" s="7"/>
      <c r="V17" s="7"/>
      <c r="W17" s="7"/>
      <c r="X17" s="7"/>
    </row>
    <row r="18" spans="1:24" x14ac:dyDescent="0.3">
      <c r="A18" s="7"/>
      <c r="B18" s="7"/>
      <c r="C18" s="7"/>
      <c r="D18" s="7"/>
      <c r="E18" s="7"/>
      <c r="F18" s="7"/>
      <c r="G18" s="7"/>
      <c r="H18" s="7"/>
      <c r="I18" s="7"/>
      <c r="J18" s="7"/>
      <c r="K18" s="7"/>
      <c r="L18" s="7"/>
      <c r="M18" s="7"/>
      <c r="N18" s="7"/>
      <c r="O18" s="7"/>
      <c r="P18" s="7"/>
      <c r="Q18" s="7"/>
      <c r="R18" s="7"/>
      <c r="S18" s="7"/>
      <c r="T18" s="7"/>
      <c r="U18" s="7"/>
      <c r="V18" s="7"/>
      <c r="W18" s="7"/>
      <c r="X18" s="7"/>
    </row>
    <row r="19" spans="1:24" x14ac:dyDescent="0.3">
      <c r="A19" s="7"/>
      <c r="B19" s="7"/>
      <c r="C19" s="7"/>
      <c r="D19" s="7"/>
      <c r="E19" s="7"/>
      <c r="F19" s="7"/>
      <c r="G19" s="7"/>
      <c r="H19" s="7"/>
      <c r="I19" s="7"/>
      <c r="J19" s="7"/>
      <c r="K19" s="7"/>
      <c r="L19" s="7"/>
      <c r="M19" s="7"/>
      <c r="N19" s="7"/>
      <c r="O19" s="7"/>
      <c r="P19" s="7"/>
      <c r="Q19" s="7"/>
      <c r="R19" s="7"/>
      <c r="S19" s="7"/>
      <c r="T19" s="7"/>
      <c r="U19" s="7"/>
      <c r="V19" s="7"/>
      <c r="W19" s="7"/>
      <c r="X19" s="7"/>
    </row>
    <row r="20" spans="1:24" x14ac:dyDescent="0.3">
      <c r="A20" s="7"/>
      <c r="B20" s="7"/>
      <c r="C20" s="7"/>
      <c r="D20" s="7"/>
      <c r="E20" s="7"/>
      <c r="F20" s="7"/>
      <c r="G20" s="7"/>
      <c r="H20" s="7"/>
      <c r="I20" s="7"/>
      <c r="J20" s="7"/>
      <c r="K20" s="7"/>
      <c r="L20" s="7"/>
      <c r="M20" s="7"/>
      <c r="N20" s="7"/>
      <c r="O20" s="7"/>
      <c r="P20" s="7"/>
      <c r="Q20" s="7"/>
      <c r="R20" s="7"/>
      <c r="S20" s="7"/>
      <c r="T20" s="7"/>
      <c r="U20" s="7"/>
      <c r="V20" s="7"/>
      <c r="W20" s="7"/>
      <c r="X20" s="7"/>
    </row>
    <row r="21" spans="1:24" x14ac:dyDescent="0.3">
      <c r="A21" s="7"/>
      <c r="B21" s="7"/>
      <c r="C21" s="7"/>
      <c r="D21" s="7"/>
      <c r="E21" s="7"/>
      <c r="F21" s="7"/>
      <c r="G21" s="7"/>
      <c r="H21" s="7"/>
      <c r="I21" s="7"/>
      <c r="J21" s="7"/>
      <c r="K21" s="7"/>
      <c r="L21" s="7"/>
      <c r="M21" s="7"/>
      <c r="N21" s="7"/>
      <c r="O21" s="7"/>
      <c r="P21" s="7"/>
      <c r="Q21" s="7"/>
      <c r="R21" s="7"/>
      <c r="S21" s="7"/>
      <c r="T21" s="7"/>
      <c r="U21" s="7"/>
      <c r="V21" s="7"/>
      <c r="W21" s="7"/>
      <c r="X21" s="7"/>
    </row>
    <row r="22" spans="1:24" x14ac:dyDescent="0.3">
      <c r="A22" s="7"/>
      <c r="B22" s="7"/>
      <c r="C22" s="7"/>
      <c r="D22" s="7"/>
      <c r="E22" s="7"/>
      <c r="F22" s="7"/>
      <c r="G22" s="7"/>
      <c r="H22" s="7"/>
      <c r="I22" s="7"/>
      <c r="J22" s="7"/>
      <c r="K22" s="7"/>
      <c r="L22" s="7"/>
      <c r="M22" s="7"/>
      <c r="N22" s="7"/>
      <c r="O22" s="7"/>
      <c r="P22" s="7"/>
      <c r="Q22" s="7"/>
      <c r="R22" s="7"/>
      <c r="S22" s="7"/>
      <c r="T22" s="7"/>
      <c r="U22" s="7"/>
      <c r="V22" s="7"/>
      <c r="W22" s="7"/>
      <c r="X22" s="7"/>
    </row>
    <row r="23" spans="1:24" x14ac:dyDescent="0.3">
      <c r="A23" s="7"/>
      <c r="B23" s="7"/>
      <c r="C23" s="7"/>
      <c r="D23" s="7"/>
      <c r="E23" s="7"/>
      <c r="F23" s="7"/>
      <c r="G23" s="7"/>
      <c r="H23" s="7"/>
      <c r="I23" s="7"/>
      <c r="J23" s="7"/>
      <c r="K23" s="7"/>
      <c r="L23" s="7"/>
      <c r="M23" s="7"/>
      <c r="N23" s="7"/>
      <c r="O23" s="7"/>
      <c r="P23" s="7"/>
      <c r="Q23" s="7"/>
      <c r="R23" s="7"/>
      <c r="S23" s="7"/>
      <c r="T23" s="7"/>
      <c r="U23" s="7"/>
      <c r="V23" s="7"/>
      <c r="W23" s="7"/>
      <c r="X23" s="7"/>
    </row>
    <row r="24" spans="1:24" x14ac:dyDescent="0.3">
      <c r="A24" s="7"/>
      <c r="B24" s="7"/>
      <c r="C24" s="7"/>
      <c r="D24" s="7"/>
      <c r="E24" s="7"/>
      <c r="F24" s="7"/>
      <c r="G24" s="7"/>
      <c r="H24" s="7"/>
      <c r="I24" s="7"/>
      <c r="J24" s="7"/>
      <c r="K24" s="7"/>
      <c r="L24" s="7"/>
      <c r="M24" s="7"/>
      <c r="N24" s="7"/>
      <c r="O24" s="7"/>
      <c r="P24" s="7"/>
      <c r="Q24" s="7"/>
      <c r="R24" s="7"/>
      <c r="S24" s="7"/>
      <c r="T24" s="7"/>
      <c r="U24" s="7"/>
      <c r="V24" s="7"/>
      <c r="W24" s="7"/>
      <c r="X24" s="7"/>
    </row>
    <row r="25" spans="1:24" x14ac:dyDescent="0.3">
      <c r="A25" s="7"/>
      <c r="B25" s="7"/>
      <c r="C25" s="7"/>
      <c r="D25" s="7"/>
      <c r="E25" s="7"/>
      <c r="F25" s="7"/>
      <c r="G25" s="7"/>
      <c r="H25" s="7"/>
      <c r="I25" s="7"/>
      <c r="J25" s="7"/>
      <c r="K25" s="7"/>
      <c r="L25" s="7"/>
      <c r="M25" s="7"/>
      <c r="N25" s="7"/>
      <c r="O25" s="7"/>
      <c r="P25" s="7"/>
      <c r="Q25" s="7"/>
      <c r="R25" s="7"/>
      <c r="S25" s="7"/>
      <c r="T25" s="7"/>
      <c r="U25" s="7"/>
      <c r="V25" s="7"/>
      <c r="W25" s="7"/>
      <c r="X25" s="7"/>
    </row>
    <row r="26" spans="1:24" x14ac:dyDescent="0.3">
      <c r="A26" s="7"/>
      <c r="B26" s="7"/>
      <c r="C26" s="7"/>
      <c r="D26" s="7"/>
      <c r="E26" s="7"/>
      <c r="F26" s="7"/>
      <c r="G26" s="7"/>
      <c r="H26" s="7"/>
      <c r="I26" s="7"/>
      <c r="J26" s="7"/>
      <c r="K26" s="7"/>
      <c r="L26" s="7"/>
      <c r="M26" s="7"/>
      <c r="N26" s="7"/>
      <c r="O26" s="7"/>
      <c r="P26" s="7"/>
      <c r="Q26" s="7"/>
      <c r="R26" s="7"/>
      <c r="S26" s="7"/>
      <c r="T26" s="7"/>
      <c r="U26" s="7"/>
      <c r="V26" s="7"/>
      <c r="W26" s="7"/>
      <c r="X26" s="7"/>
    </row>
    <row r="27" spans="1:24" x14ac:dyDescent="0.3">
      <c r="A27" s="7"/>
      <c r="B27" s="7"/>
      <c r="C27" s="7"/>
      <c r="D27" s="7"/>
      <c r="E27" s="7"/>
      <c r="F27" s="7"/>
      <c r="G27" s="7"/>
      <c r="H27" s="7"/>
      <c r="I27" s="7"/>
      <c r="J27" s="7"/>
      <c r="K27" s="7"/>
      <c r="L27" s="7"/>
      <c r="M27" s="7"/>
      <c r="N27" s="7"/>
      <c r="O27" s="7"/>
      <c r="P27" s="7"/>
      <c r="Q27" s="7"/>
      <c r="R27" s="7"/>
      <c r="S27" s="7"/>
      <c r="T27" s="7"/>
      <c r="U27" s="7"/>
      <c r="V27" s="7"/>
      <c r="W27" s="7"/>
      <c r="X27" s="7"/>
    </row>
    <row r="28" spans="1:24" x14ac:dyDescent="0.3">
      <c r="A28" s="7"/>
      <c r="B28" s="7"/>
      <c r="C28" s="7"/>
      <c r="D28" s="7"/>
      <c r="E28" s="7"/>
      <c r="F28" s="7"/>
      <c r="G28" s="7"/>
      <c r="H28" s="7"/>
      <c r="I28" s="7"/>
      <c r="J28" s="7"/>
      <c r="K28" s="7"/>
      <c r="L28" s="7"/>
      <c r="M28" s="7"/>
      <c r="N28" s="7"/>
      <c r="O28" s="7"/>
      <c r="P28" s="7"/>
      <c r="Q28" s="7"/>
      <c r="R28" s="7"/>
      <c r="S28" s="7"/>
      <c r="T28" s="7"/>
      <c r="U28" s="7"/>
      <c r="V28" s="7"/>
      <c r="W28" s="7"/>
      <c r="X28" s="7"/>
    </row>
    <row r="29" spans="1:24" x14ac:dyDescent="0.3">
      <c r="A29" s="7"/>
      <c r="B29" s="7"/>
      <c r="C29" s="7"/>
      <c r="D29" s="7"/>
      <c r="E29" s="7"/>
      <c r="F29" s="7"/>
      <c r="G29" s="7"/>
      <c r="H29" s="7"/>
      <c r="I29" s="7"/>
      <c r="J29" s="7"/>
      <c r="K29" s="7"/>
      <c r="L29" s="7"/>
      <c r="M29" s="7"/>
      <c r="N29" s="7"/>
      <c r="O29" s="7"/>
      <c r="P29" s="7"/>
      <c r="Q29" s="7"/>
      <c r="R29" s="7"/>
      <c r="S29" s="7"/>
      <c r="T29" s="7"/>
      <c r="U29" s="7"/>
      <c r="V29" s="7"/>
      <c r="W29" s="7"/>
      <c r="X29" s="7"/>
    </row>
    <row r="30" spans="1:24" x14ac:dyDescent="0.3">
      <c r="A30" s="7"/>
      <c r="B30" s="7"/>
      <c r="C30" s="7"/>
      <c r="D30" s="7"/>
      <c r="E30" s="7"/>
      <c r="F30" s="7"/>
      <c r="G30" s="7"/>
      <c r="H30" s="7"/>
      <c r="I30" s="7"/>
      <c r="J30" s="7"/>
      <c r="K30" s="7"/>
      <c r="L30" s="7"/>
      <c r="M30" s="7"/>
      <c r="N30" s="7"/>
      <c r="O30" s="7"/>
      <c r="P30" s="7"/>
      <c r="Q30" s="7"/>
      <c r="R30" s="7"/>
      <c r="S30" s="7"/>
      <c r="T30" s="7"/>
      <c r="U30" s="7"/>
      <c r="V30" s="7"/>
      <c r="W30" s="7"/>
      <c r="X30" s="7"/>
    </row>
    <row r="31" spans="1:24" x14ac:dyDescent="0.3">
      <c r="A31" s="7"/>
      <c r="B31" s="7"/>
      <c r="C31" s="7"/>
      <c r="D31" s="7"/>
      <c r="E31" s="7"/>
      <c r="F31" s="7"/>
      <c r="G31" s="7"/>
      <c r="H31" s="7"/>
      <c r="I31" s="7"/>
      <c r="J31" s="7"/>
      <c r="K31" s="7"/>
      <c r="L31" s="7"/>
      <c r="M31" s="7"/>
      <c r="N31" s="7"/>
      <c r="O31" s="7"/>
      <c r="P31" s="7"/>
      <c r="Q31" s="7"/>
      <c r="R31" s="7"/>
      <c r="S31" s="7"/>
      <c r="T31" s="7"/>
      <c r="U31" s="7"/>
      <c r="V31" s="7"/>
      <c r="W31" s="7"/>
      <c r="X31" s="7"/>
    </row>
    <row r="32" spans="1:24" x14ac:dyDescent="0.3">
      <c r="A32" s="7"/>
      <c r="B32" s="7"/>
      <c r="C32" s="7"/>
      <c r="D32" s="7"/>
      <c r="E32" s="7"/>
      <c r="F32" s="7"/>
      <c r="G32" s="7"/>
      <c r="H32" s="7"/>
      <c r="I32" s="7"/>
      <c r="J32" s="7"/>
      <c r="K32" s="7"/>
      <c r="L32" s="7"/>
      <c r="M32" s="7"/>
      <c r="N32" s="7"/>
      <c r="O32" s="7"/>
      <c r="P32" s="7"/>
      <c r="Q32" s="7"/>
      <c r="R32" s="7"/>
      <c r="S32" s="7"/>
      <c r="T32" s="7"/>
      <c r="U32" s="7"/>
      <c r="V32" s="7"/>
      <c r="W32" s="7"/>
      <c r="X32" s="7"/>
    </row>
    <row r="33" spans="1:24" x14ac:dyDescent="0.3">
      <c r="A33" s="7"/>
      <c r="B33" s="7"/>
      <c r="C33" s="7"/>
      <c r="D33" s="7"/>
      <c r="E33" s="7"/>
      <c r="F33" s="7"/>
      <c r="G33" s="7"/>
      <c r="H33" s="7"/>
      <c r="I33" s="7"/>
      <c r="J33" s="7"/>
      <c r="K33" s="7"/>
      <c r="L33" s="7"/>
      <c r="M33" s="7"/>
      <c r="N33" s="7"/>
      <c r="O33" s="7"/>
      <c r="P33" s="7"/>
      <c r="Q33" s="7"/>
      <c r="R33" s="7"/>
      <c r="S33" s="7"/>
      <c r="T33" s="7"/>
      <c r="U33" s="7"/>
      <c r="V33" s="7"/>
      <c r="W33" s="7"/>
      <c r="X33" s="7"/>
    </row>
    <row r="34" spans="1:24" x14ac:dyDescent="0.3">
      <c r="A34" s="7"/>
      <c r="B34" s="7"/>
      <c r="C34" s="7"/>
      <c r="D34" s="7"/>
      <c r="E34" s="7"/>
      <c r="F34" s="7"/>
      <c r="G34" s="7"/>
      <c r="H34" s="7"/>
      <c r="I34" s="7"/>
      <c r="J34" s="7"/>
      <c r="K34" s="7"/>
      <c r="L34" s="7"/>
      <c r="M34" s="7"/>
      <c r="N34" s="7"/>
      <c r="O34" s="7"/>
      <c r="P34" s="7"/>
      <c r="Q34" s="7"/>
      <c r="R34" s="7"/>
      <c r="S34" s="7"/>
      <c r="T34" s="7"/>
      <c r="U34" s="7"/>
      <c r="V34" s="7"/>
      <c r="W34" s="7"/>
      <c r="X34" s="7"/>
    </row>
    <row r="35" spans="1:24" x14ac:dyDescent="0.3">
      <c r="A35" s="7"/>
      <c r="B35" s="7"/>
      <c r="C35" s="7"/>
      <c r="D35" s="7"/>
      <c r="E35" s="7"/>
      <c r="F35" s="7"/>
      <c r="G35" s="7"/>
      <c r="H35" s="7"/>
      <c r="I35" s="7"/>
      <c r="J35" s="7"/>
      <c r="K35" s="7"/>
      <c r="L35" s="7"/>
      <c r="M35" s="7"/>
      <c r="N35" s="7"/>
      <c r="O35" s="7"/>
      <c r="P35" s="7"/>
      <c r="Q35" s="7"/>
      <c r="R35" s="7"/>
      <c r="S35" s="7"/>
      <c r="T35" s="7"/>
      <c r="U35" s="7"/>
      <c r="V35" s="7"/>
      <c r="W35" s="7"/>
      <c r="X35" s="7"/>
    </row>
    <row r="36" spans="1:24" x14ac:dyDescent="0.3">
      <c r="A36" s="7"/>
      <c r="B36" s="7"/>
      <c r="C36" s="7"/>
      <c r="D36" s="7"/>
      <c r="E36" s="7"/>
      <c r="F36" s="7"/>
      <c r="G36" s="7"/>
      <c r="H36" s="7"/>
      <c r="I36" s="7"/>
      <c r="J36" s="7"/>
      <c r="K36" s="7"/>
      <c r="L36" s="7"/>
      <c r="M36" s="7"/>
      <c r="N36" s="7"/>
      <c r="O36" s="7"/>
      <c r="P36" s="7"/>
      <c r="Q36" s="7"/>
      <c r="R36" s="7"/>
      <c r="S36" s="7"/>
      <c r="T36" s="7"/>
      <c r="U36" s="7"/>
      <c r="V36" s="7"/>
      <c r="W36" s="7"/>
      <c r="X36" s="7"/>
    </row>
    <row r="37" spans="1:24" x14ac:dyDescent="0.3">
      <c r="A37" s="7"/>
      <c r="B37" s="7"/>
      <c r="C37" s="7"/>
      <c r="D37" s="7"/>
      <c r="E37" s="7"/>
      <c r="F37" s="7"/>
      <c r="G37" s="7"/>
      <c r="H37" s="7"/>
      <c r="I37" s="7"/>
      <c r="J37" s="7"/>
      <c r="K37" s="7"/>
      <c r="L37" s="7"/>
      <c r="M37" s="7"/>
      <c r="N37" s="7"/>
      <c r="O37" s="7"/>
      <c r="P37" s="7"/>
      <c r="Q37" s="7"/>
      <c r="R37" s="7"/>
      <c r="S37" s="7"/>
      <c r="T37" s="7"/>
      <c r="U37" s="7"/>
      <c r="V37" s="7"/>
      <c r="W37" s="7"/>
      <c r="X37" s="7"/>
    </row>
    <row r="38" spans="1:24" x14ac:dyDescent="0.3">
      <c r="A38" s="7"/>
      <c r="B38" s="7"/>
      <c r="C38" s="7"/>
      <c r="D38" s="7"/>
      <c r="E38" s="7"/>
      <c r="F38" s="7"/>
      <c r="G38" s="7"/>
      <c r="H38" s="7"/>
      <c r="I38" s="7"/>
      <c r="J38" s="7"/>
      <c r="K38" s="7"/>
      <c r="L38" s="7"/>
      <c r="M38" s="7"/>
      <c r="N38" s="7"/>
      <c r="O38" s="7"/>
      <c r="P38" s="7"/>
      <c r="Q38" s="7"/>
      <c r="R38" s="7"/>
      <c r="S38" s="7"/>
      <c r="T38" s="7"/>
      <c r="U38" s="7"/>
      <c r="V38" s="7"/>
      <c r="W38" s="7"/>
      <c r="X38" s="7"/>
    </row>
    <row r="39" spans="1:24" x14ac:dyDescent="0.3">
      <c r="A39" s="7"/>
      <c r="B39" s="7"/>
      <c r="C39" s="7"/>
      <c r="D39" s="7"/>
      <c r="E39" s="7"/>
      <c r="F39" s="7"/>
      <c r="G39" s="7"/>
      <c r="H39" s="7"/>
      <c r="I39" s="7"/>
      <c r="J39" s="7"/>
      <c r="K39" s="7"/>
      <c r="L39" s="7"/>
      <c r="M39" s="7"/>
      <c r="N39" s="7"/>
      <c r="O39" s="7"/>
      <c r="P39" s="7"/>
      <c r="Q39" s="7"/>
      <c r="R39" s="7"/>
      <c r="S39" s="7"/>
      <c r="T39" s="7"/>
      <c r="U39" s="7"/>
      <c r="V39" s="7"/>
      <c r="W39" s="7"/>
      <c r="X39" s="7"/>
    </row>
    <row r="40" spans="1:24" x14ac:dyDescent="0.3">
      <c r="A40" s="7"/>
      <c r="B40" s="7"/>
      <c r="C40" s="7"/>
      <c r="D40" s="7"/>
      <c r="E40" s="7"/>
      <c r="F40" s="7"/>
      <c r="G40" s="7"/>
      <c r="H40" s="7"/>
      <c r="I40" s="7"/>
      <c r="J40" s="7"/>
      <c r="K40" s="7"/>
      <c r="L40" s="7"/>
      <c r="M40" s="7"/>
      <c r="N40" s="7"/>
      <c r="O40" s="7"/>
      <c r="P40" s="7"/>
      <c r="Q40" s="7"/>
      <c r="R40" s="7"/>
      <c r="S40" s="7"/>
      <c r="T40" s="7"/>
      <c r="U40" s="7"/>
      <c r="V40" s="7"/>
      <c r="W40" s="7"/>
      <c r="X40" s="7"/>
    </row>
    <row r="41" spans="1:24" x14ac:dyDescent="0.3">
      <c r="A41" s="7"/>
      <c r="B41" s="7"/>
      <c r="C41" s="7"/>
      <c r="D41" s="7"/>
      <c r="E41" s="7"/>
      <c r="F41" s="7"/>
      <c r="G41" s="7"/>
      <c r="H41" s="7"/>
      <c r="I41" s="7"/>
      <c r="J41" s="7"/>
      <c r="K41" s="7"/>
      <c r="L41" s="7"/>
      <c r="M41" s="7"/>
      <c r="N41" s="7"/>
      <c r="O41" s="7"/>
      <c r="P41" s="7"/>
      <c r="Q41" s="7"/>
      <c r="R41" s="7"/>
      <c r="S41" s="7"/>
      <c r="T41" s="7"/>
      <c r="U41" s="7"/>
      <c r="V41" s="7"/>
      <c r="W41" s="7"/>
      <c r="X41"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C6A01-4E7E-4E82-A7D6-88191AA7CA9B}">
  <dimension ref="A1:D7"/>
  <sheetViews>
    <sheetView tabSelected="1" zoomScale="115" zoomScaleNormal="115" workbookViewId="0">
      <selection activeCell="F2" sqref="F2"/>
    </sheetView>
  </sheetViews>
  <sheetFormatPr defaultRowHeight="14.4" x14ac:dyDescent="0.3"/>
  <cols>
    <col min="1" max="1" width="8.88671875" customWidth="1"/>
    <col min="2" max="4" width="24.77734375" customWidth="1"/>
  </cols>
  <sheetData>
    <row r="1" spans="1:4" ht="30" thickTop="1" thickBot="1" x14ac:dyDescent="0.35">
      <c r="A1" s="14" t="s">
        <v>1496</v>
      </c>
      <c r="B1" s="13" t="s">
        <v>1497</v>
      </c>
      <c r="C1" s="11" t="s">
        <v>1498</v>
      </c>
      <c r="D1" s="12" t="s">
        <v>1499</v>
      </c>
    </row>
    <row r="2" spans="1:4" ht="57" customHeight="1" thickTop="1" x14ac:dyDescent="0.3">
      <c r="A2" s="15">
        <v>1</v>
      </c>
      <c r="B2" s="16" t="s">
        <v>1500</v>
      </c>
      <c r="C2" s="17" t="s">
        <v>1501</v>
      </c>
      <c r="D2" s="18" t="s">
        <v>1502</v>
      </c>
    </row>
    <row r="3" spans="1:4" ht="57" customHeight="1" x14ac:dyDescent="0.3">
      <c r="A3" s="19">
        <v>2</v>
      </c>
      <c r="B3" s="20" t="s">
        <v>1503</v>
      </c>
      <c r="C3" s="21" t="s">
        <v>1504</v>
      </c>
      <c r="D3" s="22" t="s">
        <v>1505</v>
      </c>
    </row>
    <row r="4" spans="1:4" ht="57" customHeight="1" x14ac:dyDescent="0.3">
      <c r="A4" s="19">
        <v>3</v>
      </c>
      <c r="B4" s="20" t="s">
        <v>1506</v>
      </c>
      <c r="C4" s="21" t="s">
        <v>1507</v>
      </c>
      <c r="D4" s="22" t="s">
        <v>1508</v>
      </c>
    </row>
    <row r="5" spans="1:4" ht="57" customHeight="1" x14ac:dyDescent="0.3">
      <c r="A5" s="19">
        <v>4</v>
      </c>
      <c r="B5" s="20" t="s">
        <v>1509</v>
      </c>
      <c r="C5" s="21" t="s">
        <v>1510</v>
      </c>
      <c r="D5" s="22" t="s">
        <v>1511</v>
      </c>
    </row>
    <row r="6" spans="1:4" ht="57" customHeight="1" thickBot="1" x14ac:dyDescent="0.35">
      <c r="A6" s="23">
        <v>5</v>
      </c>
      <c r="B6" s="24" t="s">
        <v>1512</v>
      </c>
      <c r="C6" s="25" t="s">
        <v>1513</v>
      </c>
      <c r="D6" s="26" t="s">
        <v>1514</v>
      </c>
    </row>
    <row r="7" spans="1:4" ht="15" thickTop="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Raw_Data</vt:lpstr>
      <vt:lpstr>Cleaned_Data</vt:lpstr>
      <vt:lpstr>KPI</vt:lpstr>
      <vt:lpstr>Pivot_Analysis</vt:lpstr>
      <vt:lpstr>Dashboard</vt:lpstr>
      <vt:lpstr>Insights</vt:lpstr>
      <vt:lpstr>Cleaned_Data!sal</vt:lpstr>
      <vt:lpstr>sal</vt:lpstr>
      <vt:lpstr>sale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Abinesh R S</dc:creator>
  <cp:lastModifiedBy>Abinesh R S</cp:lastModifiedBy>
  <dcterms:created xsi:type="dcterms:W3CDTF">2026-05-18T07:17:25Z</dcterms:created>
  <dcterms:modified xsi:type="dcterms:W3CDTF">2026-05-19T08:41:39Z</dcterms:modified>
</cp:coreProperties>
</file>